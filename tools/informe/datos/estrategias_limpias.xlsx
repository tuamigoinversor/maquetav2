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F:\00 TRABAJO 2.0\02 TUAMIGOINVERSOR 2.0\"/>
    </mc:Choice>
  </mc:AlternateContent>
  <xr:revisionPtr revIDLastSave="0" documentId="13_ncr:1_{63B8317B-CFB0-4EC4-858B-EC16FA33F158}" xr6:coauthVersionLast="47" xr6:coauthVersionMax="47" xr10:uidLastSave="{00000000-0000-0000-0000-000000000000}"/>
  <bookViews>
    <workbookView xWindow="-108" yWindow="-108" windowWidth="30936" windowHeight="16776" tabRatio="911" xr2:uid="{00000000-000D-0000-FFFF-FFFF00000000}"/>
  </bookViews>
  <sheets>
    <sheet name="HORIZONTE-detalle" sheetId="23" r:id="rId1"/>
    <sheet name="ROCA-detalle" sheetId="19" r:id="rId2"/>
    <sheet name="IMPULSO-detalle" sheetId="20" r:id="rId3"/>
    <sheet name="GEDA-detalle" sheetId="13" r:id="rId4"/>
    <sheet name="GENZ-detalle" sheetId="30" r:id="rId5"/>
    <sheet name="CRYPTO-detalle" sheetId="3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5" i="32" l="1"/>
  <c r="E115" i="32"/>
  <c r="J114" i="32"/>
  <c r="E114" i="32"/>
  <c r="J112" i="32"/>
  <c r="E112" i="32"/>
  <c r="T92" i="30"/>
  <c r="O92" i="30"/>
  <c r="J92" i="30"/>
  <c r="E92" i="30"/>
  <c r="T91" i="30"/>
  <c r="O91" i="30"/>
  <c r="J91" i="30"/>
  <c r="E91" i="30"/>
  <c r="T89" i="30"/>
  <c r="O89" i="30"/>
  <c r="J89" i="30"/>
  <c r="E89" i="30"/>
  <c r="AP126" i="13"/>
  <c r="AP127" i="13"/>
  <c r="AP128" i="13"/>
  <c r="AP129" i="13"/>
  <c r="AP130" i="13"/>
  <c r="E147" i="13"/>
  <c r="E146" i="13"/>
  <c r="E144" i="13"/>
  <c r="X138" i="19"/>
  <c r="T138" i="19"/>
  <c r="P138" i="19"/>
  <c r="L138" i="19"/>
  <c r="H138" i="19"/>
  <c r="D138" i="19"/>
  <c r="X137" i="19"/>
  <c r="T137" i="19"/>
  <c r="P137" i="19"/>
  <c r="L137" i="19"/>
  <c r="H137" i="19"/>
  <c r="D137" i="19"/>
  <c r="L139" i="20"/>
  <c r="H139" i="20"/>
  <c r="D139" i="20"/>
  <c r="L138" i="20"/>
  <c r="H138" i="20"/>
  <c r="D138" i="20"/>
  <c r="L136" i="20"/>
  <c r="H136" i="20"/>
  <c r="D136" i="20"/>
  <c r="X135" i="19"/>
  <c r="T135" i="19"/>
  <c r="P135" i="19"/>
  <c r="L135" i="19"/>
  <c r="H135" i="19"/>
  <c r="D135" i="19"/>
  <c r="P107" i="23"/>
  <c r="Y106" i="32"/>
  <c r="T106" i="32"/>
  <c r="Y82" i="30"/>
  <c r="AH130" i="13"/>
  <c r="AC130" i="13"/>
  <c r="U130" i="13"/>
  <c r="M130" i="13"/>
  <c r="T105" i="32" l="1"/>
  <c r="Y105" i="32"/>
  <c r="Y81" i="30"/>
  <c r="AC129" i="13"/>
  <c r="AH129" i="13"/>
  <c r="U129" i="13"/>
  <c r="M129" i="13"/>
  <c r="P106" i="23"/>
  <c r="P103" i="23"/>
  <c r="P104" i="23"/>
  <c r="P105" i="23"/>
  <c r="Y104" i="32"/>
  <c r="T104" i="32"/>
  <c r="Y80" i="30"/>
  <c r="AC128" i="13"/>
  <c r="AH128" i="13"/>
  <c r="U128" i="13"/>
  <c r="M128" i="13"/>
  <c r="AC127" i="13"/>
  <c r="G109" i="32" l="1"/>
  <c r="F109" i="32"/>
  <c r="B109" i="32"/>
  <c r="B108" i="32"/>
  <c r="B107" i="32"/>
  <c r="B106" i="32"/>
  <c r="B105" i="32"/>
  <c r="B104" i="32"/>
  <c r="Y103" i="32"/>
  <c r="T103" i="32"/>
  <c r="B103" i="32"/>
  <c r="Y102" i="32"/>
  <c r="T102" i="32"/>
  <c r="B102" i="32"/>
  <c r="Y101" i="32"/>
  <c r="T101" i="32"/>
  <c r="B101" i="32"/>
  <c r="Y100" i="32"/>
  <c r="T100" i="32"/>
  <c r="B100" i="32"/>
  <c r="Y99" i="32"/>
  <c r="T99" i="32"/>
  <c r="B99" i="32"/>
  <c r="Y98" i="32"/>
  <c r="Z98" i="32" s="1"/>
  <c r="T98" i="32"/>
  <c r="U98" i="32" s="1"/>
  <c r="K98" i="32"/>
  <c r="K99" i="32" s="1"/>
  <c r="K100" i="32" s="1"/>
  <c r="K101" i="32" s="1"/>
  <c r="K102" i="32" s="1"/>
  <c r="K103" i="32" s="1"/>
  <c r="K104" i="32" s="1"/>
  <c r="K105" i="32" s="1"/>
  <c r="K106" i="32" s="1"/>
  <c r="F98" i="32"/>
  <c r="F99" i="32" s="1"/>
  <c r="F100" i="32" s="1"/>
  <c r="F101" i="32" s="1"/>
  <c r="F102" i="32" s="1"/>
  <c r="F103" i="32" s="1"/>
  <c r="F104" i="32" s="1"/>
  <c r="F105" i="32" s="1"/>
  <c r="F106" i="32" s="1"/>
  <c r="B98" i="32"/>
  <c r="Y97" i="32"/>
  <c r="T97" i="32"/>
  <c r="B97" i="32"/>
  <c r="Y96" i="32"/>
  <c r="T96" i="32"/>
  <c r="B96" i="32"/>
  <c r="Y95" i="32"/>
  <c r="T95" i="32"/>
  <c r="B95" i="32"/>
  <c r="Y94" i="32"/>
  <c r="T94" i="32"/>
  <c r="B94" i="32"/>
  <c r="Y93" i="32"/>
  <c r="T93" i="32"/>
  <c r="B93" i="32"/>
  <c r="Y92" i="32"/>
  <c r="T92" i="32"/>
  <c r="B92" i="32"/>
  <c r="Y91" i="32"/>
  <c r="T91" i="32"/>
  <c r="B91" i="32"/>
  <c r="Y90" i="32"/>
  <c r="T90" i="32"/>
  <c r="B90" i="32"/>
  <c r="Y89" i="32"/>
  <c r="T89" i="32"/>
  <c r="B89" i="32"/>
  <c r="Y88" i="32"/>
  <c r="T88" i="32"/>
  <c r="B88" i="32"/>
  <c r="Y87" i="32"/>
  <c r="T87" i="32"/>
  <c r="B87" i="32"/>
  <c r="Y86" i="32"/>
  <c r="Z86" i="32" s="1"/>
  <c r="T86" i="32"/>
  <c r="U86" i="32" s="1"/>
  <c r="K86" i="32"/>
  <c r="K87" i="32" s="1"/>
  <c r="K88" i="32" s="1"/>
  <c r="K89" i="32" s="1"/>
  <c r="K90" i="32" s="1"/>
  <c r="K91" i="32" s="1"/>
  <c r="K92" i="32" s="1"/>
  <c r="K93" i="32" s="1"/>
  <c r="K94" i="32" s="1"/>
  <c r="K95" i="32" s="1"/>
  <c r="K96" i="32" s="1"/>
  <c r="K97" i="32" s="1"/>
  <c r="F86" i="32"/>
  <c r="F87" i="32" s="1"/>
  <c r="F88" i="32" s="1"/>
  <c r="F89" i="32" s="1"/>
  <c r="F90" i="32" s="1"/>
  <c r="F91" i="32" s="1"/>
  <c r="F92" i="32" s="1"/>
  <c r="F93" i="32" s="1"/>
  <c r="F94" i="32" s="1"/>
  <c r="F95" i="32" s="1"/>
  <c r="F96" i="32" s="1"/>
  <c r="F97" i="32" s="1"/>
  <c r="B86" i="32"/>
  <c r="Y85" i="32"/>
  <c r="B85" i="32"/>
  <c r="Y84" i="32"/>
  <c r="B84" i="32"/>
  <c r="Y83" i="32"/>
  <c r="B83" i="32"/>
  <c r="Y82" i="32"/>
  <c r="B82" i="32"/>
  <c r="Y81" i="32"/>
  <c r="B81" i="32"/>
  <c r="Y80" i="32"/>
  <c r="B80" i="32"/>
  <c r="Y79" i="32"/>
  <c r="B79" i="32"/>
  <c r="Y78" i="32"/>
  <c r="B78" i="32"/>
  <c r="Y77" i="32"/>
  <c r="B77" i="32"/>
  <c r="Y76" i="32"/>
  <c r="B76" i="32"/>
  <c r="Y75" i="32"/>
  <c r="B75" i="32"/>
  <c r="Y74" i="32"/>
  <c r="U74" i="32"/>
  <c r="U75" i="32" s="1"/>
  <c r="U76" i="32" s="1"/>
  <c r="U77" i="32" s="1"/>
  <c r="U78" i="32" s="1"/>
  <c r="U79" i="32" s="1"/>
  <c r="U80" i="32" s="1"/>
  <c r="U81" i="32" s="1"/>
  <c r="U82" i="32" s="1"/>
  <c r="U83" i="32" s="1"/>
  <c r="U84" i="32" s="1"/>
  <c r="U85" i="32" s="1"/>
  <c r="K74" i="32"/>
  <c r="K75" i="32" s="1"/>
  <c r="K76" i="32" s="1"/>
  <c r="K77" i="32" s="1"/>
  <c r="K78" i="32" s="1"/>
  <c r="K79" i="32" s="1"/>
  <c r="K80" i="32" s="1"/>
  <c r="K81" i="32" s="1"/>
  <c r="K82" i="32" s="1"/>
  <c r="K83" i="32" s="1"/>
  <c r="K84" i="32" s="1"/>
  <c r="K85" i="32" s="1"/>
  <c r="F74" i="32"/>
  <c r="F75" i="32" s="1"/>
  <c r="F76" i="32" s="1"/>
  <c r="F77" i="32" s="1"/>
  <c r="F78" i="32" s="1"/>
  <c r="F79" i="32" s="1"/>
  <c r="F80" i="32" s="1"/>
  <c r="F81" i="32" s="1"/>
  <c r="F82" i="32" s="1"/>
  <c r="F83" i="32" s="1"/>
  <c r="F84" i="32" s="1"/>
  <c r="F85" i="32" s="1"/>
  <c r="B74" i="32"/>
  <c r="Y73" i="32"/>
  <c r="B73" i="32"/>
  <c r="Y72" i="32"/>
  <c r="B72" i="32"/>
  <c r="Y71" i="32"/>
  <c r="B71" i="32"/>
  <c r="Y70" i="32"/>
  <c r="B70" i="32"/>
  <c r="Y69" i="32"/>
  <c r="B69" i="32"/>
  <c r="Y68" i="32"/>
  <c r="B68" i="32"/>
  <c r="Y67" i="32"/>
  <c r="B67" i="32"/>
  <c r="Y66" i="32"/>
  <c r="B66" i="32"/>
  <c r="Y65" i="32"/>
  <c r="F65" i="32"/>
  <c r="F66" i="32" s="1"/>
  <c r="F67" i="32" s="1"/>
  <c r="F68" i="32" s="1"/>
  <c r="F69" i="32" s="1"/>
  <c r="F70" i="32" s="1"/>
  <c r="F71" i="32" s="1"/>
  <c r="F72" i="32" s="1"/>
  <c r="F73" i="32" s="1"/>
  <c r="B65" i="32"/>
  <c r="Y64" i="32"/>
  <c r="B64" i="32"/>
  <c r="Y63" i="32"/>
  <c r="B63" i="32"/>
  <c r="Y62" i="32"/>
  <c r="U62" i="32"/>
  <c r="U63" i="32" s="1"/>
  <c r="U64" i="32" s="1"/>
  <c r="U65" i="32" s="1"/>
  <c r="U66" i="32" s="1"/>
  <c r="U67" i="32" s="1"/>
  <c r="U68" i="32" s="1"/>
  <c r="U69" i="32" s="1"/>
  <c r="U70" i="32" s="1"/>
  <c r="U71" i="32" s="1"/>
  <c r="U72" i="32" s="1"/>
  <c r="U73" i="32" s="1"/>
  <c r="K62" i="32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F62" i="32"/>
  <c r="F63" i="32" s="1"/>
  <c r="F64" i="32" s="1"/>
  <c r="B62" i="32"/>
  <c r="Y61" i="32"/>
  <c r="B61" i="32"/>
  <c r="Y60" i="32"/>
  <c r="B60" i="32"/>
  <c r="Y59" i="32"/>
  <c r="B59" i="32"/>
  <c r="Y58" i="32"/>
  <c r="B58" i="32"/>
  <c r="Y57" i="32"/>
  <c r="B57" i="32"/>
  <c r="Y56" i="32"/>
  <c r="B56" i="32"/>
  <c r="Y55" i="32"/>
  <c r="B55" i="32"/>
  <c r="Y54" i="32"/>
  <c r="B54" i="32"/>
  <c r="Y53" i="32"/>
  <c r="B53" i="32"/>
  <c r="Y52" i="32"/>
  <c r="B52" i="32"/>
  <c r="Y51" i="32"/>
  <c r="B51" i="32"/>
  <c r="Y50" i="32"/>
  <c r="U50" i="32"/>
  <c r="U51" i="32" s="1"/>
  <c r="U52" i="32" s="1"/>
  <c r="U53" i="32" s="1"/>
  <c r="U54" i="32" s="1"/>
  <c r="U55" i="32" s="1"/>
  <c r="U56" i="32" s="1"/>
  <c r="U57" i="32" s="1"/>
  <c r="U58" i="32" s="1"/>
  <c r="U59" i="32" s="1"/>
  <c r="U60" i="32" s="1"/>
  <c r="U61" i="32" s="1"/>
  <c r="K50" i="32"/>
  <c r="K51" i="32" s="1"/>
  <c r="K52" i="32" s="1"/>
  <c r="K53" i="32" s="1"/>
  <c r="K54" i="32" s="1"/>
  <c r="K55" i="32" s="1"/>
  <c r="K56" i="32" s="1"/>
  <c r="K57" i="32" s="1"/>
  <c r="K58" i="32" s="1"/>
  <c r="K59" i="32" s="1"/>
  <c r="K60" i="32" s="1"/>
  <c r="K61" i="32" s="1"/>
  <c r="F50" i="32"/>
  <c r="F51" i="32" s="1"/>
  <c r="F52" i="32" s="1"/>
  <c r="F53" i="32" s="1"/>
  <c r="F54" i="32" s="1"/>
  <c r="F55" i="32" s="1"/>
  <c r="F56" i="32" s="1"/>
  <c r="F57" i="32" s="1"/>
  <c r="F58" i="32" s="1"/>
  <c r="F59" i="32" s="1"/>
  <c r="F60" i="32" s="1"/>
  <c r="F61" i="32" s="1"/>
  <c r="B50" i="32"/>
  <c r="Y49" i="32"/>
  <c r="B49" i="32"/>
  <c r="Y48" i="32"/>
  <c r="B48" i="32"/>
  <c r="Y47" i="32"/>
  <c r="B47" i="32"/>
  <c r="Y46" i="32"/>
  <c r="B46" i="32"/>
  <c r="Y45" i="32"/>
  <c r="B45" i="32"/>
  <c r="Y44" i="32"/>
  <c r="B44" i="32"/>
  <c r="Y43" i="32"/>
  <c r="B43" i="32"/>
  <c r="Y42" i="32"/>
  <c r="B42" i="32"/>
  <c r="Y41" i="32"/>
  <c r="B41" i="32"/>
  <c r="Y40" i="32"/>
  <c r="B40" i="32"/>
  <c r="Y39" i="32"/>
  <c r="B39" i="32"/>
  <c r="Y38" i="32"/>
  <c r="U38" i="32"/>
  <c r="U39" i="32" s="1"/>
  <c r="U40" i="32" s="1"/>
  <c r="U41" i="32" s="1"/>
  <c r="U42" i="32" s="1"/>
  <c r="U43" i="32" s="1"/>
  <c r="U44" i="32" s="1"/>
  <c r="U45" i="32" s="1"/>
  <c r="U46" i="32" s="1"/>
  <c r="U47" i="32" s="1"/>
  <c r="U48" i="32" s="1"/>
  <c r="U49" i="32" s="1"/>
  <c r="K38" i="32"/>
  <c r="K39" i="32" s="1"/>
  <c r="K40" i="32" s="1"/>
  <c r="K41" i="32" s="1"/>
  <c r="K42" i="32" s="1"/>
  <c r="K43" i="32" s="1"/>
  <c r="K44" i="32" s="1"/>
  <c r="K45" i="32" s="1"/>
  <c r="K46" i="32" s="1"/>
  <c r="K47" i="32" s="1"/>
  <c r="K48" i="32" s="1"/>
  <c r="K49" i="32" s="1"/>
  <c r="F38" i="32"/>
  <c r="F39" i="32" s="1"/>
  <c r="F40" i="32" s="1"/>
  <c r="F41" i="32" s="1"/>
  <c r="F42" i="32" s="1"/>
  <c r="F43" i="32" s="1"/>
  <c r="F44" i="32" s="1"/>
  <c r="F45" i="32" s="1"/>
  <c r="F46" i="32" s="1"/>
  <c r="F47" i="32" s="1"/>
  <c r="F48" i="32" s="1"/>
  <c r="F49" i="32" s="1"/>
  <c r="B38" i="32"/>
  <c r="Y37" i="32"/>
  <c r="B37" i="32"/>
  <c r="Y36" i="32"/>
  <c r="B36" i="32"/>
  <c r="Y35" i="32"/>
  <c r="B35" i="32"/>
  <c r="Y34" i="32"/>
  <c r="B34" i="32"/>
  <c r="Y33" i="32"/>
  <c r="B33" i="32"/>
  <c r="Y32" i="32"/>
  <c r="B32" i="32"/>
  <c r="Y31" i="32"/>
  <c r="B31" i="32"/>
  <c r="Y30" i="32"/>
  <c r="B30" i="32"/>
  <c r="Y29" i="32"/>
  <c r="B29" i="32"/>
  <c r="Y28" i="32"/>
  <c r="B28" i="32"/>
  <c r="Y27" i="32"/>
  <c r="B27" i="32"/>
  <c r="Y26" i="32"/>
  <c r="U26" i="32"/>
  <c r="U27" i="32" s="1"/>
  <c r="U28" i="32" s="1"/>
  <c r="U29" i="32" s="1"/>
  <c r="U30" i="32" s="1"/>
  <c r="U31" i="32" s="1"/>
  <c r="U32" i="32" s="1"/>
  <c r="U33" i="32" s="1"/>
  <c r="U34" i="32" s="1"/>
  <c r="U35" i="32" s="1"/>
  <c r="U36" i="32" s="1"/>
  <c r="U37" i="32" s="1"/>
  <c r="K26" i="32"/>
  <c r="K27" i="32" s="1"/>
  <c r="K28" i="32" s="1"/>
  <c r="K29" i="32" s="1"/>
  <c r="K30" i="32" s="1"/>
  <c r="K31" i="32" s="1"/>
  <c r="K32" i="32" s="1"/>
  <c r="K33" i="32" s="1"/>
  <c r="K34" i="32" s="1"/>
  <c r="K35" i="32" s="1"/>
  <c r="K36" i="32" s="1"/>
  <c r="K37" i="32" s="1"/>
  <c r="F26" i="32"/>
  <c r="F27" i="32" s="1"/>
  <c r="F28" i="32" s="1"/>
  <c r="F29" i="32" s="1"/>
  <c r="F30" i="32" s="1"/>
  <c r="F31" i="32" s="1"/>
  <c r="F32" i="32" s="1"/>
  <c r="F33" i="32" s="1"/>
  <c r="F34" i="32" s="1"/>
  <c r="F35" i="32" s="1"/>
  <c r="F36" i="32" s="1"/>
  <c r="F37" i="32" s="1"/>
  <c r="B26" i="32"/>
  <c r="Y25" i="32"/>
  <c r="B25" i="32"/>
  <c r="Y24" i="32"/>
  <c r="B24" i="32"/>
  <c r="Y23" i="32"/>
  <c r="B23" i="32"/>
  <c r="Y22" i="32"/>
  <c r="B22" i="32"/>
  <c r="Y21" i="32"/>
  <c r="B21" i="32"/>
  <c r="Y20" i="32"/>
  <c r="B20" i="32"/>
  <c r="Y19" i="32"/>
  <c r="B19" i="32"/>
  <c r="Y18" i="32"/>
  <c r="B18" i="32"/>
  <c r="Y17" i="32"/>
  <c r="B17" i="32"/>
  <c r="Y16" i="32"/>
  <c r="B16" i="32"/>
  <c r="Y15" i="32"/>
  <c r="B15" i="32"/>
  <c r="Y14" i="32"/>
  <c r="Z14" i="32" s="1"/>
  <c r="U14" i="32"/>
  <c r="U15" i="32" s="1"/>
  <c r="U16" i="32" s="1"/>
  <c r="U17" i="32" s="1"/>
  <c r="U18" i="32" s="1"/>
  <c r="U19" i="32" s="1"/>
  <c r="U20" i="32" s="1"/>
  <c r="U21" i="32" s="1"/>
  <c r="U22" i="32" s="1"/>
  <c r="U23" i="32" s="1"/>
  <c r="U24" i="32" s="1"/>
  <c r="U25" i="32" s="1"/>
  <c r="K14" i="32"/>
  <c r="K15" i="32" s="1"/>
  <c r="K16" i="32" s="1"/>
  <c r="K17" i="32" s="1"/>
  <c r="K18" i="32" s="1"/>
  <c r="K19" i="32" s="1"/>
  <c r="K20" i="32" s="1"/>
  <c r="K21" i="32" s="1"/>
  <c r="K22" i="32" s="1"/>
  <c r="K23" i="32" s="1"/>
  <c r="K24" i="32" s="1"/>
  <c r="K25" i="32" s="1"/>
  <c r="F14" i="32"/>
  <c r="F15" i="32" s="1"/>
  <c r="F16" i="32" s="1"/>
  <c r="F17" i="32" s="1"/>
  <c r="F18" i="32" s="1"/>
  <c r="F19" i="32" s="1"/>
  <c r="F20" i="32" s="1"/>
  <c r="F21" i="32" s="1"/>
  <c r="F22" i="32" s="1"/>
  <c r="F23" i="32" s="1"/>
  <c r="F24" i="32" s="1"/>
  <c r="F25" i="32" s="1"/>
  <c r="B14" i="32"/>
  <c r="Y13" i="32"/>
  <c r="B13" i="32"/>
  <c r="Y12" i="32"/>
  <c r="B12" i="32"/>
  <c r="Y11" i="32"/>
  <c r="B11" i="32"/>
  <c r="Y10" i="32"/>
  <c r="B10" i="32"/>
  <c r="Y9" i="32"/>
  <c r="B9" i="32"/>
  <c r="Y8" i="32"/>
  <c r="B8" i="32"/>
  <c r="Y7" i="32"/>
  <c r="B7" i="32"/>
  <c r="Y6" i="32"/>
  <c r="B6" i="32"/>
  <c r="Y5" i="32"/>
  <c r="B5" i="32"/>
  <c r="Y4" i="32"/>
  <c r="B4" i="32"/>
  <c r="Y3" i="32"/>
  <c r="B3" i="32"/>
  <c r="Y2" i="32"/>
  <c r="T2" i="32"/>
  <c r="L2" i="32"/>
  <c r="M2" i="32" s="1"/>
  <c r="K2" i="32"/>
  <c r="K3" i="32" s="1"/>
  <c r="K4" i="32" s="1"/>
  <c r="K5" i="32" s="1"/>
  <c r="K6" i="32" s="1"/>
  <c r="K7" i="32" s="1"/>
  <c r="K8" i="32" s="1"/>
  <c r="K9" i="32" s="1"/>
  <c r="K10" i="32" s="1"/>
  <c r="K11" i="32" s="1"/>
  <c r="K12" i="32" s="1"/>
  <c r="K13" i="32" s="1"/>
  <c r="G2" i="32"/>
  <c r="G3" i="32" s="1"/>
  <c r="F2" i="32"/>
  <c r="F3" i="32" s="1"/>
  <c r="F4" i="32" s="1"/>
  <c r="F5" i="32" s="1"/>
  <c r="F6" i="32" s="1"/>
  <c r="F7" i="32" s="1"/>
  <c r="F8" i="32" s="1"/>
  <c r="F9" i="32" s="1"/>
  <c r="F10" i="32" s="1"/>
  <c r="F11" i="32" s="1"/>
  <c r="F12" i="32" s="1"/>
  <c r="F13" i="32" s="1"/>
  <c r="B2" i="32"/>
  <c r="B85" i="30"/>
  <c r="B84" i="30"/>
  <c r="B83" i="30"/>
  <c r="B82" i="30"/>
  <c r="B81" i="30"/>
  <c r="B80" i="30"/>
  <c r="Y79" i="30"/>
  <c r="B79" i="30"/>
  <c r="Y78" i="30"/>
  <c r="B78" i="30"/>
  <c r="Y77" i="30"/>
  <c r="B77" i="30"/>
  <c r="Y76" i="30"/>
  <c r="B76" i="30"/>
  <c r="Y75" i="30"/>
  <c r="B75" i="30"/>
  <c r="Y74" i="30"/>
  <c r="U74" i="30"/>
  <c r="U75" i="30" s="1"/>
  <c r="U76" i="30" s="1"/>
  <c r="U77" i="30" s="1"/>
  <c r="U78" i="30" s="1"/>
  <c r="U79" i="30" s="1"/>
  <c r="U80" i="30" s="1"/>
  <c r="U81" i="30" s="1"/>
  <c r="U82" i="30" s="1"/>
  <c r="P74" i="30"/>
  <c r="P75" i="30" s="1"/>
  <c r="P76" i="30" s="1"/>
  <c r="P77" i="30" s="1"/>
  <c r="P78" i="30" s="1"/>
  <c r="P79" i="30" s="1"/>
  <c r="P80" i="30" s="1"/>
  <c r="P81" i="30" s="1"/>
  <c r="P82" i="30" s="1"/>
  <c r="K74" i="30"/>
  <c r="K75" i="30" s="1"/>
  <c r="K76" i="30" s="1"/>
  <c r="K77" i="30" s="1"/>
  <c r="K78" i="30" s="1"/>
  <c r="K79" i="30" s="1"/>
  <c r="K80" i="30" s="1"/>
  <c r="K81" i="30" s="1"/>
  <c r="K82" i="30" s="1"/>
  <c r="F74" i="30"/>
  <c r="F75" i="30" s="1"/>
  <c r="F76" i="30" s="1"/>
  <c r="F77" i="30" s="1"/>
  <c r="F78" i="30" s="1"/>
  <c r="F79" i="30" s="1"/>
  <c r="F80" i="30" s="1"/>
  <c r="F81" i="30" s="1"/>
  <c r="F82" i="30" s="1"/>
  <c r="B74" i="30"/>
  <c r="Y73" i="30"/>
  <c r="B73" i="30"/>
  <c r="Y72" i="30"/>
  <c r="B72" i="30"/>
  <c r="Y71" i="30"/>
  <c r="B71" i="30"/>
  <c r="Y70" i="30"/>
  <c r="B70" i="30"/>
  <c r="Y69" i="30"/>
  <c r="B69" i="30"/>
  <c r="Y68" i="30"/>
  <c r="B68" i="30"/>
  <c r="Y67" i="30"/>
  <c r="B67" i="30"/>
  <c r="Y66" i="30"/>
  <c r="B66" i="30"/>
  <c r="Y65" i="30"/>
  <c r="B65" i="30"/>
  <c r="Y64" i="30"/>
  <c r="B64" i="30"/>
  <c r="Y63" i="30"/>
  <c r="F63" i="30"/>
  <c r="F64" i="30" s="1"/>
  <c r="F65" i="30" s="1"/>
  <c r="F66" i="30" s="1"/>
  <c r="F67" i="30" s="1"/>
  <c r="F68" i="30" s="1"/>
  <c r="F69" i="30" s="1"/>
  <c r="F70" i="30" s="1"/>
  <c r="F71" i="30" s="1"/>
  <c r="F72" i="30" s="1"/>
  <c r="F73" i="30" s="1"/>
  <c r="B63" i="30"/>
  <c r="Y62" i="30"/>
  <c r="U62" i="30"/>
  <c r="U63" i="30" s="1"/>
  <c r="U64" i="30" s="1"/>
  <c r="U65" i="30" s="1"/>
  <c r="U66" i="30" s="1"/>
  <c r="U67" i="30" s="1"/>
  <c r="U68" i="30" s="1"/>
  <c r="U69" i="30" s="1"/>
  <c r="U70" i="30" s="1"/>
  <c r="U71" i="30" s="1"/>
  <c r="U72" i="30" s="1"/>
  <c r="U73" i="30" s="1"/>
  <c r="P62" i="30"/>
  <c r="P63" i="30" s="1"/>
  <c r="P64" i="30" s="1"/>
  <c r="P65" i="30" s="1"/>
  <c r="P66" i="30" s="1"/>
  <c r="P67" i="30" s="1"/>
  <c r="P68" i="30" s="1"/>
  <c r="P69" i="30" s="1"/>
  <c r="P70" i="30" s="1"/>
  <c r="P71" i="30" s="1"/>
  <c r="P72" i="30" s="1"/>
  <c r="P73" i="30" s="1"/>
  <c r="K62" i="30"/>
  <c r="K63" i="30" s="1"/>
  <c r="K64" i="30" s="1"/>
  <c r="K65" i="30" s="1"/>
  <c r="K66" i="30" s="1"/>
  <c r="K67" i="30" s="1"/>
  <c r="K68" i="30" s="1"/>
  <c r="K69" i="30" s="1"/>
  <c r="K70" i="30" s="1"/>
  <c r="K71" i="30" s="1"/>
  <c r="K72" i="30" s="1"/>
  <c r="K73" i="30" s="1"/>
  <c r="F62" i="30"/>
  <c r="B62" i="30"/>
  <c r="Y61" i="30"/>
  <c r="B61" i="30"/>
  <c r="Y60" i="30"/>
  <c r="B60" i="30"/>
  <c r="Y59" i="30"/>
  <c r="B59" i="30"/>
  <c r="Y58" i="30"/>
  <c r="B58" i="30"/>
  <c r="Y57" i="30"/>
  <c r="B57" i="30"/>
  <c r="Y56" i="30"/>
  <c r="B56" i="30"/>
  <c r="Y55" i="30"/>
  <c r="B55" i="30"/>
  <c r="Y54" i="30"/>
  <c r="B54" i="30"/>
  <c r="Y53" i="30"/>
  <c r="B53" i="30"/>
  <c r="Y52" i="30"/>
  <c r="B52" i="30"/>
  <c r="Y51" i="30"/>
  <c r="B51" i="30"/>
  <c r="Y50" i="30"/>
  <c r="U50" i="30"/>
  <c r="U51" i="30" s="1"/>
  <c r="U52" i="30" s="1"/>
  <c r="U53" i="30" s="1"/>
  <c r="U54" i="30" s="1"/>
  <c r="U55" i="30" s="1"/>
  <c r="U56" i="30" s="1"/>
  <c r="U57" i="30" s="1"/>
  <c r="U58" i="30" s="1"/>
  <c r="U59" i="30" s="1"/>
  <c r="U60" i="30" s="1"/>
  <c r="U61" i="30" s="1"/>
  <c r="P50" i="30"/>
  <c r="P51" i="30" s="1"/>
  <c r="P52" i="30" s="1"/>
  <c r="P53" i="30" s="1"/>
  <c r="P54" i="30" s="1"/>
  <c r="P55" i="30" s="1"/>
  <c r="P56" i="30" s="1"/>
  <c r="P57" i="30" s="1"/>
  <c r="P58" i="30" s="1"/>
  <c r="P59" i="30" s="1"/>
  <c r="P60" i="30" s="1"/>
  <c r="P61" i="30" s="1"/>
  <c r="K50" i="30"/>
  <c r="K51" i="30" s="1"/>
  <c r="K52" i="30" s="1"/>
  <c r="K53" i="30" s="1"/>
  <c r="K54" i="30" s="1"/>
  <c r="K55" i="30" s="1"/>
  <c r="K56" i="30" s="1"/>
  <c r="K57" i="30" s="1"/>
  <c r="K58" i="30" s="1"/>
  <c r="K59" i="30" s="1"/>
  <c r="K60" i="30" s="1"/>
  <c r="K61" i="30" s="1"/>
  <c r="F50" i="30"/>
  <c r="F51" i="30" s="1"/>
  <c r="F52" i="30" s="1"/>
  <c r="F53" i="30" s="1"/>
  <c r="F54" i="30" s="1"/>
  <c r="F55" i="30" s="1"/>
  <c r="F56" i="30" s="1"/>
  <c r="F57" i="30" s="1"/>
  <c r="F58" i="30" s="1"/>
  <c r="F59" i="30" s="1"/>
  <c r="F60" i="30" s="1"/>
  <c r="F61" i="30" s="1"/>
  <c r="B50" i="30"/>
  <c r="Y49" i="30"/>
  <c r="B49" i="30"/>
  <c r="Y48" i="30"/>
  <c r="B48" i="30"/>
  <c r="Y47" i="30"/>
  <c r="B47" i="30"/>
  <c r="Y46" i="30"/>
  <c r="B46" i="30"/>
  <c r="Y45" i="30"/>
  <c r="B45" i="30"/>
  <c r="Y44" i="30"/>
  <c r="B44" i="30"/>
  <c r="Y43" i="30"/>
  <c r="B43" i="30"/>
  <c r="Y42" i="30"/>
  <c r="B42" i="30"/>
  <c r="Y41" i="30"/>
  <c r="B41" i="30"/>
  <c r="Y40" i="30"/>
  <c r="B40" i="30"/>
  <c r="Y39" i="30"/>
  <c r="B39" i="30"/>
  <c r="Y38" i="30"/>
  <c r="U38" i="30"/>
  <c r="U39" i="30" s="1"/>
  <c r="U40" i="30" s="1"/>
  <c r="U41" i="30" s="1"/>
  <c r="U42" i="30" s="1"/>
  <c r="U43" i="30" s="1"/>
  <c r="U44" i="30" s="1"/>
  <c r="U45" i="30" s="1"/>
  <c r="U46" i="30" s="1"/>
  <c r="U47" i="30" s="1"/>
  <c r="U48" i="30" s="1"/>
  <c r="U49" i="30" s="1"/>
  <c r="P38" i="30"/>
  <c r="P39" i="30" s="1"/>
  <c r="P40" i="30" s="1"/>
  <c r="P41" i="30" s="1"/>
  <c r="P42" i="30" s="1"/>
  <c r="P43" i="30" s="1"/>
  <c r="P44" i="30" s="1"/>
  <c r="P45" i="30" s="1"/>
  <c r="P46" i="30" s="1"/>
  <c r="P47" i="30" s="1"/>
  <c r="P48" i="30" s="1"/>
  <c r="P49" i="30" s="1"/>
  <c r="K38" i="30"/>
  <c r="K39" i="30" s="1"/>
  <c r="K40" i="30" s="1"/>
  <c r="K41" i="30" s="1"/>
  <c r="K42" i="30" s="1"/>
  <c r="K43" i="30" s="1"/>
  <c r="K44" i="30" s="1"/>
  <c r="K45" i="30" s="1"/>
  <c r="K46" i="30" s="1"/>
  <c r="K47" i="30" s="1"/>
  <c r="K48" i="30" s="1"/>
  <c r="K49" i="30" s="1"/>
  <c r="F38" i="30"/>
  <c r="F39" i="30" s="1"/>
  <c r="F40" i="30" s="1"/>
  <c r="F41" i="30" s="1"/>
  <c r="F42" i="30" s="1"/>
  <c r="F43" i="30" s="1"/>
  <c r="F44" i="30" s="1"/>
  <c r="F45" i="30" s="1"/>
  <c r="F46" i="30" s="1"/>
  <c r="F47" i="30" s="1"/>
  <c r="F48" i="30" s="1"/>
  <c r="F49" i="30" s="1"/>
  <c r="B38" i="30"/>
  <c r="Y37" i="30"/>
  <c r="B37" i="30"/>
  <c r="Y36" i="30"/>
  <c r="B36" i="30"/>
  <c r="Y35" i="30"/>
  <c r="B35" i="30"/>
  <c r="Y34" i="30"/>
  <c r="B34" i="30"/>
  <c r="Y33" i="30"/>
  <c r="B33" i="30"/>
  <c r="Y32" i="30"/>
  <c r="B32" i="30"/>
  <c r="Y31" i="30"/>
  <c r="B31" i="30"/>
  <c r="Y30" i="30"/>
  <c r="B30" i="30"/>
  <c r="Y29" i="30"/>
  <c r="B29" i="30"/>
  <c r="Y28" i="30"/>
  <c r="B28" i="30"/>
  <c r="Y27" i="30"/>
  <c r="B27" i="30"/>
  <c r="Y26" i="30"/>
  <c r="U26" i="30"/>
  <c r="U27" i="30" s="1"/>
  <c r="U28" i="30" s="1"/>
  <c r="U29" i="30" s="1"/>
  <c r="U30" i="30" s="1"/>
  <c r="U31" i="30" s="1"/>
  <c r="U32" i="30" s="1"/>
  <c r="U33" i="30" s="1"/>
  <c r="U34" i="30" s="1"/>
  <c r="U35" i="30" s="1"/>
  <c r="U36" i="30" s="1"/>
  <c r="U37" i="30" s="1"/>
  <c r="P26" i="30"/>
  <c r="P27" i="30" s="1"/>
  <c r="P28" i="30" s="1"/>
  <c r="P29" i="30" s="1"/>
  <c r="P30" i="30" s="1"/>
  <c r="P31" i="30" s="1"/>
  <c r="P32" i="30" s="1"/>
  <c r="P33" i="30" s="1"/>
  <c r="P34" i="30" s="1"/>
  <c r="P35" i="30" s="1"/>
  <c r="P36" i="30" s="1"/>
  <c r="P37" i="30" s="1"/>
  <c r="K26" i="30"/>
  <c r="K27" i="30" s="1"/>
  <c r="K28" i="30" s="1"/>
  <c r="K29" i="30" s="1"/>
  <c r="K30" i="30" s="1"/>
  <c r="K31" i="30" s="1"/>
  <c r="K32" i="30" s="1"/>
  <c r="K33" i="30" s="1"/>
  <c r="K34" i="30" s="1"/>
  <c r="K35" i="30" s="1"/>
  <c r="K36" i="30" s="1"/>
  <c r="K37" i="30" s="1"/>
  <c r="F26" i="30"/>
  <c r="F27" i="30" s="1"/>
  <c r="F28" i="30" s="1"/>
  <c r="F29" i="30" s="1"/>
  <c r="F30" i="30" s="1"/>
  <c r="F31" i="30" s="1"/>
  <c r="F32" i="30" s="1"/>
  <c r="F33" i="30" s="1"/>
  <c r="F34" i="30" s="1"/>
  <c r="F35" i="30" s="1"/>
  <c r="F36" i="30" s="1"/>
  <c r="F37" i="30" s="1"/>
  <c r="B26" i="30"/>
  <c r="Y25" i="30"/>
  <c r="B25" i="30"/>
  <c r="Y24" i="30"/>
  <c r="B24" i="30"/>
  <c r="Y23" i="30"/>
  <c r="B23" i="30"/>
  <c r="Y22" i="30"/>
  <c r="B22" i="30"/>
  <c r="Y21" i="30"/>
  <c r="B21" i="30"/>
  <c r="Y20" i="30"/>
  <c r="B20" i="30"/>
  <c r="Y19" i="30"/>
  <c r="B19" i="30"/>
  <c r="Y18" i="30"/>
  <c r="B18" i="30"/>
  <c r="Y17" i="30"/>
  <c r="P17" i="30"/>
  <c r="P18" i="30" s="1"/>
  <c r="P19" i="30" s="1"/>
  <c r="P20" i="30" s="1"/>
  <c r="P21" i="30" s="1"/>
  <c r="P22" i="30" s="1"/>
  <c r="P23" i="30" s="1"/>
  <c r="P24" i="30" s="1"/>
  <c r="P25" i="30" s="1"/>
  <c r="B17" i="30"/>
  <c r="Y16" i="30"/>
  <c r="B16" i="30"/>
  <c r="Y15" i="30"/>
  <c r="B15" i="30"/>
  <c r="Y14" i="30"/>
  <c r="U14" i="30"/>
  <c r="U15" i="30" s="1"/>
  <c r="U16" i="30" s="1"/>
  <c r="U17" i="30" s="1"/>
  <c r="U18" i="30" s="1"/>
  <c r="U19" i="30" s="1"/>
  <c r="U20" i="30" s="1"/>
  <c r="U21" i="30" s="1"/>
  <c r="U22" i="30" s="1"/>
  <c r="U23" i="30" s="1"/>
  <c r="U24" i="30" s="1"/>
  <c r="U25" i="30" s="1"/>
  <c r="P14" i="30"/>
  <c r="P15" i="30" s="1"/>
  <c r="P16" i="30" s="1"/>
  <c r="K14" i="30"/>
  <c r="K15" i="30" s="1"/>
  <c r="K16" i="30" s="1"/>
  <c r="K17" i="30" s="1"/>
  <c r="K18" i="30" s="1"/>
  <c r="K19" i="30" s="1"/>
  <c r="K20" i="30" s="1"/>
  <c r="K21" i="30" s="1"/>
  <c r="K22" i="30" s="1"/>
  <c r="K23" i="30" s="1"/>
  <c r="K24" i="30" s="1"/>
  <c r="K25" i="30" s="1"/>
  <c r="F14" i="30"/>
  <c r="F15" i="30" s="1"/>
  <c r="F16" i="30" s="1"/>
  <c r="F17" i="30" s="1"/>
  <c r="F18" i="30" s="1"/>
  <c r="F19" i="30" s="1"/>
  <c r="F20" i="30" s="1"/>
  <c r="F21" i="30" s="1"/>
  <c r="F22" i="30" s="1"/>
  <c r="F23" i="30" s="1"/>
  <c r="F24" i="30" s="1"/>
  <c r="F25" i="30" s="1"/>
  <c r="B14" i="30"/>
  <c r="Y13" i="30"/>
  <c r="B13" i="30"/>
  <c r="Y12" i="30"/>
  <c r="B12" i="30"/>
  <c r="Y11" i="30"/>
  <c r="B11" i="30"/>
  <c r="Y10" i="30"/>
  <c r="B10" i="30"/>
  <c r="Y9" i="30"/>
  <c r="B9" i="30"/>
  <c r="Y8" i="30"/>
  <c r="B8" i="30"/>
  <c r="Y7" i="30"/>
  <c r="B7" i="30"/>
  <c r="Y6" i="30"/>
  <c r="B6" i="30"/>
  <c r="Y5" i="30"/>
  <c r="B5" i="30"/>
  <c r="Y4" i="30"/>
  <c r="B4" i="30"/>
  <c r="Y3" i="30"/>
  <c r="B3" i="30"/>
  <c r="Y2" i="30"/>
  <c r="AA2" i="30" s="1"/>
  <c r="V2" i="30"/>
  <c r="U2" i="30"/>
  <c r="U3" i="30" s="1"/>
  <c r="U4" i="30" s="1"/>
  <c r="U5" i="30" s="1"/>
  <c r="U6" i="30" s="1"/>
  <c r="U7" i="30" s="1"/>
  <c r="U8" i="30" s="1"/>
  <c r="U9" i="30" s="1"/>
  <c r="U10" i="30" s="1"/>
  <c r="U11" i="30" s="1"/>
  <c r="U12" i="30" s="1"/>
  <c r="U13" i="30" s="1"/>
  <c r="Q2" i="30"/>
  <c r="R2" i="30" s="1"/>
  <c r="P2" i="30"/>
  <c r="P3" i="30" s="1"/>
  <c r="P4" i="30" s="1"/>
  <c r="P5" i="30" s="1"/>
  <c r="P6" i="30" s="1"/>
  <c r="P7" i="30" s="1"/>
  <c r="P8" i="30" s="1"/>
  <c r="P9" i="30" s="1"/>
  <c r="P10" i="30" s="1"/>
  <c r="P11" i="30" s="1"/>
  <c r="P12" i="30" s="1"/>
  <c r="P13" i="30" s="1"/>
  <c r="L2" i="30"/>
  <c r="K2" i="30"/>
  <c r="K3" i="30" s="1"/>
  <c r="K4" i="30" s="1"/>
  <c r="K5" i="30" s="1"/>
  <c r="K6" i="30" s="1"/>
  <c r="K7" i="30" s="1"/>
  <c r="K8" i="30" s="1"/>
  <c r="K9" i="30" s="1"/>
  <c r="K10" i="30" s="1"/>
  <c r="K11" i="30" s="1"/>
  <c r="K12" i="30" s="1"/>
  <c r="K13" i="30" s="1"/>
  <c r="G2" i="30"/>
  <c r="G3" i="30" s="1"/>
  <c r="F2" i="30"/>
  <c r="F3" i="30" s="1"/>
  <c r="F4" i="30" s="1"/>
  <c r="F5" i="30" s="1"/>
  <c r="F6" i="30" s="1"/>
  <c r="F7" i="30" s="1"/>
  <c r="F8" i="30" s="1"/>
  <c r="F9" i="30" s="1"/>
  <c r="F10" i="30" s="1"/>
  <c r="F11" i="30" s="1"/>
  <c r="F12" i="30" s="1"/>
  <c r="F13" i="30" s="1"/>
  <c r="B2" i="30"/>
  <c r="G141" i="13"/>
  <c r="E141" i="13"/>
  <c r="AH137" i="13"/>
  <c r="E135" i="13"/>
  <c r="AB134" i="13"/>
  <c r="AB135" i="13" s="1"/>
  <c r="AA134" i="13"/>
  <c r="Z134" i="13"/>
  <c r="Z135" i="13" s="1"/>
  <c r="Y134" i="13"/>
  <c r="T134" i="13"/>
  <c r="T135" i="13" s="1"/>
  <c r="S134" i="13"/>
  <c r="R134" i="13"/>
  <c r="R135" i="13" s="1"/>
  <c r="Q134" i="13"/>
  <c r="L134" i="13"/>
  <c r="L135" i="13" s="1"/>
  <c r="K134" i="13"/>
  <c r="J134" i="13"/>
  <c r="J135" i="13" s="1"/>
  <c r="I134" i="13"/>
  <c r="E134" i="13"/>
  <c r="D134" i="13"/>
  <c r="B133" i="13"/>
  <c r="B132" i="13"/>
  <c r="B131" i="13"/>
  <c r="B130" i="13"/>
  <c r="B129" i="13"/>
  <c r="B128" i="13"/>
  <c r="AH127" i="13"/>
  <c r="U127" i="13"/>
  <c r="M127" i="13"/>
  <c r="B127" i="13"/>
  <c r="AH126" i="13"/>
  <c r="AC126" i="13"/>
  <c r="U126" i="13"/>
  <c r="M126" i="13"/>
  <c r="B126" i="13"/>
  <c r="AP125" i="13"/>
  <c r="AH125" i="13"/>
  <c r="AC125" i="13"/>
  <c r="U125" i="13"/>
  <c r="M125" i="13"/>
  <c r="B125" i="13"/>
  <c r="AP124" i="13"/>
  <c r="AH124" i="13"/>
  <c r="AC124" i="13"/>
  <c r="U124" i="13"/>
  <c r="M124" i="13"/>
  <c r="B124" i="13"/>
  <c r="AP123" i="13"/>
  <c r="AH123" i="13"/>
  <c r="AC123" i="13"/>
  <c r="U123" i="13"/>
  <c r="M123" i="13"/>
  <c r="B123" i="13"/>
  <c r="AP122" i="13"/>
  <c r="AQ122" i="13" s="1"/>
  <c r="AH122" i="13"/>
  <c r="AI122" i="13" s="1"/>
  <c r="AI123" i="13" s="1"/>
  <c r="AC122" i="13"/>
  <c r="AD122" i="13" s="1"/>
  <c r="U122" i="13"/>
  <c r="V122" i="13" s="1"/>
  <c r="V123" i="13" s="1"/>
  <c r="M122" i="13"/>
  <c r="N122" i="13" s="1"/>
  <c r="F122" i="13"/>
  <c r="F123" i="13" s="1"/>
  <c r="F124" i="13" s="1"/>
  <c r="F125" i="13" s="1"/>
  <c r="F126" i="13" s="1"/>
  <c r="F127" i="13" s="1"/>
  <c r="F128" i="13" s="1"/>
  <c r="F129" i="13" s="1"/>
  <c r="F130" i="13" s="1"/>
  <c r="B122" i="13"/>
  <c r="AP121" i="13"/>
  <c r="AH121" i="13"/>
  <c r="AC121" i="13"/>
  <c r="U121" i="13"/>
  <c r="M121" i="13"/>
  <c r="B121" i="13"/>
  <c r="AP120" i="13"/>
  <c r="AH120" i="13"/>
  <c r="AC120" i="13"/>
  <c r="U120" i="13"/>
  <c r="M120" i="13"/>
  <c r="B120" i="13"/>
  <c r="AP119" i="13"/>
  <c r="AH119" i="13"/>
  <c r="AC119" i="13"/>
  <c r="U119" i="13"/>
  <c r="M119" i="13"/>
  <c r="B119" i="13"/>
  <c r="AP118" i="13"/>
  <c r="AH118" i="13"/>
  <c r="AC118" i="13"/>
  <c r="U118" i="13"/>
  <c r="M118" i="13"/>
  <c r="B118" i="13"/>
  <c r="AP117" i="13"/>
  <c r="AH117" i="13"/>
  <c r="AC117" i="13"/>
  <c r="U117" i="13"/>
  <c r="M117" i="13"/>
  <c r="B117" i="13"/>
  <c r="AP116" i="13"/>
  <c r="AH116" i="13"/>
  <c r="AC116" i="13"/>
  <c r="U116" i="13"/>
  <c r="M116" i="13"/>
  <c r="B116" i="13"/>
  <c r="AP115" i="13"/>
  <c r="AH115" i="13"/>
  <c r="AC115" i="13"/>
  <c r="U115" i="13"/>
  <c r="M115" i="13"/>
  <c r="B115" i="13"/>
  <c r="AP114" i="13"/>
  <c r="AH114" i="13"/>
  <c r="AC114" i="13"/>
  <c r="U114" i="13"/>
  <c r="M114" i="13"/>
  <c r="B114" i="13"/>
  <c r="AP113" i="13"/>
  <c r="AH113" i="13"/>
  <c r="AC113" i="13"/>
  <c r="U113" i="13"/>
  <c r="M113" i="13"/>
  <c r="B113" i="13"/>
  <c r="AP112" i="13"/>
  <c r="AH112" i="13"/>
  <c r="AC112" i="13"/>
  <c r="U112" i="13"/>
  <c r="M112" i="13"/>
  <c r="B112" i="13"/>
  <c r="AP111" i="13"/>
  <c r="AH111" i="13"/>
  <c r="AC111" i="13"/>
  <c r="U111" i="13"/>
  <c r="M111" i="13"/>
  <c r="B111" i="13"/>
  <c r="AP110" i="13"/>
  <c r="AQ110" i="13" s="1"/>
  <c r="AH110" i="13"/>
  <c r="AI110" i="13" s="1"/>
  <c r="AC110" i="13"/>
  <c r="AD110" i="13" s="1"/>
  <c r="U110" i="13"/>
  <c r="V110" i="13" s="1"/>
  <c r="V111" i="13" s="1"/>
  <c r="M110" i="13"/>
  <c r="N110" i="13" s="1"/>
  <c r="N111" i="13" s="1"/>
  <c r="F110" i="13"/>
  <c r="F111" i="13" s="1"/>
  <c r="F112" i="13" s="1"/>
  <c r="F113" i="13" s="1"/>
  <c r="F114" i="13" s="1"/>
  <c r="F115" i="13" s="1"/>
  <c r="F116" i="13" s="1"/>
  <c r="F117" i="13" s="1"/>
  <c r="F118" i="13" s="1"/>
  <c r="F119" i="13" s="1"/>
  <c r="F120" i="13" s="1"/>
  <c r="F121" i="13" s="1"/>
  <c r="B110" i="13"/>
  <c r="AP109" i="13"/>
  <c r="AH109" i="13"/>
  <c r="AC109" i="13"/>
  <c r="U109" i="13"/>
  <c r="M109" i="13"/>
  <c r="B109" i="13"/>
  <c r="AP108" i="13"/>
  <c r="AH108" i="13"/>
  <c r="AC108" i="13"/>
  <c r="U108" i="13"/>
  <c r="M108" i="13"/>
  <c r="B108" i="13"/>
  <c r="AP107" i="13"/>
  <c r="AH107" i="13"/>
  <c r="AC107" i="13"/>
  <c r="U107" i="13"/>
  <c r="M107" i="13"/>
  <c r="B107" i="13"/>
  <c r="AP106" i="13"/>
  <c r="AH106" i="13"/>
  <c r="AC106" i="13"/>
  <c r="U106" i="13"/>
  <c r="M106" i="13"/>
  <c r="B106" i="13"/>
  <c r="AP105" i="13"/>
  <c r="AH105" i="13"/>
  <c r="AC105" i="13"/>
  <c r="U105" i="13"/>
  <c r="M105" i="13"/>
  <c r="B105" i="13"/>
  <c r="AP104" i="13"/>
  <c r="AH104" i="13"/>
  <c r="AC104" i="13"/>
  <c r="U104" i="13"/>
  <c r="M104" i="13"/>
  <c r="B104" i="13"/>
  <c r="AP103" i="13"/>
  <c r="AH103" i="13"/>
  <c r="AC103" i="13"/>
  <c r="U103" i="13"/>
  <c r="M103" i="13"/>
  <c r="B103" i="13"/>
  <c r="AP102" i="13"/>
  <c r="AH102" i="13"/>
  <c r="AC102" i="13"/>
  <c r="U102" i="13"/>
  <c r="M102" i="13"/>
  <c r="B102" i="13"/>
  <c r="AP101" i="13"/>
  <c r="AH101" i="13"/>
  <c r="AC101" i="13"/>
  <c r="U101" i="13"/>
  <c r="M101" i="13"/>
  <c r="B101" i="13"/>
  <c r="AP100" i="13"/>
  <c r="AH100" i="13"/>
  <c r="AC100" i="13"/>
  <c r="U100" i="13"/>
  <c r="M100" i="13"/>
  <c r="B100" i="13"/>
  <c r="AP99" i="13"/>
  <c r="AH99" i="13"/>
  <c r="AC99" i="13"/>
  <c r="U99" i="13"/>
  <c r="M99" i="13"/>
  <c r="N99" i="13" s="1"/>
  <c r="B99" i="13"/>
  <c r="AP98" i="13"/>
  <c r="AQ98" i="13" s="1"/>
  <c r="AH98" i="13"/>
  <c r="AI98" i="13" s="1"/>
  <c r="AC98" i="13"/>
  <c r="AD98" i="13" s="1"/>
  <c r="V98" i="13"/>
  <c r="U98" i="13"/>
  <c r="M98" i="13"/>
  <c r="N98" i="13" s="1"/>
  <c r="F98" i="13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B98" i="13"/>
  <c r="AP97" i="13"/>
  <c r="AC97" i="13"/>
  <c r="U97" i="13"/>
  <c r="M97" i="13"/>
  <c r="B97" i="13"/>
  <c r="AP96" i="13"/>
  <c r="AC96" i="13"/>
  <c r="U96" i="13"/>
  <c r="M96" i="13"/>
  <c r="B96" i="13"/>
  <c r="AP95" i="13"/>
  <c r="AC95" i="13"/>
  <c r="U95" i="13"/>
  <c r="M95" i="13"/>
  <c r="B95" i="13"/>
  <c r="AP94" i="13"/>
  <c r="AC94" i="13"/>
  <c r="U94" i="13"/>
  <c r="M94" i="13"/>
  <c r="B94" i="13"/>
  <c r="AP93" i="13"/>
  <c r="AC93" i="13"/>
  <c r="U93" i="13"/>
  <c r="M93" i="13"/>
  <c r="B93" i="13"/>
  <c r="AP92" i="13"/>
  <c r="AC92" i="13"/>
  <c r="U92" i="13"/>
  <c r="M92" i="13"/>
  <c r="B92" i="13"/>
  <c r="AP91" i="13"/>
  <c r="AC91" i="13"/>
  <c r="U91" i="13"/>
  <c r="M91" i="13"/>
  <c r="AH91" i="13" s="1"/>
  <c r="B91" i="13"/>
  <c r="AP90" i="13"/>
  <c r="AC90" i="13"/>
  <c r="U90" i="13"/>
  <c r="M90" i="13"/>
  <c r="B90" i="13"/>
  <c r="AP89" i="13"/>
  <c r="AC89" i="13"/>
  <c r="U89" i="13"/>
  <c r="M89" i="13"/>
  <c r="B89" i="13"/>
  <c r="AP88" i="13"/>
  <c r="AC88" i="13"/>
  <c r="U88" i="13"/>
  <c r="M88" i="13"/>
  <c r="B88" i="13"/>
  <c r="AP87" i="13"/>
  <c r="AC87" i="13"/>
  <c r="U87" i="13"/>
  <c r="M87" i="13"/>
  <c r="F87" i="13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B87" i="13"/>
  <c r="AP86" i="13"/>
  <c r="AQ86" i="13" s="1"/>
  <c r="AC86" i="13"/>
  <c r="AD86" i="13" s="1"/>
  <c r="U86" i="13"/>
  <c r="V86" i="13" s="1"/>
  <c r="M86" i="13"/>
  <c r="F86" i="13"/>
  <c r="B86" i="13"/>
  <c r="AP85" i="13"/>
  <c r="AC85" i="13"/>
  <c r="U85" i="13"/>
  <c r="M85" i="13"/>
  <c r="B85" i="13"/>
  <c r="AP84" i="13"/>
  <c r="AC84" i="13"/>
  <c r="U84" i="13"/>
  <c r="M84" i="13"/>
  <c r="AH84" i="13" s="1"/>
  <c r="B84" i="13"/>
  <c r="AP83" i="13"/>
  <c r="AC83" i="13"/>
  <c r="U83" i="13"/>
  <c r="M83" i="13"/>
  <c r="B83" i="13"/>
  <c r="AP82" i="13"/>
  <c r="AC82" i="13"/>
  <c r="U82" i="13"/>
  <c r="M82" i="13"/>
  <c r="B82" i="13"/>
  <c r="AP81" i="13"/>
  <c r="AC81" i="13"/>
  <c r="U81" i="13"/>
  <c r="M81" i="13"/>
  <c r="B81" i="13"/>
  <c r="AP80" i="13"/>
  <c r="AC80" i="13"/>
  <c r="U80" i="13"/>
  <c r="M80" i="13"/>
  <c r="AH80" i="13" s="1"/>
  <c r="B80" i="13"/>
  <c r="AP79" i="13"/>
  <c r="AC79" i="13"/>
  <c r="U79" i="13"/>
  <c r="M79" i="13"/>
  <c r="B79" i="13"/>
  <c r="AP78" i="13"/>
  <c r="AC78" i="13"/>
  <c r="U78" i="13"/>
  <c r="M78" i="13"/>
  <c r="B78" i="13"/>
  <c r="AP77" i="13"/>
  <c r="AC77" i="13"/>
  <c r="U77" i="13"/>
  <c r="M77" i="13"/>
  <c r="B77" i="13"/>
  <c r="AP76" i="13"/>
  <c r="AC76" i="13"/>
  <c r="U76" i="13"/>
  <c r="M76" i="13"/>
  <c r="B76" i="13"/>
  <c r="AP75" i="13"/>
  <c r="AC75" i="13"/>
  <c r="AD75" i="13" s="1"/>
  <c r="U75" i="13"/>
  <c r="M75" i="13"/>
  <c r="F75" i="13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B75" i="13"/>
  <c r="AP74" i="13"/>
  <c r="AQ74" i="13" s="1"/>
  <c r="AD74" i="13"/>
  <c r="AC74" i="13"/>
  <c r="U74" i="13"/>
  <c r="V74" i="13" s="1"/>
  <c r="N74" i="13"/>
  <c r="M74" i="13"/>
  <c r="F74" i="13"/>
  <c r="B74" i="13"/>
  <c r="AP73" i="13"/>
  <c r="AC73" i="13"/>
  <c r="U73" i="13"/>
  <c r="M73" i="13"/>
  <c r="B73" i="13"/>
  <c r="AP72" i="13"/>
  <c r="AC72" i="13"/>
  <c r="U72" i="13"/>
  <c r="M72" i="13"/>
  <c r="B72" i="13"/>
  <c r="AP71" i="13"/>
  <c r="AC71" i="13"/>
  <c r="U71" i="13"/>
  <c r="M71" i="13"/>
  <c r="B71" i="13"/>
  <c r="AP70" i="13"/>
  <c r="AC70" i="13"/>
  <c r="U70" i="13"/>
  <c r="M70" i="13"/>
  <c r="B70" i="13"/>
  <c r="AP69" i="13"/>
  <c r="AC69" i="13"/>
  <c r="U69" i="13"/>
  <c r="M69" i="13"/>
  <c r="B69" i="13"/>
  <c r="AP68" i="13"/>
  <c r="AC68" i="13"/>
  <c r="U68" i="13"/>
  <c r="M68" i="13"/>
  <c r="AH68" i="13" s="1"/>
  <c r="B68" i="13"/>
  <c r="AP67" i="13"/>
  <c r="AC67" i="13"/>
  <c r="U67" i="13"/>
  <c r="M67" i="13"/>
  <c r="B67" i="13"/>
  <c r="AP66" i="13"/>
  <c r="AC66" i="13"/>
  <c r="U66" i="13"/>
  <c r="M66" i="13"/>
  <c r="B66" i="13"/>
  <c r="AP65" i="13"/>
  <c r="AC65" i="13"/>
  <c r="U65" i="13"/>
  <c r="M65" i="13"/>
  <c r="B65" i="13"/>
  <c r="AP64" i="13"/>
  <c r="AC64" i="13"/>
  <c r="U64" i="13"/>
  <c r="M64" i="13"/>
  <c r="B64" i="13"/>
  <c r="AP63" i="13"/>
  <c r="AC63" i="13"/>
  <c r="U63" i="13"/>
  <c r="M63" i="13"/>
  <c r="B63" i="13"/>
  <c r="AP62" i="13"/>
  <c r="AQ62" i="13" s="1"/>
  <c r="AC62" i="13"/>
  <c r="AD62" i="13" s="1"/>
  <c r="U62" i="13"/>
  <c r="V62" i="13" s="1"/>
  <c r="M62" i="13"/>
  <c r="N62" i="13" s="1"/>
  <c r="F62" i="13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B62" i="13"/>
  <c r="AP61" i="13"/>
  <c r="AC61" i="13"/>
  <c r="U61" i="13"/>
  <c r="M61" i="13"/>
  <c r="B61" i="13"/>
  <c r="AP60" i="13"/>
  <c r="AC60" i="13"/>
  <c r="U60" i="13"/>
  <c r="M60" i="13"/>
  <c r="B60" i="13"/>
  <c r="AP59" i="13"/>
  <c r="AC59" i="13"/>
  <c r="U59" i="13"/>
  <c r="M59" i="13"/>
  <c r="B59" i="13"/>
  <c r="AP58" i="13"/>
  <c r="AC58" i="13"/>
  <c r="U58" i="13"/>
  <c r="M58" i="13"/>
  <c r="AH58" i="13" s="1"/>
  <c r="B58" i="13"/>
  <c r="AP57" i="13"/>
  <c r="AC57" i="13"/>
  <c r="U57" i="13"/>
  <c r="M57" i="13"/>
  <c r="B57" i="13"/>
  <c r="AP56" i="13"/>
  <c r="AC56" i="13"/>
  <c r="U56" i="13"/>
  <c r="M56" i="13"/>
  <c r="B56" i="13"/>
  <c r="AP55" i="13"/>
  <c r="AC55" i="13"/>
  <c r="U55" i="13"/>
  <c r="M55" i="13"/>
  <c r="B55" i="13"/>
  <c r="AP54" i="13"/>
  <c r="AC54" i="13"/>
  <c r="U54" i="13"/>
  <c r="M54" i="13"/>
  <c r="AH54" i="13" s="1"/>
  <c r="B54" i="13"/>
  <c r="AP53" i="13"/>
  <c r="AC53" i="13"/>
  <c r="U53" i="13"/>
  <c r="M53" i="13"/>
  <c r="B53" i="13"/>
  <c r="AP52" i="13"/>
  <c r="AC52" i="13"/>
  <c r="U52" i="13"/>
  <c r="M52" i="13"/>
  <c r="B52" i="13"/>
  <c r="AP51" i="13"/>
  <c r="AC51" i="13"/>
  <c r="U51" i="13"/>
  <c r="M51" i="13"/>
  <c r="B51" i="13"/>
  <c r="AP50" i="13"/>
  <c r="AQ50" i="13" s="1"/>
  <c r="AC50" i="13"/>
  <c r="AD50" i="13" s="1"/>
  <c r="AD51" i="13" s="1"/>
  <c r="U50" i="13"/>
  <c r="V50" i="13" s="1"/>
  <c r="M50" i="13"/>
  <c r="F50" i="13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B50" i="13"/>
  <c r="AP49" i="13"/>
  <c r="AC49" i="13"/>
  <c r="U49" i="13"/>
  <c r="M49" i="13"/>
  <c r="B49" i="13"/>
  <c r="AP48" i="13"/>
  <c r="AC48" i="13"/>
  <c r="U48" i="13"/>
  <c r="M48" i="13"/>
  <c r="B48" i="13"/>
  <c r="AP47" i="13"/>
  <c r="AC47" i="13"/>
  <c r="U47" i="13"/>
  <c r="M47" i="13"/>
  <c r="B47" i="13"/>
  <c r="AP46" i="13"/>
  <c r="AC46" i="13"/>
  <c r="U46" i="13"/>
  <c r="M46" i="13"/>
  <c r="B46" i="13"/>
  <c r="AP45" i="13"/>
  <c r="AC45" i="13"/>
  <c r="U45" i="13"/>
  <c r="M45" i="13"/>
  <c r="B45" i="13"/>
  <c r="AP44" i="13"/>
  <c r="AC44" i="13"/>
  <c r="U44" i="13"/>
  <c r="M44" i="13"/>
  <c r="B44" i="13"/>
  <c r="AP43" i="13"/>
  <c r="AC43" i="13"/>
  <c r="U43" i="13"/>
  <c r="M43" i="13"/>
  <c r="B43" i="13"/>
  <c r="AP42" i="13"/>
  <c r="AC42" i="13"/>
  <c r="U42" i="13"/>
  <c r="M42" i="13"/>
  <c r="B42" i="13"/>
  <c r="AP41" i="13"/>
  <c r="AC41" i="13"/>
  <c r="U41" i="13"/>
  <c r="M41" i="13"/>
  <c r="B41" i="13"/>
  <c r="AP40" i="13"/>
  <c r="AC40" i="13"/>
  <c r="U40" i="13"/>
  <c r="M40" i="13"/>
  <c r="B40" i="13"/>
  <c r="AP39" i="13"/>
  <c r="AC39" i="13"/>
  <c r="U39" i="13"/>
  <c r="M39" i="13"/>
  <c r="B39" i="13"/>
  <c r="AP38" i="13"/>
  <c r="AQ38" i="13" s="1"/>
  <c r="AC38" i="13"/>
  <c r="AD38" i="13" s="1"/>
  <c r="AD39" i="13" s="1"/>
  <c r="U38" i="13"/>
  <c r="V38" i="13" s="1"/>
  <c r="M38" i="13"/>
  <c r="F38" i="13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B38" i="13"/>
  <c r="AP37" i="13"/>
  <c r="AC37" i="13"/>
  <c r="U37" i="13"/>
  <c r="M37" i="13"/>
  <c r="B37" i="13"/>
  <c r="AP36" i="13"/>
  <c r="AC36" i="13"/>
  <c r="U36" i="13"/>
  <c r="M36" i="13"/>
  <c r="B36" i="13"/>
  <c r="AP35" i="13"/>
  <c r="AC35" i="13"/>
  <c r="U35" i="13"/>
  <c r="M35" i="13"/>
  <c r="B35" i="13"/>
  <c r="AP34" i="13"/>
  <c r="AC34" i="13"/>
  <c r="U34" i="13"/>
  <c r="M34" i="13"/>
  <c r="B34" i="13"/>
  <c r="AP33" i="13"/>
  <c r="AC33" i="13"/>
  <c r="U33" i="13"/>
  <c r="M33" i="13"/>
  <c r="B33" i="13"/>
  <c r="AP32" i="13"/>
  <c r="AC32" i="13"/>
  <c r="U32" i="13"/>
  <c r="M32" i="13"/>
  <c r="B32" i="13"/>
  <c r="AP31" i="13"/>
  <c r="AC31" i="13"/>
  <c r="U31" i="13"/>
  <c r="M31" i="13"/>
  <c r="B31" i="13"/>
  <c r="AP30" i="13"/>
  <c r="AC30" i="13"/>
  <c r="U30" i="13"/>
  <c r="M30" i="13"/>
  <c r="B30" i="13"/>
  <c r="AP29" i="13"/>
  <c r="AC29" i="13"/>
  <c r="U29" i="13"/>
  <c r="M29" i="13"/>
  <c r="B29" i="13"/>
  <c r="AP28" i="13"/>
  <c r="AC28" i="13"/>
  <c r="U28" i="13"/>
  <c r="M28" i="13"/>
  <c r="B28" i="13"/>
  <c r="AP27" i="13"/>
  <c r="AC27" i="13"/>
  <c r="U27" i="13"/>
  <c r="M27" i="13"/>
  <c r="B27" i="13"/>
  <c r="AP26" i="13"/>
  <c r="AQ26" i="13" s="1"/>
  <c r="AC26" i="13"/>
  <c r="AD26" i="13" s="1"/>
  <c r="AD27" i="13" s="1"/>
  <c r="U26" i="13"/>
  <c r="V26" i="13" s="1"/>
  <c r="V27" i="13" s="1"/>
  <c r="M26" i="13"/>
  <c r="N26" i="13" s="1"/>
  <c r="N27" i="13" s="1"/>
  <c r="F26" i="13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B26" i="13"/>
  <c r="AP25" i="13"/>
  <c r="AC25" i="13"/>
  <c r="U25" i="13"/>
  <c r="M25" i="13"/>
  <c r="B25" i="13"/>
  <c r="AP24" i="13"/>
  <c r="AC24" i="13"/>
  <c r="U24" i="13"/>
  <c r="M24" i="13"/>
  <c r="B24" i="13"/>
  <c r="AP23" i="13"/>
  <c r="AC23" i="13"/>
  <c r="U23" i="13"/>
  <c r="M23" i="13"/>
  <c r="B23" i="13"/>
  <c r="AP22" i="13"/>
  <c r="AC22" i="13"/>
  <c r="U22" i="13"/>
  <c r="M22" i="13"/>
  <c r="B22" i="13"/>
  <c r="AP21" i="13"/>
  <c r="AC21" i="13"/>
  <c r="U21" i="13"/>
  <c r="M21" i="13"/>
  <c r="B21" i="13"/>
  <c r="AP20" i="13"/>
  <c r="AC20" i="13"/>
  <c r="U20" i="13"/>
  <c r="M20" i="13"/>
  <c r="B20" i="13"/>
  <c r="AP19" i="13"/>
  <c r="AC19" i="13"/>
  <c r="U19" i="13"/>
  <c r="M19" i="13"/>
  <c r="B19" i="13"/>
  <c r="AP18" i="13"/>
  <c r="AC18" i="13"/>
  <c r="U18" i="13"/>
  <c r="M18" i="13"/>
  <c r="B18" i="13"/>
  <c r="AP17" i="13"/>
  <c r="AC17" i="13"/>
  <c r="U17" i="13"/>
  <c r="M17" i="13"/>
  <c r="B17" i="13"/>
  <c r="AP16" i="13"/>
  <c r="AC16" i="13"/>
  <c r="U16" i="13"/>
  <c r="M16" i="13"/>
  <c r="B16" i="13"/>
  <c r="AP15" i="13"/>
  <c r="AC15" i="13"/>
  <c r="U15" i="13"/>
  <c r="M15" i="13"/>
  <c r="B15" i="13"/>
  <c r="AP14" i="13"/>
  <c r="AQ14" i="13" s="1"/>
  <c r="AC14" i="13"/>
  <c r="AD14" i="13" s="1"/>
  <c r="U14" i="13"/>
  <c r="V14" i="13" s="1"/>
  <c r="M14" i="13"/>
  <c r="N14" i="13" s="1"/>
  <c r="N15" i="13" s="1"/>
  <c r="F14" i="13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B14" i="13"/>
  <c r="AP13" i="13"/>
  <c r="AC13" i="13"/>
  <c r="U13" i="13"/>
  <c r="M13" i="13"/>
  <c r="B13" i="13"/>
  <c r="AP12" i="13"/>
  <c r="AC12" i="13"/>
  <c r="U12" i="13"/>
  <c r="M12" i="13"/>
  <c r="B12" i="13"/>
  <c r="AP11" i="13"/>
  <c r="AC11" i="13"/>
  <c r="U11" i="13"/>
  <c r="M11" i="13"/>
  <c r="B11" i="13"/>
  <c r="AP10" i="13"/>
  <c r="AC10" i="13"/>
  <c r="U10" i="13"/>
  <c r="M10" i="13"/>
  <c r="B10" i="13"/>
  <c r="AP9" i="13"/>
  <c r="AC9" i="13"/>
  <c r="U9" i="13"/>
  <c r="M9" i="13"/>
  <c r="B9" i="13"/>
  <c r="AP8" i="13"/>
  <c r="AC8" i="13"/>
  <c r="U8" i="13"/>
  <c r="M8" i="13"/>
  <c r="B8" i="13"/>
  <c r="AP7" i="13"/>
  <c r="AC7" i="13"/>
  <c r="U7" i="13"/>
  <c r="M7" i="13"/>
  <c r="B7" i="13"/>
  <c r="AP6" i="13"/>
  <c r="AC6" i="13"/>
  <c r="U6" i="13"/>
  <c r="M6" i="13"/>
  <c r="B6" i="13"/>
  <c r="AP5" i="13"/>
  <c r="AC5" i="13"/>
  <c r="U5" i="13"/>
  <c r="M5" i="13"/>
  <c r="B5" i="13"/>
  <c r="AP4" i="13"/>
  <c r="AC4" i="13"/>
  <c r="U4" i="13"/>
  <c r="M4" i="13"/>
  <c r="B4" i="13"/>
  <c r="AP3" i="13"/>
  <c r="AC3" i="13"/>
  <c r="U3" i="13"/>
  <c r="M3" i="13"/>
  <c r="B3" i="13"/>
  <c r="AR2" i="13"/>
  <c r="AS2" i="13" s="1"/>
  <c r="AQ2" i="13"/>
  <c r="AC2" i="13"/>
  <c r="U2" i="13"/>
  <c r="M2" i="13"/>
  <c r="G2" i="13"/>
  <c r="G3" i="13" s="1"/>
  <c r="G4" i="13" s="1"/>
  <c r="G5" i="13" s="1"/>
  <c r="G6" i="13" s="1"/>
  <c r="G7" i="13" s="1"/>
  <c r="G8" i="13" s="1"/>
  <c r="G9" i="13" s="1"/>
  <c r="G10" i="13" s="1"/>
  <c r="G11" i="13" s="1"/>
  <c r="G12" i="13" s="1"/>
  <c r="G13" i="13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B2" i="13"/>
  <c r="Q133" i="20"/>
  <c r="B133" i="20"/>
  <c r="Q132" i="20"/>
  <c r="B132" i="20"/>
  <c r="Q131" i="20"/>
  <c r="B131" i="20"/>
  <c r="Q130" i="20"/>
  <c r="B130" i="20"/>
  <c r="Q129" i="20"/>
  <c r="B129" i="20"/>
  <c r="Q128" i="20"/>
  <c r="B128" i="20"/>
  <c r="Q127" i="20"/>
  <c r="B127" i="20"/>
  <c r="Q126" i="20"/>
  <c r="B126" i="20"/>
  <c r="Q125" i="20"/>
  <c r="B125" i="20"/>
  <c r="Q124" i="20"/>
  <c r="B124" i="20"/>
  <c r="Q123" i="20"/>
  <c r="B123" i="20"/>
  <c r="Q122" i="20"/>
  <c r="R122" i="20" s="1"/>
  <c r="M122" i="20"/>
  <c r="M123" i="20" s="1"/>
  <c r="M124" i="20" s="1"/>
  <c r="M125" i="20" s="1"/>
  <c r="M126" i="20" s="1"/>
  <c r="M127" i="20" s="1"/>
  <c r="M128" i="20" s="1"/>
  <c r="M129" i="20" s="1"/>
  <c r="M130" i="20" s="1"/>
  <c r="M131" i="20" s="1"/>
  <c r="M132" i="20" s="1"/>
  <c r="I122" i="20"/>
  <c r="I123" i="20" s="1"/>
  <c r="I124" i="20" s="1"/>
  <c r="I125" i="20" s="1"/>
  <c r="I126" i="20" s="1"/>
  <c r="I127" i="20" s="1"/>
  <c r="I128" i="20" s="1"/>
  <c r="I129" i="20" s="1"/>
  <c r="I130" i="20" s="1"/>
  <c r="I131" i="20" s="1"/>
  <c r="I132" i="20" s="1"/>
  <c r="E122" i="20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B122" i="20"/>
  <c r="Q121" i="20"/>
  <c r="B121" i="20"/>
  <c r="Q120" i="20"/>
  <c r="B120" i="20"/>
  <c r="Q119" i="20"/>
  <c r="B119" i="20"/>
  <c r="Q118" i="20"/>
  <c r="B118" i="20"/>
  <c r="Q117" i="20"/>
  <c r="B117" i="20"/>
  <c r="Q116" i="20"/>
  <c r="B116" i="20"/>
  <c r="Q115" i="20"/>
  <c r="B115" i="20"/>
  <c r="Q114" i="20"/>
  <c r="B114" i="20"/>
  <c r="Q113" i="20"/>
  <c r="B113" i="20"/>
  <c r="Q112" i="20"/>
  <c r="B112" i="20"/>
  <c r="Q111" i="20"/>
  <c r="B111" i="20"/>
  <c r="Q110" i="20"/>
  <c r="R110" i="20" s="1"/>
  <c r="M110" i="20"/>
  <c r="M111" i="20" s="1"/>
  <c r="M112" i="20" s="1"/>
  <c r="M113" i="20" s="1"/>
  <c r="M114" i="20" s="1"/>
  <c r="M115" i="20" s="1"/>
  <c r="M116" i="20" s="1"/>
  <c r="M117" i="20" s="1"/>
  <c r="M118" i="20" s="1"/>
  <c r="M119" i="20" s="1"/>
  <c r="M120" i="20" s="1"/>
  <c r="M121" i="20" s="1"/>
  <c r="I110" i="20"/>
  <c r="I111" i="20" s="1"/>
  <c r="I112" i="20" s="1"/>
  <c r="I113" i="20" s="1"/>
  <c r="I114" i="20" s="1"/>
  <c r="I115" i="20" s="1"/>
  <c r="I116" i="20" s="1"/>
  <c r="I117" i="20" s="1"/>
  <c r="I118" i="20" s="1"/>
  <c r="I119" i="20" s="1"/>
  <c r="I120" i="20" s="1"/>
  <c r="I121" i="20" s="1"/>
  <c r="E110" i="20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B110" i="20"/>
  <c r="Q109" i="20"/>
  <c r="B109" i="20"/>
  <c r="Q108" i="20"/>
  <c r="B108" i="20"/>
  <c r="Q107" i="20"/>
  <c r="B107" i="20"/>
  <c r="Q106" i="20"/>
  <c r="B106" i="20"/>
  <c r="Q105" i="20"/>
  <c r="B105" i="20"/>
  <c r="Q104" i="20"/>
  <c r="B104" i="20"/>
  <c r="Q103" i="20"/>
  <c r="B103" i="20"/>
  <c r="Q102" i="20"/>
  <c r="B102" i="20"/>
  <c r="Q101" i="20"/>
  <c r="B101" i="20"/>
  <c r="Q100" i="20"/>
  <c r="B100" i="20"/>
  <c r="Q99" i="20"/>
  <c r="B99" i="20"/>
  <c r="Q98" i="20"/>
  <c r="R98" i="20" s="1"/>
  <c r="M98" i="20"/>
  <c r="M99" i="20" s="1"/>
  <c r="M100" i="20" s="1"/>
  <c r="M101" i="20" s="1"/>
  <c r="M102" i="20" s="1"/>
  <c r="M103" i="20" s="1"/>
  <c r="M104" i="20" s="1"/>
  <c r="M105" i="20" s="1"/>
  <c r="M106" i="20" s="1"/>
  <c r="M107" i="20" s="1"/>
  <c r="M108" i="20" s="1"/>
  <c r="M109" i="20" s="1"/>
  <c r="I98" i="20"/>
  <c r="I99" i="20" s="1"/>
  <c r="I100" i="20" s="1"/>
  <c r="I101" i="20" s="1"/>
  <c r="I102" i="20" s="1"/>
  <c r="I103" i="20" s="1"/>
  <c r="I104" i="20" s="1"/>
  <c r="I105" i="20" s="1"/>
  <c r="I106" i="20" s="1"/>
  <c r="I107" i="20" s="1"/>
  <c r="I108" i="20" s="1"/>
  <c r="I109" i="20" s="1"/>
  <c r="E98" i="20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B98" i="20"/>
  <c r="Q97" i="20"/>
  <c r="B97" i="20"/>
  <c r="Q96" i="20"/>
  <c r="B96" i="20"/>
  <c r="Q95" i="20"/>
  <c r="B95" i="20"/>
  <c r="Q94" i="20"/>
  <c r="B94" i="20"/>
  <c r="Q93" i="20"/>
  <c r="B93" i="20"/>
  <c r="Q92" i="20"/>
  <c r="B92" i="20"/>
  <c r="Q91" i="20"/>
  <c r="B91" i="20"/>
  <c r="Q90" i="20"/>
  <c r="B90" i="20"/>
  <c r="Q89" i="20"/>
  <c r="B89" i="20"/>
  <c r="Q88" i="20"/>
  <c r="B88" i="20"/>
  <c r="Q87" i="20"/>
  <c r="M87" i="20"/>
  <c r="M88" i="20" s="1"/>
  <c r="M89" i="20" s="1"/>
  <c r="M90" i="20" s="1"/>
  <c r="M91" i="20" s="1"/>
  <c r="M92" i="20" s="1"/>
  <c r="M93" i="20" s="1"/>
  <c r="M94" i="20" s="1"/>
  <c r="M95" i="20" s="1"/>
  <c r="M96" i="20" s="1"/>
  <c r="M97" i="20" s="1"/>
  <c r="B87" i="20"/>
  <c r="Q86" i="20"/>
  <c r="R86" i="20" s="1"/>
  <c r="M86" i="20"/>
  <c r="I86" i="20"/>
  <c r="I87" i="20" s="1"/>
  <c r="I88" i="20" s="1"/>
  <c r="I89" i="20" s="1"/>
  <c r="I90" i="20" s="1"/>
  <c r="I91" i="20" s="1"/>
  <c r="I92" i="20" s="1"/>
  <c r="I93" i="20" s="1"/>
  <c r="I94" i="20" s="1"/>
  <c r="I95" i="20" s="1"/>
  <c r="I96" i="20" s="1"/>
  <c r="I97" i="20" s="1"/>
  <c r="E86" i="20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B86" i="20"/>
  <c r="Q85" i="20"/>
  <c r="B85" i="20"/>
  <c r="Q84" i="20"/>
  <c r="B84" i="20"/>
  <c r="Q83" i="20"/>
  <c r="B83" i="20"/>
  <c r="Q82" i="20"/>
  <c r="B82" i="20"/>
  <c r="Q81" i="20"/>
  <c r="B81" i="20"/>
  <c r="Q80" i="20"/>
  <c r="B80" i="20"/>
  <c r="Q79" i="20"/>
  <c r="B79" i="20"/>
  <c r="Q78" i="20"/>
  <c r="B78" i="20"/>
  <c r="Q77" i="20"/>
  <c r="B77" i="20"/>
  <c r="Q76" i="20"/>
  <c r="B76" i="20"/>
  <c r="Q75" i="20"/>
  <c r="B75" i="20"/>
  <c r="Q74" i="20"/>
  <c r="R74" i="20" s="1"/>
  <c r="M74" i="20"/>
  <c r="M75" i="20" s="1"/>
  <c r="M76" i="20" s="1"/>
  <c r="M77" i="20" s="1"/>
  <c r="M78" i="20" s="1"/>
  <c r="M79" i="20" s="1"/>
  <c r="M80" i="20" s="1"/>
  <c r="M81" i="20" s="1"/>
  <c r="M82" i="20" s="1"/>
  <c r="M83" i="20" s="1"/>
  <c r="M84" i="20" s="1"/>
  <c r="M85" i="20" s="1"/>
  <c r="I74" i="20"/>
  <c r="I75" i="20" s="1"/>
  <c r="I76" i="20" s="1"/>
  <c r="I77" i="20" s="1"/>
  <c r="I78" i="20" s="1"/>
  <c r="I79" i="20" s="1"/>
  <c r="I80" i="20" s="1"/>
  <c r="I81" i="20" s="1"/>
  <c r="I82" i="20" s="1"/>
  <c r="I83" i="20" s="1"/>
  <c r="I84" i="20" s="1"/>
  <c r="I85" i="20" s="1"/>
  <c r="E74" i="20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B74" i="20"/>
  <c r="Q73" i="20"/>
  <c r="B73" i="20"/>
  <c r="Q72" i="20"/>
  <c r="B72" i="20"/>
  <c r="Q71" i="20"/>
  <c r="B71" i="20"/>
  <c r="Q70" i="20"/>
  <c r="B70" i="20"/>
  <c r="Q69" i="20"/>
  <c r="B69" i="20"/>
  <c r="Q68" i="20"/>
  <c r="B68" i="20"/>
  <c r="Q67" i="20"/>
  <c r="B67" i="20"/>
  <c r="Q66" i="20"/>
  <c r="B66" i="20"/>
  <c r="Q65" i="20"/>
  <c r="B65" i="20"/>
  <c r="Q64" i="20"/>
  <c r="B64" i="20"/>
  <c r="Q63" i="20"/>
  <c r="B63" i="20"/>
  <c r="Q62" i="20"/>
  <c r="R62" i="20" s="1"/>
  <c r="M62" i="20"/>
  <c r="M63" i="20" s="1"/>
  <c r="M64" i="20" s="1"/>
  <c r="M65" i="20" s="1"/>
  <c r="M66" i="20" s="1"/>
  <c r="M67" i="20" s="1"/>
  <c r="M68" i="20" s="1"/>
  <c r="M69" i="20" s="1"/>
  <c r="M70" i="20" s="1"/>
  <c r="M71" i="20" s="1"/>
  <c r="M72" i="20" s="1"/>
  <c r="M73" i="20" s="1"/>
  <c r="I62" i="20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E62" i="20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B62" i="20"/>
  <c r="Q61" i="20"/>
  <c r="B61" i="20"/>
  <c r="Q60" i="20"/>
  <c r="B60" i="20"/>
  <c r="Q59" i="20"/>
  <c r="B59" i="20"/>
  <c r="Q58" i="20"/>
  <c r="B58" i="20"/>
  <c r="Q57" i="20"/>
  <c r="B57" i="20"/>
  <c r="Q56" i="20"/>
  <c r="B56" i="20"/>
  <c r="Q55" i="20"/>
  <c r="B55" i="20"/>
  <c r="Q54" i="20"/>
  <c r="B54" i="20"/>
  <c r="Q53" i="20"/>
  <c r="B53" i="20"/>
  <c r="Q52" i="20"/>
  <c r="B52" i="20"/>
  <c r="Q51" i="20"/>
  <c r="B51" i="20"/>
  <c r="Q50" i="20"/>
  <c r="R50" i="20" s="1"/>
  <c r="M50" i="20"/>
  <c r="M51" i="20" s="1"/>
  <c r="M52" i="20" s="1"/>
  <c r="M53" i="20" s="1"/>
  <c r="M54" i="20" s="1"/>
  <c r="M55" i="20" s="1"/>
  <c r="M56" i="20" s="1"/>
  <c r="M57" i="20" s="1"/>
  <c r="M58" i="20" s="1"/>
  <c r="M59" i="20" s="1"/>
  <c r="M60" i="20" s="1"/>
  <c r="M61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B50" i="20"/>
  <c r="Q49" i="20"/>
  <c r="B49" i="20"/>
  <c r="Q48" i="20"/>
  <c r="B48" i="20"/>
  <c r="Q47" i="20"/>
  <c r="B47" i="20"/>
  <c r="Q46" i="20"/>
  <c r="B46" i="20"/>
  <c r="Q45" i="20"/>
  <c r="B45" i="20"/>
  <c r="Q44" i="20"/>
  <c r="B44" i="20"/>
  <c r="Q43" i="20"/>
  <c r="B43" i="20"/>
  <c r="Q42" i="20"/>
  <c r="B42" i="20"/>
  <c r="Q41" i="20"/>
  <c r="B41" i="20"/>
  <c r="Q40" i="20"/>
  <c r="B40" i="20"/>
  <c r="Q39" i="20"/>
  <c r="B39" i="20"/>
  <c r="Q38" i="20"/>
  <c r="R38" i="20" s="1"/>
  <c r="M38" i="20"/>
  <c r="M39" i="20" s="1"/>
  <c r="M40" i="20" s="1"/>
  <c r="M41" i="20" s="1"/>
  <c r="M42" i="20" s="1"/>
  <c r="M43" i="20" s="1"/>
  <c r="M44" i="20" s="1"/>
  <c r="M45" i="20" s="1"/>
  <c r="M46" i="20" s="1"/>
  <c r="M47" i="20" s="1"/>
  <c r="M48" i="20" s="1"/>
  <c r="M49" i="20" s="1"/>
  <c r="I38" i="20"/>
  <c r="I39" i="20" s="1"/>
  <c r="I40" i="20" s="1"/>
  <c r="I41" i="20" s="1"/>
  <c r="I42" i="20" s="1"/>
  <c r="I43" i="20" s="1"/>
  <c r="I44" i="20" s="1"/>
  <c r="I45" i="20" s="1"/>
  <c r="I46" i="20" s="1"/>
  <c r="I47" i="20" s="1"/>
  <c r="I48" i="20" s="1"/>
  <c r="I49" i="20" s="1"/>
  <c r="E38" i="20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B38" i="20"/>
  <c r="Q37" i="20"/>
  <c r="B37" i="20"/>
  <c r="Q36" i="20"/>
  <c r="B36" i="20"/>
  <c r="Q35" i="20"/>
  <c r="B35" i="20"/>
  <c r="Q34" i="20"/>
  <c r="B34" i="20"/>
  <c r="Q33" i="20"/>
  <c r="B33" i="20"/>
  <c r="Q32" i="20"/>
  <c r="B32" i="20"/>
  <c r="Q31" i="20"/>
  <c r="B31" i="20"/>
  <c r="Q30" i="20"/>
  <c r="B30" i="20"/>
  <c r="Q29" i="20"/>
  <c r="B29" i="20"/>
  <c r="Q28" i="20"/>
  <c r="B28" i="20"/>
  <c r="Q27" i="20"/>
  <c r="B27" i="20"/>
  <c r="Q26" i="20"/>
  <c r="R26" i="20" s="1"/>
  <c r="M26" i="20"/>
  <c r="M27" i="20" s="1"/>
  <c r="M28" i="20" s="1"/>
  <c r="M29" i="20" s="1"/>
  <c r="M30" i="20" s="1"/>
  <c r="M31" i="20" s="1"/>
  <c r="M32" i="20" s="1"/>
  <c r="M33" i="20" s="1"/>
  <c r="M34" i="20" s="1"/>
  <c r="M35" i="20" s="1"/>
  <c r="M36" i="20" s="1"/>
  <c r="M37" i="20" s="1"/>
  <c r="I26" i="20"/>
  <c r="I27" i="20" s="1"/>
  <c r="I28" i="20" s="1"/>
  <c r="I29" i="20" s="1"/>
  <c r="I30" i="20" s="1"/>
  <c r="I31" i="20" s="1"/>
  <c r="I32" i="20" s="1"/>
  <c r="I33" i="20" s="1"/>
  <c r="I34" i="20" s="1"/>
  <c r="I35" i="20" s="1"/>
  <c r="I36" i="20" s="1"/>
  <c r="I37" i="20" s="1"/>
  <c r="E26" i="20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B26" i="20"/>
  <c r="Q25" i="20"/>
  <c r="B25" i="20"/>
  <c r="Q24" i="20"/>
  <c r="B24" i="20"/>
  <c r="Q23" i="20"/>
  <c r="B23" i="20"/>
  <c r="Q22" i="20"/>
  <c r="B22" i="20"/>
  <c r="Q21" i="20"/>
  <c r="B21" i="20"/>
  <c r="Q20" i="20"/>
  <c r="B20" i="20"/>
  <c r="Q19" i="20"/>
  <c r="B19" i="20"/>
  <c r="Q18" i="20"/>
  <c r="B18" i="20"/>
  <c r="Q17" i="20"/>
  <c r="B17" i="20"/>
  <c r="Q16" i="20"/>
  <c r="B16" i="20"/>
  <c r="Q15" i="20"/>
  <c r="B15" i="20"/>
  <c r="Q14" i="20"/>
  <c r="R14" i="20" s="1"/>
  <c r="M14" i="20"/>
  <c r="M15" i="20" s="1"/>
  <c r="M16" i="20" s="1"/>
  <c r="M17" i="20" s="1"/>
  <c r="M18" i="20" s="1"/>
  <c r="M19" i="20" s="1"/>
  <c r="M20" i="20" s="1"/>
  <c r="M21" i="20" s="1"/>
  <c r="M22" i="20" s="1"/>
  <c r="M23" i="20" s="1"/>
  <c r="M24" i="20" s="1"/>
  <c r="M25" i="20" s="1"/>
  <c r="I14" i="20"/>
  <c r="I15" i="20" s="1"/>
  <c r="I16" i="20" s="1"/>
  <c r="I17" i="20" s="1"/>
  <c r="I18" i="20" s="1"/>
  <c r="I19" i="20" s="1"/>
  <c r="I20" i="20" s="1"/>
  <c r="I21" i="20" s="1"/>
  <c r="I22" i="20" s="1"/>
  <c r="I23" i="20" s="1"/>
  <c r="I24" i="20" s="1"/>
  <c r="I25" i="20" s="1"/>
  <c r="E14" i="20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B14" i="20"/>
  <c r="Q13" i="20"/>
  <c r="B13" i="20"/>
  <c r="Q12" i="20"/>
  <c r="B12" i="20"/>
  <c r="Q11" i="20"/>
  <c r="B11" i="20"/>
  <c r="Q10" i="20"/>
  <c r="B10" i="20"/>
  <c r="Q9" i="20"/>
  <c r="B9" i="20"/>
  <c r="Q8" i="20"/>
  <c r="B8" i="20"/>
  <c r="Q7" i="20"/>
  <c r="B7" i="20"/>
  <c r="Q6" i="20"/>
  <c r="B6" i="20"/>
  <c r="Q5" i="20"/>
  <c r="B5" i="20"/>
  <c r="Q4" i="20"/>
  <c r="B4" i="20"/>
  <c r="Q3" i="20"/>
  <c r="J3" i="20"/>
  <c r="B3" i="20"/>
  <c r="S2" i="20"/>
  <c r="T2" i="20" s="1"/>
  <c r="Q2" i="20"/>
  <c r="N2" i="20"/>
  <c r="M2" i="20"/>
  <c r="M3" i="20" s="1"/>
  <c r="M4" i="20" s="1"/>
  <c r="M5" i="20" s="1"/>
  <c r="M6" i="20" s="1"/>
  <c r="M7" i="20" s="1"/>
  <c r="M8" i="20" s="1"/>
  <c r="M9" i="20" s="1"/>
  <c r="M10" i="20" s="1"/>
  <c r="M11" i="20" s="1"/>
  <c r="M12" i="20" s="1"/>
  <c r="M13" i="20" s="1"/>
  <c r="J2" i="20"/>
  <c r="K2" i="20" s="1"/>
  <c r="I2" i="20"/>
  <c r="I3" i="20" s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F2" i="20"/>
  <c r="G2" i="20" s="1"/>
  <c r="E2" i="20"/>
  <c r="E3" i="20" s="1"/>
  <c r="E4" i="20" s="1"/>
  <c r="E5" i="20" s="1"/>
  <c r="E6" i="20" s="1"/>
  <c r="E7" i="20" s="1"/>
  <c r="E8" i="20" s="1"/>
  <c r="E9" i="20" s="1"/>
  <c r="E10" i="20" s="1"/>
  <c r="E11" i="20" s="1"/>
  <c r="E12" i="20" s="1"/>
  <c r="E13" i="20" s="1"/>
  <c r="B2" i="20"/>
  <c r="AC133" i="19"/>
  <c r="B133" i="19"/>
  <c r="AC132" i="19"/>
  <c r="B132" i="19"/>
  <c r="AC131" i="19"/>
  <c r="B131" i="19"/>
  <c r="AC130" i="19"/>
  <c r="B130" i="19"/>
  <c r="AC129" i="19"/>
  <c r="B129" i="19"/>
  <c r="AC128" i="19"/>
  <c r="B128" i="19"/>
  <c r="AC127" i="19"/>
  <c r="B127" i="19"/>
  <c r="AC126" i="19"/>
  <c r="B126" i="19"/>
  <c r="AC125" i="19"/>
  <c r="B125" i="19"/>
  <c r="AC124" i="19"/>
  <c r="B124" i="19"/>
  <c r="AC123" i="19"/>
  <c r="B123" i="19"/>
  <c r="AC122" i="19"/>
  <c r="AD122" i="19" s="1"/>
  <c r="Y122" i="19"/>
  <c r="Y123" i="19" s="1"/>
  <c r="Y124" i="19" s="1"/>
  <c r="Y125" i="19" s="1"/>
  <c r="Y126" i="19" s="1"/>
  <c r="Y127" i="19" s="1"/>
  <c r="Y128" i="19" s="1"/>
  <c r="Y129" i="19" s="1"/>
  <c r="Y130" i="19" s="1"/>
  <c r="Y131" i="19" s="1"/>
  <c r="Y132" i="19" s="1"/>
  <c r="U122" i="19"/>
  <c r="U123" i="19" s="1"/>
  <c r="U124" i="19" s="1"/>
  <c r="U125" i="19" s="1"/>
  <c r="U126" i="19" s="1"/>
  <c r="U127" i="19" s="1"/>
  <c r="U128" i="19" s="1"/>
  <c r="U129" i="19" s="1"/>
  <c r="U130" i="19" s="1"/>
  <c r="U131" i="19" s="1"/>
  <c r="U132" i="19" s="1"/>
  <c r="Q122" i="19"/>
  <c r="Q123" i="19" s="1"/>
  <c r="Q124" i="19" s="1"/>
  <c r="Q125" i="19" s="1"/>
  <c r="Q126" i="19" s="1"/>
  <c r="Q127" i="19" s="1"/>
  <c r="Q128" i="19" s="1"/>
  <c r="Q129" i="19" s="1"/>
  <c r="Q130" i="19" s="1"/>
  <c r="Q131" i="19" s="1"/>
  <c r="Q132" i="19" s="1"/>
  <c r="M122" i="19"/>
  <c r="M123" i="19" s="1"/>
  <c r="M124" i="19" s="1"/>
  <c r="M125" i="19" s="1"/>
  <c r="M126" i="19" s="1"/>
  <c r="M127" i="19" s="1"/>
  <c r="M128" i="19" s="1"/>
  <c r="M129" i="19" s="1"/>
  <c r="M130" i="19" s="1"/>
  <c r="M131" i="19" s="1"/>
  <c r="M132" i="19" s="1"/>
  <c r="I122" i="19"/>
  <c r="I123" i="19" s="1"/>
  <c r="I124" i="19" s="1"/>
  <c r="I125" i="19" s="1"/>
  <c r="I126" i="19" s="1"/>
  <c r="I127" i="19" s="1"/>
  <c r="I128" i="19" s="1"/>
  <c r="I129" i="19" s="1"/>
  <c r="I130" i="19" s="1"/>
  <c r="I131" i="19" s="1"/>
  <c r="I132" i="19" s="1"/>
  <c r="E122" i="19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B122" i="19"/>
  <c r="AC121" i="19"/>
  <c r="B121" i="19"/>
  <c r="AC120" i="19"/>
  <c r="B120" i="19"/>
  <c r="AC119" i="19"/>
  <c r="B119" i="19"/>
  <c r="AC118" i="19"/>
  <c r="B118" i="19"/>
  <c r="AC117" i="19"/>
  <c r="B117" i="19"/>
  <c r="AC116" i="19"/>
  <c r="B116" i="19"/>
  <c r="AC115" i="19"/>
  <c r="B115" i="19"/>
  <c r="AC114" i="19"/>
  <c r="B114" i="19"/>
  <c r="AC113" i="19"/>
  <c r="B113" i="19"/>
  <c r="AC112" i="19"/>
  <c r="B112" i="19"/>
  <c r="AC111" i="19"/>
  <c r="B111" i="19"/>
  <c r="AC110" i="19"/>
  <c r="AD110" i="19" s="1"/>
  <c r="AD111" i="19" s="1"/>
  <c r="AD112" i="19" s="1"/>
  <c r="Y110" i="19"/>
  <c r="Y111" i="19" s="1"/>
  <c r="Y112" i="19" s="1"/>
  <c r="Y113" i="19" s="1"/>
  <c r="Y114" i="19" s="1"/>
  <c r="Y115" i="19" s="1"/>
  <c r="Y116" i="19" s="1"/>
  <c r="Y117" i="19" s="1"/>
  <c r="Y118" i="19" s="1"/>
  <c r="Y119" i="19" s="1"/>
  <c r="Y120" i="19" s="1"/>
  <c r="Y121" i="19" s="1"/>
  <c r="U110" i="19"/>
  <c r="U111" i="19" s="1"/>
  <c r="U112" i="19" s="1"/>
  <c r="U113" i="19" s="1"/>
  <c r="U114" i="19" s="1"/>
  <c r="U115" i="19" s="1"/>
  <c r="U116" i="19" s="1"/>
  <c r="U117" i="19" s="1"/>
  <c r="U118" i="19" s="1"/>
  <c r="U119" i="19" s="1"/>
  <c r="U120" i="19" s="1"/>
  <c r="U121" i="19" s="1"/>
  <c r="Q110" i="19"/>
  <c r="Q111" i="19" s="1"/>
  <c r="Q112" i="19" s="1"/>
  <c r="Q113" i="19" s="1"/>
  <c r="Q114" i="19" s="1"/>
  <c r="Q115" i="19" s="1"/>
  <c r="Q116" i="19" s="1"/>
  <c r="Q117" i="19" s="1"/>
  <c r="Q118" i="19" s="1"/>
  <c r="Q119" i="19" s="1"/>
  <c r="Q120" i="19" s="1"/>
  <c r="Q121" i="19" s="1"/>
  <c r="M110" i="19"/>
  <c r="M111" i="19" s="1"/>
  <c r="M112" i="19" s="1"/>
  <c r="M113" i="19" s="1"/>
  <c r="M114" i="19" s="1"/>
  <c r="M115" i="19" s="1"/>
  <c r="M116" i="19" s="1"/>
  <c r="M117" i="19" s="1"/>
  <c r="M118" i="19" s="1"/>
  <c r="M119" i="19" s="1"/>
  <c r="M120" i="19" s="1"/>
  <c r="M121" i="19" s="1"/>
  <c r="I110" i="19"/>
  <c r="I111" i="19" s="1"/>
  <c r="I112" i="19" s="1"/>
  <c r="I113" i="19" s="1"/>
  <c r="I114" i="19" s="1"/>
  <c r="I115" i="19" s="1"/>
  <c r="I116" i="19" s="1"/>
  <c r="I117" i="19" s="1"/>
  <c r="I118" i="19" s="1"/>
  <c r="I119" i="19" s="1"/>
  <c r="I120" i="19" s="1"/>
  <c r="I121" i="19" s="1"/>
  <c r="E110" i="19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B110" i="19"/>
  <c r="AC109" i="19"/>
  <c r="B109" i="19"/>
  <c r="AC108" i="19"/>
  <c r="B108" i="19"/>
  <c r="AC107" i="19"/>
  <c r="B107" i="19"/>
  <c r="AC106" i="19"/>
  <c r="B106" i="19"/>
  <c r="AC105" i="19"/>
  <c r="B105" i="19"/>
  <c r="AC104" i="19"/>
  <c r="B104" i="19"/>
  <c r="AC103" i="19"/>
  <c r="B103" i="19"/>
  <c r="AC102" i="19"/>
  <c r="B102" i="19"/>
  <c r="AC101" i="19"/>
  <c r="B101" i="19"/>
  <c r="AC100" i="19"/>
  <c r="B100" i="19"/>
  <c r="AC99" i="19"/>
  <c r="B99" i="19"/>
  <c r="AC98" i="19"/>
  <c r="AD98" i="19" s="1"/>
  <c r="Y98" i="19"/>
  <c r="Y99" i="19" s="1"/>
  <c r="Y100" i="19" s="1"/>
  <c r="Y101" i="19" s="1"/>
  <c r="Y102" i="19" s="1"/>
  <c r="Y103" i="19" s="1"/>
  <c r="Y104" i="19" s="1"/>
  <c r="Y105" i="19" s="1"/>
  <c r="Y106" i="19" s="1"/>
  <c r="Y107" i="19" s="1"/>
  <c r="Y108" i="19" s="1"/>
  <c r="Y109" i="19" s="1"/>
  <c r="U98" i="19"/>
  <c r="U99" i="19" s="1"/>
  <c r="U100" i="19" s="1"/>
  <c r="U101" i="19" s="1"/>
  <c r="U102" i="19" s="1"/>
  <c r="U103" i="19" s="1"/>
  <c r="U104" i="19" s="1"/>
  <c r="U105" i="19" s="1"/>
  <c r="U106" i="19" s="1"/>
  <c r="U107" i="19" s="1"/>
  <c r="U108" i="19" s="1"/>
  <c r="U109" i="19" s="1"/>
  <c r="Q98" i="19"/>
  <c r="Q99" i="19" s="1"/>
  <c r="Q100" i="19" s="1"/>
  <c r="Q101" i="19" s="1"/>
  <c r="Q102" i="19" s="1"/>
  <c r="Q103" i="19" s="1"/>
  <c r="Q104" i="19" s="1"/>
  <c r="Q105" i="19" s="1"/>
  <c r="Q106" i="19" s="1"/>
  <c r="Q107" i="19" s="1"/>
  <c r="Q108" i="19" s="1"/>
  <c r="Q109" i="19" s="1"/>
  <c r="M98" i="19"/>
  <c r="M99" i="19" s="1"/>
  <c r="M100" i="19" s="1"/>
  <c r="M101" i="19" s="1"/>
  <c r="M102" i="19" s="1"/>
  <c r="M103" i="19" s="1"/>
  <c r="M104" i="19" s="1"/>
  <c r="M105" i="19" s="1"/>
  <c r="M106" i="19" s="1"/>
  <c r="M107" i="19" s="1"/>
  <c r="M108" i="19" s="1"/>
  <c r="M109" i="19" s="1"/>
  <c r="I98" i="19"/>
  <c r="I99" i="19" s="1"/>
  <c r="I100" i="19" s="1"/>
  <c r="I101" i="19" s="1"/>
  <c r="I102" i="19" s="1"/>
  <c r="I103" i="19" s="1"/>
  <c r="I104" i="19" s="1"/>
  <c r="I105" i="19" s="1"/>
  <c r="I106" i="19" s="1"/>
  <c r="I107" i="19" s="1"/>
  <c r="I108" i="19" s="1"/>
  <c r="I109" i="19" s="1"/>
  <c r="E98" i="19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B98" i="19"/>
  <c r="AC97" i="19"/>
  <c r="B97" i="19"/>
  <c r="AC96" i="19"/>
  <c r="B96" i="19"/>
  <c r="AC95" i="19"/>
  <c r="B95" i="19"/>
  <c r="AC94" i="19"/>
  <c r="B94" i="19"/>
  <c r="AC93" i="19"/>
  <c r="B93" i="19"/>
  <c r="AC92" i="19"/>
  <c r="B92" i="19"/>
  <c r="AC91" i="19"/>
  <c r="B91" i="19"/>
  <c r="AC90" i="19"/>
  <c r="B90" i="19"/>
  <c r="AC89" i="19"/>
  <c r="B89" i="19"/>
  <c r="AC88" i="19"/>
  <c r="B88" i="19"/>
  <c r="AC87" i="19"/>
  <c r="B87" i="19"/>
  <c r="AC86" i="19"/>
  <c r="Y86" i="19"/>
  <c r="Y87" i="19" s="1"/>
  <c r="Y88" i="19" s="1"/>
  <c r="Y89" i="19" s="1"/>
  <c r="Y90" i="19" s="1"/>
  <c r="Y91" i="19" s="1"/>
  <c r="Y92" i="19" s="1"/>
  <c r="Y93" i="19" s="1"/>
  <c r="Y94" i="19" s="1"/>
  <c r="Y95" i="19" s="1"/>
  <c r="Y96" i="19" s="1"/>
  <c r="Y97" i="19" s="1"/>
  <c r="U86" i="19"/>
  <c r="U87" i="19" s="1"/>
  <c r="U88" i="19" s="1"/>
  <c r="U89" i="19" s="1"/>
  <c r="U90" i="19" s="1"/>
  <c r="U91" i="19" s="1"/>
  <c r="U92" i="19" s="1"/>
  <c r="U93" i="19" s="1"/>
  <c r="U94" i="19" s="1"/>
  <c r="U95" i="19" s="1"/>
  <c r="U96" i="19" s="1"/>
  <c r="U97" i="19" s="1"/>
  <c r="Q86" i="19"/>
  <c r="Q87" i="19" s="1"/>
  <c r="Q88" i="19" s="1"/>
  <c r="Q89" i="19" s="1"/>
  <c r="Q90" i="19" s="1"/>
  <c r="Q91" i="19" s="1"/>
  <c r="Q92" i="19" s="1"/>
  <c r="Q93" i="19" s="1"/>
  <c r="Q94" i="19" s="1"/>
  <c r="Q95" i="19" s="1"/>
  <c r="Q96" i="19" s="1"/>
  <c r="Q97" i="19" s="1"/>
  <c r="M86" i="19"/>
  <c r="M87" i="19" s="1"/>
  <c r="M88" i="19" s="1"/>
  <c r="M89" i="19" s="1"/>
  <c r="M90" i="19" s="1"/>
  <c r="M91" i="19" s="1"/>
  <c r="M92" i="19" s="1"/>
  <c r="M93" i="19" s="1"/>
  <c r="M94" i="19" s="1"/>
  <c r="M95" i="19" s="1"/>
  <c r="M96" i="19" s="1"/>
  <c r="M97" i="19" s="1"/>
  <c r="I86" i="19"/>
  <c r="I87" i="19" s="1"/>
  <c r="I88" i="19" s="1"/>
  <c r="I89" i="19" s="1"/>
  <c r="I90" i="19" s="1"/>
  <c r="I91" i="19" s="1"/>
  <c r="I92" i="19" s="1"/>
  <c r="I93" i="19" s="1"/>
  <c r="I94" i="19" s="1"/>
  <c r="I95" i="19" s="1"/>
  <c r="I96" i="19" s="1"/>
  <c r="I97" i="19" s="1"/>
  <c r="E86" i="19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B86" i="19"/>
  <c r="AC85" i="19"/>
  <c r="B85" i="19"/>
  <c r="AC84" i="19"/>
  <c r="B84" i="19"/>
  <c r="AC83" i="19"/>
  <c r="B83" i="19"/>
  <c r="AC82" i="19"/>
  <c r="B82" i="19"/>
  <c r="AC81" i="19"/>
  <c r="B81" i="19"/>
  <c r="AC80" i="19"/>
  <c r="B80" i="19"/>
  <c r="AC79" i="19"/>
  <c r="B79" i="19"/>
  <c r="AC78" i="19"/>
  <c r="B78" i="19"/>
  <c r="AC77" i="19"/>
  <c r="B77" i="19"/>
  <c r="AC76" i="19"/>
  <c r="B76" i="19"/>
  <c r="AC75" i="19"/>
  <c r="B75" i="19"/>
  <c r="AC74" i="19"/>
  <c r="Y74" i="19"/>
  <c r="Y75" i="19" s="1"/>
  <c r="Y76" i="19" s="1"/>
  <c r="Y77" i="19" s="1"/>
  <c r="Y78" i="19" s="1"/>
  <c r="Y79" i="19" s="1"/>
  <c r="Y80" i="19" s="1"/>
  <c r="Y81" i="19" s="1"/>
  <c r="Y82" i="19" s="1"/>
  <c r="Y83" i="19" s="1"/>
  <c r="Y84" i="19" s="1"/>
  <c r="Y85" i="19" s="1"/>
  <c r="U74" i="19"/>
  <c r="U75" i="19" s="1"/>
  <c r="U76" i="19" s="1"/>
  <c r="U77" i="19" s="1"/>
  <c r="U78" i="19" s="1"/>
  <c r="U79" i="19" s="1"/>
  <c r="U80" i="19" s="1"/>
  <c r="U81" i="19" s="1"/>
  <c r="U82" i="19" s="1"/>
  <c r="U83" i="19" s="1"/>
  <c r="U84" i="19" s="1"/>
  <c r="U85" i="19" s="1"/>
  <c r="Q74" i="19"/>
  <c r="Q75" i="19" s="1"/>
  <c r="Q76" i="19" s="1"/>
  <c r="Q77" i="19" s="1"/>
  <c r="Q78" i="19" s="1"/>
  <c r="Q79" i="19" s="1"/>
  <c r="Q80" i="19" s="1"/>
  <c r="Q81" i="19" s="1"/>
  <c r="Q82" i="19" s="1"/>
  <c r="Q83" i="19" s="1"/>
  <c r="Q84" i="19" s="1"/>
  <c r="Q85" i="19" s="1"/>
  <c r="M74" i="19"/>
  <c r="M75" i="19" s="1"/>
  <c r="M76" i="19" s="1"/>
  <c r="M77" i="19" s="1"/>
  <c r="M78" i="19" s="1"/>
  <c r="M79" i="19" s="1"/>
  <c r="M80" i="19" s="1"/>
  <c r="M81" i="19" s="1"/>
  <c r="M82" i="19" s="1"/>
  <c r="M83" i="19" s="1"/>
  <c r="M84" i="19" s="1"/>
  <c r="M85" i="19" s="1"/>
  <c r="I74" i="19"/>
  <c r="I75" i="19" s="1"/>
  <c r="I76" i="19" s="1"/>
  <c r="I77" i="19" s="1"/>
  <c r="I78" i="19" s="1"/>
  <c r="I79" i="19" s="1"/>
  <c r="I80" i="19" s="1"/>
  <c r="I81" i="19" s="1"/>
  <c r="I82" i="19" s="1"/>
  <c r="I83" i="19" s="1"/>
  <c r="I84" i="19" s="1"/>
  <c r="I85" i="19" s="1"/>
  <c r="E74" i="19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B74" i="19"/>
  <c r="AC73" i="19"/>
  <c r="B73" i="19"/>
  <c r="AC72" i="19"/>
  <c r="B72" i="19"/>
  <c r="AC71" i="19"/>
  <c r="B71" i="19"/>
  <c r="AC70" i="19"/>
  <c r="B70" i="19"/>
  <c r="AC69" i="19"/>
  <c r="B69" i="19"/>
  <c r="AC68" i="19"/>
  <c r="B68" i="19"/>
  <c r="AC67" i="19"/>
  <c r="B67" i="19"/>
  <c r="AC66" i="19"/>
  <c r="B66" i="19"/>
  <c r="AC65" i="19"/>
  <c r="B65" i="19"/>
  <c r="AC64" i="19"/>
  <c r="B64" i="19"/>
  <c r="AC63" i="19"/>
  <c r="B63" i="19"/>
  <c r="AC62" i="19"/>
  <c r="Y62" i="19"/>
  <c r="Y63" i="19" s="1"/>
  <c r="Y64" i="19" s="1"/>
  <c r="Y65" i="19" s="1"/>
  <c r="Y66" i="19" s="1"/>
  <c r="Y67" i="19" s="1"/>
  <c r="Y68" i="19" s="1"/>
  <c r="Y69" i="19" s="1"/>
  <c r="Y70" i="19" s="1"/>
  <c r="Y71" i="19" s="1"/>
  <c r="Y72" i="19" s="1"/>
  <c r="Y73" i="19" s="1"/>
  <c r="U62" i="19"/>
  <c r="U63" i="19" s="1"/>
  <c r="U64" i="19" s="1"/>
  <c r="U65" i="19" s="1"/>
  <c r="U66" i="19" s="1"/>
  <c r="U67" i="19" s="1"/>
  <c r="U68" i="19" s="1"/>
  <c r="U69" i="19" s="1"/>
  <c r="U70" i="19" s="1"/>
  <c r="U71" i="19" s="1"/>
  <c r="U72" i="19" s="1"/>
  <c r="U73" i="19" s="1"/>
  <c r="Q62" i="19"/>
  <c r="Q63" i="19" s="1"/>
  <c r="Q64" i="19" s="1"/>
  <c r="Q65" i="19" s="1"/>
  <c r="Q66" i="19" s="1"/>
  <c r="Q67" i="19" s="1"/>
  <c r="Q68" i="19" s="1"/>
  <c r="Q69" i="19" s="1"/>
  <c r="Q70" i="19" s="1"/>
  <c r="Q71" i="19" s="1"/>
  <c r="Q72" i="19" s="1"/>
  <c r="Q73" i="19" s="1"/>
  <c r="M62" i="19"/>
  <c r="M63" i="19" s="1"/>
  <c r="M64" i="19" s="1"/>
  <c r="M65" i="19" s="1"/>
  <c r="M66" i="19" s="1"/>
  <c r="M67" i="19" s="1"/>
  <c r="M68" i="19" s="1"/>
  <c r="M69" i="19" s="1"/>
  <c r="M70" i="19" s="1"/>
  <c r="M71" i="19" s="1"/>
  <c r="M72" i="19" s="1"/>
  <c r="M73" i="19" s="1"/>
  <c r="I62" i="19"/>
  <c r="I63" i="19" s="1"/>
  <c r="I64" i="19" s="1"/>
  <c r="I65" i="19" s="1"/>
  <c r="I66" i="19" s="1"/>
  <c r="I67" i="19" s="1"/>
  <c r="I68" i="19" s="1"/>
  <c r="I69" i="19" s="1"/>
  <c r="I70" i="19" s="1"/>
  <c r="I71" i="19" s="1"/>
  <c r="I72" i="19" s="1"/>
  <c r="I73" i="19" s="1"/>
  <c r="E62" i="19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B62" i="19"/>
  <c r="AC61" i="19"/>
  <c r="B61" i="19"/>
  <c r="AC60" i="19"/>
  <c r="B60" i="19"/>
  <c r="AC59" i="19"/>
  <c r="B59" i="19"/>
  <c r="AC58" i="19"/>
  <c r="B58" i="19"/>
  <c r="AC57" i="19"/>
  <c r="B57" i="19"/>
  <c r="AC56" i="19"/>
  <c r="B56" i="19"/>
  <c r="AC55" i="19"/>
  <c r="B55" i="19"/>
  <c r="AC54" i="19"/>
  <c r="B54" i="19"/>
  <c r="AC53" i="19"/>
  <c r="B53" i="19"/>
  <c r="AC52" i="19"/>
  <c r="B52" i="19"/>
  <c r="AC51" i="19"/>
  <c r="B51" i="19"/>
  <c r="AC50" i="19"/>
  <c r="Y50" i="19"/>
  <c r="Y51" i="19" s="1"/>
  <c r="Y52" i="19" s="1"/>
  <c r="Y53" i="19" s="1"/>
  <c r="Y54" i="19" s="1"/>
  <c r="Y55" i="19" s="1"/>
  <c r="Y56" i="19" s="1"/>
  <c r="Y57" i="19" s="1"/>
  <c r="Y58" i="19" s="1"/>
  <c r="Y59" i="19" s="1"/>
  <c r="Y60" i="19" s="1"/>
  <c r="Y61" i="19" s="1"/>
  <c r="U50" i="19"/>
  <c r="U51" i="19" s="1"/>
  <c r="U52" i="19" s="1"/>
  <c r="U53" i="19" s="1"/>
  <c r="U54" i="19" s="1"/>
  <c r="U55" i="19" s="1"/>
  <c r="U56" i="19" s="1"/>
  <c r="U57" i="19" s="1"/>
  <c r="U58" i="19" s="1"/>
  <c r="U59" i="19" s="1"/>
  <c r="U60" i="19" s="1"/>
  <c r="U61" i="19" s="1"/>
  <c r="Q50" i="19"/>
  <c r="Q51" i="19" s="1"/>
  <c r="Q52" i="19" s="1"/>
  <c r="Q53" i="19" s="1"/>
  <c r="Q54" i="19" s="1"/>
  <c r="Q55" i="19" s="1"/>
  <c r="Q56" i="19" s="1"/>
  <c r="Q57" i="19" s="1"/>
  <c r="Q58" i="19" s="1"/>
  <c r="Q59" i="19" s="1"/>
  <c r="Q60" i="19" s="1"/>
  <c r="Q61" i="19" s="1"/>
  <c r="M50" i="19"/>
  <c r="M51" i="19" s="1"/>
  <c r="M52" i="19" s="1"/>
  <c r="M53" i="19" s="1"/>
  <c r="M54" i="19" s="1"/>
  <c r="M55" i="19" s="1"/>
  <c r="M56" i="19" s="1"/>
  <c r="M57" i="19" s="1"/>
  <c r="M58" i="19" s="1"/>
  <c r="M59" i="19" s="1"/>
  <c r="M60" i="19" s="1"/>
  <c r="M61" i="19" s="1"/>
  <c r="I50" i="19"/>
  <c r="I51" i="19" s="1"/>
  <c r="I52" i="19" s="1"/>
  <c r="I53" i="19" s="1"/>
  <c r="I54" i="19" s="1"/>
  <c r="I55" i="19" s="1"/>
  <c r="I56" i="19" s="1"/>
  <c r="I57" i="19" s="1"/>
  <c r="I58" i="19" s="1"/>
  <c r="I59" i="19" s="1"/>
  <c r="I60" i="19" s="1"/>
  <c r="I61" i="19" s="1"/>
  <c r="E50" i="19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B50" i="19"/>
  <c r="AC49" i="19"/>
  <c r="B49" i="19"/>
  <c r="AC48" i="19"/>
  <c r="B48" i="19"/>
  <c r="AC47" i="19"/>
  <c r="B47" i="19"/>
  <c r="AC46" i="19"/>
  <c r="B46" i="19"/>
  <c r="AC45" i="19"/>
  <c r="B45" i="19"/>
  <c r="AC44" i="19"/>
  <c r="B44" i="19"/>
  <c r="AC43" i="19"/>
  <c r="B43" i="19"/>
  <c r="AC42" i="19"/>
  <c r="B42" i="19"/>
  <c r="AC41" i="19"/>
  <c r="B41" i="19"/>
  <c r="AC40" i="19"/>
  <c r="B40" i="19"/>
  <c r="AC39" i="19"/>
  <c r="B39" i="19"/>
  <c r="AC38" i="19"/>
  <c r="Y38" i="19"/>
  <c r="Y39" i="19" s="1"/>
  <c r="Y40" i="19" s="1"/>
  <c r="Y41" i="19" s="1"/>
  <c r="Y42" i="19" s="1"/>
  <c r="Y43" i="19" s="1"/>
  <c r="Y44" i="19" s="1"/>
  <c r="Y45" i="19" s="1"/>
  <c r="Y46" i="19" s="1"/>
  <c r="Y47" i="19" s="1"/>
  <c r="Y48" i="19" s="1"/>
  <c r="Y49" i="19" s="1"/>
  <c r="U38" i="19"/>
  <c r="U39" i="19" s="1"/>
  <c r="U40" i="19" s="1"/>
  <c r="U41" i="19" s="1"/>
  <c r="U42" i="19" s="1"/>
  <c r="U43" i="19" s="1"/>
  <c r="U44" i="19" s="1"/>
  <c r="U45" i="19" s="1"/>
  <c r="U46" i="19" s="1"/>
  <c r="U47" i="19" s="1"/>
  <c r="U48" i="19" s="1"/>
  <c r="U49" i="19" s="1"/>
  <c r="Q38" i="19"/>
  <c r="Q39" i="19" s="1"/>
  <c r="Q40" i="19" s="1"/>
  <c r="Q41" i="19" s="1"/>
  <c r="Q42" i="19" s="1"/>
  <c r="Q43" i="19" s="1"/>
  <c r="Q44" i="19" s="1"/>
  <c r="Q45" i="19" s="1"/>
  <c r="Q46" i="19" s="1"/>
  <c r="Q47" i="19" s="1"/>
  <c r="Q48" i="19" s="1"/>
  <c r="Q49" i="19" s="1"/>
  <c r="M38" i="19"/>
  <c r="M39" i="19" s="1"/>
  <c r="M40" i="19" s="1"/>
  <c r="M41" i="19" s="1"/>
  <c r="M42" i="19" s="1"/>
  <c r="M43" i="19" s="1"/>
  <c r="M44" i="19" s="1"/>
  <c r="M45" i="19" s="1"/>
  <c r="M46" i="19" s="1"/>
  <c r="M47" i="19" s="1"/>
  <c r="M48" i="19" s="1"/>
  <c r="M49" i="19" s="1"/>
  <c r="I38" i="19"/>
  <c r="I39" i="19" s="1"/>
  <c r="I40" i="19" s="1"/>
  <c r="I41" i="19" s="1"/>
  <c r="I42" i="19" s="1"/>
  <c r="I43" i="19" s="1"/>
  <c r="I44" i="19" s="1"/>
  <c r="I45" i="19" s="1"/>
  <c r="I46" i="19" s="1"/>
  <c r="I47" i="19" s="1"/>
  <c r="I48" i="19" s="1"/>
  <c r="I49" i="19" s="1"/>
  <c r="E38" i="19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B38" i="19"/>
  <c r="AC37" i="19"/>
  <c r="B37" i="19"/>
  <c r="AC36" i="19"/>
  <c r="B36" i="19"/>
  <c r="AC35" i="19"/>
  <c r="B35" i="19"/>
  <c r="AC34" i="19"/>
  <c r="B34" i="19"/>
  <c r="AC33" i="19"/>
  <c r="B33" i="19"/>
  <c r="AC32" i="19"/>
  <c r="B32" i="19"/>
  <c r="AC31" i="19"/>
  <c r="B31" i="19"/>
  <c r="AC30" i="19"/>
  <c r="B30" i="19"/>
  <c r="AC29" i="19"/>
  <c r="B29" i="19"/>
  <c r="AC28" i="19"/>
  <c r="B28" i="19"/>
  <c r="AC27" i="19"/>
  <c r="B27" i="19"/>
  <c r="AC26" i="19"/>
  <c r="Y26" i="19"/>
  <c r="Y27" i="19" s="1"/>
  <c r="Y28" i="19" s="1"/>
  <c r="Y29" i="19" s="1"/>
  <c r="Y30" i="19" s="1"/>
  <c r="Y31" i="19" s="1"/>
  <c r="Y32" i="19" s="1"/>
  <c r="Y33" i="19" s="1"/>
  <c r="Y34" i="19" s="1"/>
  <c r="Y35" i="19" s="1"/>
  <c r="Y36" i="19" s="1"/>
  <c r="Y37" i="19" s="1"/>
  <c r="U26" i="19"/>
  <c r="U27" i="19" s="1"/>
  <c r="U28" i="19" s="1"/>
  <c r="U29" i="19" s="1"/>
  <c r="U30" i="19" s="1"/>
  <c r="U31" i="19" s="1"/>
  <c r="U32" i="19" s="1"/>
  <c r="U33" i="19" s="1"/>
  <c r="U34" i="19" s="1"/>
  <c r="U35" i="19" s="1"/>
  <c r="U36" i="19" s="1"/>
  <c r="U37" i="19" s="1"/>
  <c r="Q26" i="19"/>
  <c r="Q27" i="19" s="1"/>
  <c r="Q28" i="19" s="1"/>
  <c r="Q29" i="19" s="1"/>
  <c r="Q30" i="19" s="1"/>
  <c r="Q31" i="19" s="1"/>
  <c r="Q32" i="19" s="1"/>
  <c r="Q33" i="19" s="1"/>
  <c r="Q34" i="19" s="1"/>
  <c r="Q35" i="19" s="1"/>
  <c r="Q36" i="19" s="1"/>
  <c r="Q37" i="19" s="1"/>
  <c r="M26" i="19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I26" i="19"/>
  <c r="I27" i="19" s="1"/>
  <c r="I28" i="19" s="1"/>
  <c r="I29" i="19" s="1"/>
  <c r="I30" i="19" s="1"/>
  <c r="I31" i="19" s="1"/>
  <c r="I32" i="19" s="1"/>
  <c r="I33" i="19" s="1"/>
  <c r="I34" i="19" s="1"/>
  <c r="I35" i="19" s="1"/>
  <c r="I36" i="19" s="1"/>
  <c r="I37" i="19" s="1"/>
  <c r="E26" i="19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B26" i="19"/>
  <c r="AC25" i="19"/>
  <c r="B25" i="19"/>
  <c r="AC24" i="19"/>
  <c r="B24" i="19"/>
  <c r="AC23" i="19"/>
  <c r="B23" i="19"/>
  <c r="AC22" i="19"/>
  <c r="B22" i="19"/>
  <c r="AC21" i="19"/>
  <c r="B21" i="19"/>
  <c r="AC20" i="19"/>
  <c r="B20" i="19"/>
  <c r="AC19" i="19"/>
  <c r="B19" i="19"/>
  <c r="AC18" i="19"/>
  <c r="B18" i="19"/>
  <c r="AC17" i="19"/>
  <c r="B17" i="19"/>
  <c r="AC16" i="19"/>
  <c r="B16" i="19"/>
  <c r="AC15" i="19"/>
  <c r="B15" i="19"/>
  <c r="AC14" i="19"/>
  <c r="Y14" i="19"/>
  <c r="Y15" i="19" s="1"/>
  <c r="Y16" i="19" s="1"/>
  <c r="Y17" i="19" s="1"/>
  <c r="Y18" i="19" s="1"/>
  <c r="Y19" i="19" s="1"/>
  <c r="Y20" i="19" s="1"/>
  <c r="Y21" i="19" s="1"/>
  <c r="Y22" i="19" s="1"/>
  <c r="Y23" i="19" s="1"/>
  <c r="Y24" i="19" s="1"/>
  <c r="Y25" i="19" s="1"/>
  <c r="U14" i="19"/>
  <c r="U15" i="19" s="1"/>
  <c r="U16" i="19" s="1"/>
  <c r="U17" i="19" s="1"/>
  <c r="U18" i="19" s="1"/>
  <c r="U19" i="19" s="1"/>
  <c r="U20" i="19" s="1"/>
  <c r="U21" i="19" s="1"/>
  <c r="U22" i="19" s="1"/>
  <c r="U23" i="19" s="1"/>
  <c r="U24" i="19" s="1"/>
  <c r="U25" i="19" s="1"/>
  <c r="Q14" i="19"/>
  <c r="Q15" i="19" s="1"/>
  <c r="Q16" i="19" s="1"/>
  <c r="Q17" i="19" s="1"/>
  <c r="Q18" i="19" s="1"/>
  <c r="Q19" i="19" s="1"/>
  <c r="Q20" i="19" s="1"/>
  <c r="Q21" i="19" s="1"/>
  <c r="Q22" i="19" s="1"/>
  <c r="Q23" i="19" s="1"/>
  <c r="Q24" i="19" s="1"/>
  <c r="Q25" i="19" s="1"/>
  <c r="M14" i="19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I14" i="19"/>
  <c r="I15" i="19" s="1"/>
  <c r="I16" i="19" s="1"/>
  <c r="I17" i="19" s="1"/>
  <c r="I18" i="19" s="1"/>
  <c r="I19" i="19" s="1"/>
  <c r="I20" i="19" s="1"/>
  <c r="I21" i="19" s="1"/>
  <c r="I22" i="19" s="1"/>
  <c r="I23" i="19" s="1"/>
  <c r="I24" i="19" s="1"/>
  <c r="I25" i="19" s="1"/>
  <c r="E14" i="19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B14" i="19"/>
  <c r="AC13" i="19"/>
  <c r="B13" i="19"/>
  <c r="AC12" i="19"/>
  <c r="B12" i="19"/>
  <c r="AC11" i="19"/>
  <c r="B11" i="19"/>
  <c r="AC10" i="19"/>
  <c r="B10" i="19"/>
  <c r="AC9" i="19"/>
  <c r="B9" i="19"/>
  <c r="AC8" i="19"/>
  <c r="B8" i="19"/>
  <c r="AC7" i="19"/>
  <c r="B7" i="19"/>
  <c r="AC6" i="19"/>
  <c r="B6" i="19"/>
  <c r="AC5" i="19"/>
  <c r="B5" i="19"/>
  <c r="AC4" i="19"/>
  <c r="B4" i="19"/>
  <c r="AC3" i="19"/>
  <c r="N3" i="19"/>
  <c r="O3" i="19" s="1"/>
  <c r="B3" i="19"/>
  <c r="AC2" i="19"/>
  <c r="Z2" i="19"/>
  <c r="Z3" i="19" s="1"/>
  <c r="Y2" i="19"/>
  <c r="Y3" i="19" s="1"/>
  <c r="Y4" i="19" s="1"/>
  <c r="Y5" i="19" s="1"/>
  <c r="Y6" i="19" s="1"/>
  <c r="Y7" i="19" s="1"/>
  <c r="Y8" i="19" s="1"/>
  <c r="Y9" i="19" s="1"/>
  <c r="Y10" i="19" s="1"/>
  <c r="Y11" i="19" s="1"/>
  <c r="Y12" i="19" s="1"/>
  <c r="Y13" i="19" s="1"/>
  <c r="V2" i="19"/>
  <c r="V3" i="19" s="1"/>
  <c r="V4" i="19" s="1"/>
  <c r="V5" i="19" s="1"/>
  <c r="V6" i="19" s="1"/>
  <c r="V7" i="19" s="1"/>
  <c r="V8" i="19" s="1"/>
  <c r="V9" i="19" s="1"/>
  <c r="V10" i="19" s="1"/>
  <c r="V11" i="19" s="1"/>
  <c r="V12" i="19" s="1"/>
  <c r="V13" i="19" s="1"/>
  <c r="V14" i="19" s="1"/>
  <c r="V15" i="19" s="1"/>
  <c r="U2" i="19"/>
  <c r="U3" i="19" s="1"/>
  <c r="U4" i="19" s="1"/>
  <c r="U5" i="19" s="1"/>
  <c r="U6" i="19" s="1"/>
  <c r="U7" i="19" s="1"/>
  <c r="U8" i="19" s="1"/>
  <c r="U9" i="19" s="1"/>
  <c r="U10" i="19" s="1"/>
  <c r="U11" i="19" s="1"/>
  <c r="U12" i="19" s="1"/>
  <c r="U13" i="19" s="1"/>
  <c r="R2" i="19"/>
  <c r="R3" i="19" s="1"/>
  <c r="Q2" i="19"/>
  <c r="Q3" i="19" s="1"/>
  <c r="Q4" i="19" s="1"/>
  <c r="Q5" i="19" s="1"/>
  <c r="Q6" i="19" s="1"/>
  <c r="Q7" i="19" s="1"/>
  <c r="Q8" i="19" s="1"/>
  <c r="Q9" i="19" s="1"/>
  <c r="Q10" i="19" s="1"/>
  <c r="Q11" i="19" s="1"/>
  <c r="Q12" i="19" s="1"/>
  <c r="Q13" i="19" s="1"/>
  <c r="N2" i="19"/>
  <c r="O2" i="19" s="1"/>
  <c r="M2" i="19"/>
  <c r="M3" i="19" s="1"/>
  <c r="M4" i="19" s="1"/>
  <c r="M5" i="19" s="1"/>
  <c r="M6" i="19" s="1"/>
  <c r="M7" i="19" s="1"/>
  <c r="M8" i="19" s="1"/>
  <c r="M9" i="19" s="1"/>
  <c r="M10" i="19" s="1"/>
  <c r="M11" i="19" s="1"/>
  <c r="M12" i="19" s="1"/>
  <c r="M13" i="19" s="1"/>
  <c r="J2" i="19"/>
  <c r="J3" i="19" s="1"/>
  <c r="I2" i="19"/>
  <c r="I3" i="19" s="1"/>
  <c r="I4" i="19" s="1"/>
  <c r="I5" i="19" s="1"/>
  <c r="I6" i="19" s="1"/>
  <c r="I7" i="19" s="1"/>
  <c r="I8" i="19" s="1"/>
  <c r="I9" i="19" s="1"/>
  <c r="I10" i="19" s="1"/>
  <c r="I11" i="19" s="1"/>
  <c r="I12" i="19" s="1"/>
  <c r="I13" i="19" s="1"/>
  <c r="F2" i="19"/>
  <c r="F3" i="19" s="1"/>
  <c r="F4" i="19" s="1"/>
  <c r="F5" i="19" s="1"/>
  <c r="F6" i="19" s="1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E2" i="19"/>
  <c r="E3" i="19" s="1"/>
  <c r="E4" i="19" s="1"/>
  <c r="E5" i="19" s="1"/>
  <c r="E6" i="19" s="1"/>
  <c r="E7" i="19" s="1"/>
  <c r="E8" i="19" s="1"/>
  <c r="E9" i="19" s="1"/>
  <c r="E10" i="19" s="1"/>
  <c r="E11" i="19" s="1"/>
  <c r="E12" i="19" s="1"/>
  <c r="E13" i="19" s="1"/>
  <c r="B2" i="19"/>
  <c r="B110" i="23"/>
  <c r="B109" i="23"/>
  <c r="B108" i="23"/>
  <c r="B107" i="23"/>
  <c r="B106" i="23"/>
  <c r="B105" i="23"/>
  <c r="B104" i="23"/>
  <c r="B103" i="23"/>
  <c r="P102" i="23"/>
  <c r="B102" i="23"/>
  <c r="P101" i="23"/>
  <c r="B101" i="23"/>
  <c r="P100" i="23"/>
  <c r="B100" i="23"/>
  <c r="J99" i="23"/>
  <c r="P99" i="23" s="1"/>
  <c r="E99" i="23"/>
  <c r="B99" i="23"/>
  <c r="J98" i="23"/>
  <c r="P98" i="23" s="1"/>
  <c r="E98" i="23"/>
  <c r="B98" i="23"/>
  <c r="J97" i="23"/>
  <c r="P97" i="23" s="1"/>
  <c r="E97" i="23"/>
  <c r="B97" i="23"/>
  <c r="J96" i="23"/>
  <c r="P96" i="23" s="1"/>
  <c r="E96" i="23"/>
  <c r="B96" i="23"/>
  <c r="J95" i="23"/>
  <c r="E95" i="23"/>
  <c r="B95" i="23"/>
  <c r="J94" i="23"/>
  <c r="P94" i="23" s="1"/>
  <c r="E94" i="23"/>
  <c r="B94" i="23"/>
  <c r="J93" i="23"/>
  <c r="P93" i="23" s="1"/>
  <c r="E93" i="23"/>
  <c r="B93" i="23"/>
  <c r="J92" i="23"/>
  <c r="P92" i="23" s="1"/>
  <c r="E92" i="23"/>
  <c r="B92" i="23"/>
  <c r="J91" i="23"/>
  <c r="E91" i="23"/>
  <c r="B91" i="23"/>
  <c r="J90" i="23"/>
  <c r="E90" i="23"/>
  <c r="P90" i="23" s="1"/>
  <c r="B90" i="23"/>
  <c r="J89" i="23"/>
  <c r="E89" i="23"/>
  <c r="B89" i="23"/>
  <c r="J88" i="23"/>
  <c r="P88" i="23" s="1"/>
  <c r="E88" i="23"/>
  <c r="B88" i="23"/>
  <c r="J87" i="23"/>
  <c r="E87" i="23"/>
  <c r="B87" i="23"/>
  <c r="J86" i="23"/>
  <c r="P86" i="23" s="1"/>
  <c r="E86" i="23"/>
  <c r="B86" i="23"/>
  <c r="J85" i="23"/>
  <c r="P85" i="23" s="1"/>
  <c r="E85" i="23"/>
  <c r="B85" i="23"/>
  <c r="J84" i="23"/>
  <c r="P84" i="23" s="1"/>
  <c r="E84" i="23"/>
  <c r="B84" i="23"/>
  <c r="J83" i="23"/>
  <c r="P83" i="23" s="1"/>
  <c r="E83" i="23"/>
  <c r="B83" i="23"/>
  <c r="J82" i="23"/>
  <c r="P82" i="23" s="1"/>
  <c r="E82" i="23"/>
  <c r="B82" i="23"/>
  <c r="J81" i="23"/>
  <c r="P81" i="23" s="1"/>
  <c r="E81" i="23"/>
  <c r="B81" i="23"/>
  <c r="J80" i="23"/>
  <c r="P80" i="23" s="1"/>
  <c r="E80" i="23"/>
  <c r="B80" i="23"/>
  <c r="J79" i="23"/>
  <c r="E79" i="23"/>
  <c r="B79" i="23"/>
  <c r="J78" i="23"/>
  <c r="P78" i="23" s="1"/>
  <c r="E78" i="23"/>
  <c r="B78" i="23"/>
  <c r="J77" i="23"/>
  <c r="P77" i="23" s="1"/>
  <c r="E77" i="23"/>
  <c r="B77" i="23"/>
  <c r="J76" i="23"/>
  <c r="P76" i="23" s="1"/>
  <c r="E76" i="23"/>
  <c r="B76" i="23"/>
  <c r="J75" i="23"/>
  <c r="P75" i="23" s="1"/>
  <c r="E75" i="23"/>
  <c r="B75" i="23"/>
  <c r="J74" i="23"/>
  <c r="P74" i="23" s="1"/>
  <c r="E74" i="23"/>
  <c r="B74" i="23"/>
  <c r="J73" i="23"/>
  <c r="E73" i="23"/>
  <c r="B73" i="23"/>
  <c r="J72" i="23"/>
  <c r="E72" i="23"/>
  <c r="P72" i="23" s="1"/>
  <c r="B72" i="23"/>
  <c r="J71" i="23"/>
  <c r="E71" i="23"/>
  <c r="B71" i="23"/>
  <c r="J70" i="23"/>
  <c r="P70" i="23" s="1"/>
  <c r="E70" i="23"/>
  <c r="B70" i="23"/>
  <c r="J69" i="23"/>
  <c r="P69" i="23" s="1"/>
  <c r="E69" i="23"/>
  <c r="B69" i="23"/>
  <c r="J68" i="23"/>
  <c r="P68" i="23" s="1"/>
  <c r="E68" i="23"/>
  <c r="B68" i="23"/>
  <c r="J67" i="23"/>
  <c r="P67" i="23" s="1"/>
  <c r="E67" i="23"/>
  <c r="B67" i="23"/>
  <c r="J66" i="23"/>
  <c r="P66" i="23" s="1"/>
  <c r="E66" i="23"/>
  <c r="B66" i="23"/>
  <c r="J65" i="23"/>
  <c r="P65" i="23" s="1"/>
  <c r="E65" i="23"/>
  <c r="B65" i="23"/>
  <c r="J64" i="23"/>
  <c r="P64" i="23" s="1"/>
  <c r="E64" i="23"/>
  <c r="B64" i="23"/>
  <c r="J63" i="23"/>
  <c r="E63" i="23"/>
  <c r="B63" i="23"/>
  <c r="J62" i="23"/>
  <c r="P62" i="23" s="1"/>
  <c r="E62" i="23"/>
  <c r="B62" i="23"/>
  <c r="J61" i="23"/>
  <c r="E61" i="23"/>
  <c r="B61" i="23"/>
  <c r="J60" i="23"/>
  <c r="E60" i="23"/>
  <c r="P60" i="23" s="1"/>
  <c r="B60" i="23"/>
  <c r="J59" i="23"/>
  <c r="E59" i="23"/>
  <c r="B59" i="23"/>
  <c r="J58" i="23"/>
  <c r="P58" i="23" s="1"/>
  <c r="E58" i="23"/>
  <c r="B58" i="23"/>
  <c r="J57" i="23"/>
  <c r="E57" i="23"/>
  <c r="B57" i="23"/>
  <c r="J56" i="23"/>
  <c r="E56" i="23"/>
  <c r="P56" i="23" s="1"/>
  <c r="B56" i="23"/>
  <c r="J55" i="23"/>
  <c r="E55" i="23"/>
  <c r="B55" i="23"/>
  <c r="J54" i="23"/>
  <c r="P54" i="23" s="1"/>
  <c r="E54" i="23"/>
  <c r="B54" i="23"/>
  <c r="J53" i="23"/>
  <c r="E53" i="23"/>
  <c r="B53" i="23"/>
  <c r="J52" i="23"/>
  <c r="E52" i="23"/>
  <c r="P52" i="23" s="1"/>
  <c r="B52" i="23"/>
  <c r="J51" i="23"/>
  <c r="P51" i="23" s="1"/>
  <c r="E51" i="23"/>
  <c r="B51" i="23"/>
  <c r="J50" i="23"/>
  <c r="P50" i="23" s="1"/>
  <c r="E50" i="23"/>
  <c r="B50" i="23"/>
  <c r="P49" i="23"/>
  <c r="J49" i="23"/>
  <c r="E49" i="23"/>
  <c r="B49" i="23"/>
  <c r="J48" i="23"/>
  <c r="P48" i="23" s="1"/>
  <c r="E48" i="23"/>
  <c r="B48" i="23"/>
  <c r="J47" i="23"/>
  <c r="E47" i="23"/>
  <c r="B47" i="23"/>
  <c r="J46" i="23"/>
  <c r="P46" i="23" s="1"/>
  <c r="E46" i="23"/>
  <c r="B46" i="23"/>
  <c r="J45" i="23"/>
  <c r="P45" i="23" s="1"/>
  <c r="E45" i="23"/>
  <c r="B45" i="23"/>
  <c r="J44" i="23"/>
  <c r="P44" i="23" s="1"/>
  <c r="E44" i="23"/>
  <c r="B44" i="23"/>
  <c r="J43" i="23"/>
  <c r="P43" i="23" s="1"/>
  <c r="E43" i="23"/>
  <c r="B43" i="23"/>
  <c r="J42" i="23"/>
  <c r="P42" i="23" s="1"/>
  <c r="E42" i="23"/>
  <c r="B42" i="23"/>
  <c r="J41" i="23"/>
  <c r="P41" i="23" s="1"/>
  <c r="E41" i="23"/>
  <c r="B41" i="23"/>
  <c r="J40" i="23"/>
  <c r="P40" i="23" s="1"/>
  <c r="E40" i="23"/>
  <c r="B40" i="23"/>
  <c r="J39" i="23"/>
  <c r="P39" i="23" s="1"/>
  <c r="E39" i="23"/>
  <c r="F39" i="23" s="1"/>
  <c r="B39" i="23"/>
  <c r="J38" i="23"/>
  <c r="P38" i="23" s="1"/>
  <c r="E38" i="23"/>
  <c r="B38" i="23"/>
  <c r="J37" i="23"/>
  <c r="P37" i="23" s="1"/>
  <c r="E37" i="23"/>
  <c r="B37" i="23"/>
  <c r="J36" i="23"/>
  <c r="P36" i="23" s="1"/>
  <c r="E36" i="23"/>
  <c r="B36" i="23"/>
  <c r="J35" i="23"/>
  <c r="E35" i="23"/>
  <c r="B35" i="23"/>
  <c r="J34" i="23"/>
  <c r="P34" i="23" s="1"/>
  <c r="E34" i="23"/>
  <c r="B34" i="23"/>
  <c r="J33" i="23"/>
  <c r="P33" i="23" s="1"/>
  <c r="E33" i="23"/>
  <c r="B33" i="23"/>
  <c r="J32" i="23"/>
  <c r="P32" i="23" s="1"/>
  <c r="E32" i="23"/>
  <c r="B32" i="23"/>
  <c r="J31" i="23"/>
  <c r="E31" i="23"/>
  <c r="P31" i="23" s="1"/>
  <c r="B31" i="23"/>
  <c r="J30" i="23"/>
  <c r="E30" i="23"/>
  <c r="P30" i="23" s="1"/>
  <c r="B30" i="23"/>
  <c r="J29" i="23"/>
  <c r="E29" i="23"/>
  <c r="B29" i="23"/>
  <c r="J28" i="23"/>
  <c r="P28" i="23" s="1"/>
  <c r="E28" i="23"/>
  <c r="B28" i="23"/>
  <c r="J27" i="23"/>
  <c r="E27" i="23"/>
  <c r="F27" i="23" s="1"/>
  <c r="F28" i="23" s="1"/>
  <c r="B27" i="23"/>
  <c r="J26" i="23"/>
  <c r="P26" i="23" s="1"/>
  <c r="E26" i="23"/>
  <c r="B26" i="23"/>
  <c r="J25" i="23"/>
  <c r="P25" i="23" s="1"/>
  <c r="E25" i="23"/>
  <c r="B25" i="23"/>
  <c r="J24" i="23"/>
  <c r="P24" i="23" s="1"/>
  <c r="E24" i="23"/>
  <c r="B24" i="23"/>
  <c r="J23" i="23"/>
  <c r="P23" i="23" s="1"/>
  <c r="E23" i="23"/>
  <c r="B23" i="23"/>
  <c r="J22" i="23"/>
  <c r="P22" i="23" s="1"/>
  <c r="E22" i="23"/>
  <c r="B22" i="23"/>
  <c r="J21" i="23"/>
  <c r="P21" i="23" s="1"/>
  <c r="E21" i="23"/>
  <c r="B21" i="23"/>
  <c r="J20" i="23"/>
  <c r="E20" i="23"/>
  <c r="P20" i="23" s="1"/>
  <c r="B20" i="23"/>
  <c r="J19" i="23"/>
  <c r="E19" i="23"/>
  <c r="B19" i="23"/>
  <c r="J18" i="23"/>
  <c r="P18" i="23" s="1"/>
  <c r="E18" i="23"/>
  <c r="B18" i="23"/>
  <c r="J17" i="23"/>
  <c r="P17" i="23" s="1"/>
  <c r="E17" i="23"/>
  <c r="B17" i="23"/>
  <c r="J16" i="23"/>
  <c r="P16" i="23" s="1"/>
  <c r="E16" i="23"/>
  <c r="B16" i="23"/>
  <c r="J15" i="23"/>
  <c r="E15" i="23"/>
  <c r="P15" i="23" s="1"/>
  <c r="B15" i="23"/>
  <c r="J14" i="23"/>
  <c r="E14" i="23"/>
  <c r="P14" i="23" s="1"/>
  <c r="B14" i="23"/>
  <c r="J13" i="23"/>
  <c r="E13" i="23"/>
  <c r="B13" i="23"/>
  <c r="J12" i="23"/>
  <c r="P12" i="23" s="1"/>
  <c r="E12" i="23"/>
  <c r="B12" i="23"/>
  <c r="J11" i="23"/>
  <c r="E11" i="23"/>
  <c r="B11" i="23"/>
  <c r="J10" i="23"/>
  <c r="P10" i="23" s="1"/>
  <c r="E10" i="23"/>
  <c r="B10" i="23"/>
  <c r="J9" i="23"/>
  <c r="P9" i="23" s="1"/>
  <c r="E9" i="23"/>
  <c r="B9" i="23"/>
  <c r="J8" i="23"/>
  <c r="P8" i="23" s="1"/>
  <c r="E8" i="23"/>
  <c r="B8" i="23"/>
  <c r="J7" i="23"/>
  <c r="E7" i="23"/>
  <c r="P7" i="23" s="1"/>
  <c r="B7" i="23"/>
  <c r="J6" i="23"/>
  <c r="E6" i="23"/>
  <c r="P6" i="23" s="1"/>
  <c r="B6" i="23"/>
  <c r="J5" i="23"/>
  <c r="P5" i="23" s="1"/>
  <c r="E5" i="23"/>
  <c r="B5" i="23"/>
  <c r="J4" i="23"/>
  <c r="P4" i="23" s="1"/>
  <c r="E4" i="23"/>
  <c r="B4" i="23"/>
  <c r="J3" i="23"/>
  <c r="F3" i="23"/>
  <c r="F4" i="23" s="1"/>
  <c r="E3" i="23"/>
  <c r="B3" i="23"/>
  <c r="V2" i="32" l="1"/>
  <c r="T112" i="32"/>
  <c r="T115" i="32"/>
  <c r="T114" i="32"/>
  <c r="AA2" i="32"/>
  <c r="AB2" i="32" s="1"/>
  <c r="Y115" i="32"/>
  <c r="Y112" i="32"/>
  <c r="Y114" i="32"/>
  <c r="AI111" i="13"/>
  <c r="AH41" i="13"/>
  <c r="M144" i="13"/>
  <c r="M147" i="13"/>
  <c r="M146" i="13"/>
  <c r="U146" i="13"/>
  <c r="U147" i="13"/>
  <c r="U144" i="13"/>
  <c r="AC146" i="13"/>
  <c r="AC144" i="13"/>
  <c r="AC147" i="13"/>
  <c r="AQ15" i="13"/>
  <c r="AQ16" i="13" s="1"/>
  <c r="AQ17" i="13" s="1"/>
  <c r="AQ18" i="13" s="1"/>
  <c r="AQ19" i="13" s="1"/>
  <c r="AQ20" i="13" s="1"/>
  <c r="AQ21" i="13" s="1"/>
  <c r="AQ22" i="13" s="1"/>
  <c r="AQ23" i="13" s="1"/>
  <c r="AQ24" i="13" s="1"/>
  <c r="AQ25" i="13" s="1"/>
  <c r="AH37" i="13"/>
  <c r="AD63" i="13"/>
  <c r="AD64" i="13" s="1"/>
  <c r="AD65" i="13" s="1"/>
  <c r="AD66" i="13" s="1"/>
  <c r="AD67" i="13" s="1"/>
  <c r="AD68" i="13" s="1"/>
  <c r="AD69" i="13" s="1"/>
  <c r="AD70" i="13" s="1"/>
  <c r="AD71" i="13" s="1"/>
  <c r="AD72" i="13" s="1"/>
  <c r="AD73" i="13" s="1"/>
  <c r="AD111" i="13"/>
  <c r="AD112" i="13" s="1"/>
  <c r="AD113" i="13" s="1"/>
  <c r="AD114" i="13" s="1"/>
  <c r="AD115" i="13" s="1"/>
  <c r="AD116" i="13" s="1"/>
  <c r="AD117" i="13" s="1"/>
  <c r="AD118" i="13" s="1"/>
  <c r="AD119" i="13" s="1"/>
  <c r="AD120" i="13" s="1"/>
  <c r="AD121" i="13" s="1"/>
  <c r="R2" i="20"/>
  <c r="Q138" i="20"/>
  <c r="Q136" i="20"/>
  <c r="Q139" i="20"/>
  <c r="W2" i="19"/>
  <c r="K2" i="19"/>
  <c r="G2" i="19"/>
  <c r="G14" i="19"/>
  <c r="AG2" i="19"/>
  <c r="AG3" i="19" s="1"/>
  <c r="AC137" i="19"/>
  <c r="AC135" i="19"/>
  <c r="AC138" i="19"/>
  <c r="AD123" i="19"/>
  <c r="AD124" i="19" s="1"/>
  <c r="AD125" i="19" s="1"/>
  <c r="AD126" i="19" s="1"/>
  <c r="AD127" i="19" s="1"/>
  <c r="AD128" i="19" s="1"/>
  <c r="AD129" i="19" s="1"/>
  <c r="AD130" i="19" s="1"/>
  <c r="AD131" i="19" s="1"/>
  <c r="AD132" i="19" s="1"/>
  <c r="AD133" i="19" s="1"/>
  <c r="E114" i="23"/>
  <c r="E112" i="23"/>
  <c r="E113" i="23" s="1"/>
  <c r="E115" i="23"/>
  <c r="J112" i="23"/>
  <c r="J115" i="23"/>
  <c r="J114" i="23"/>
  <c r="Z2" i="32"/>
  <c r="Z3" i="32" s="1"/>
  <c r="Z4" i="32" s="1"/>
  <c r="Z5" i="32" s="1"/>
  <c r="Z6" i="32" s="1"/>
  <c r="Z7" i="32" s="1"/>
  <c r="Z8" i="32" s="1"/>
  <c r="Z9" i="32" s="1"/>
  <c r="Z10" i="32" s="1"/>
  <c r="Z11" i="32" s="1"/>
  <c r="Z12" i="32" s="1"/>
  <c r="Z13" i="32" s="1"/>
  <c r="Z87" i="32"/>
  <c r="Z88" i="32" s="1"/>
  <c r="Z89" i="32" s="1"/>
  <c r="Z90" i="32" s="1"/>
  <c r="Z91" i="32" s="1"/>
  <c r="Z92" i="32" s="1"/>
  <c r="Z93" i="32" s="1"/>
  <c r="Z94" i="32" s="1"/>
  <c r="Z95" i="32" s="1"/>
  <c r="Z96" i="32" s="1"/>
  <c r="Z97" i="32" s="1"/>
  <c r="U99" i="32"/>
  <c r="U100" i="32" s="1"/>
  <c r="U101" i="32" s="1"/>
  <c r="U102" i="32" s="1"/>
  <c r="U103" i="32" s="1"/>
  <c r="U104" i="32" s="1"/>
  <c r="U105" i="32" s="1"/>
  <c r="U106" i="32" s="1"/>
  <c r="Q3" i="30"/>
  <c r="Z2" i="30"/>
  <c r="Z3" i="30" s="1"/>
  <c r="Z4" i="30" s="1"/>
  <c r="Z5" i="30" s="1"/>
  <c r="Z6" i="30" s="1"/>
  <c r="Z7" i="30" s="1"/>
  <c r="Z8" i="30" s="1"/>
  <c r="Z9" i="30" s="1"/>
  <c r="Z10" i="30" s="1"/>
  <c r="Z11" i="30" s="1"/>
  <c r="Z12" i="30" s="1"/>
  <c r="Z13" i="30" s="1"/>
  <c r="Y92" i="30"/>
  <c r="Y89" i="30"/>
  <c r="Y91" i="30"/>
  <c r="AP147" i="13"/>
  <c r="AP144" i="13"/>
  <c r="AP146" i="13"/>
  <c r="AI99" i="13"/>
  <c r="AI100" i="13" s="1"/>
  <c r="AI101" i="13" s="1"/>
  <c r="AI102" i="13" s="1"/>
  <c r="AI103" i="13" s="1"/>
  <c r="AI104" i="13" s="1"/>
  <c r="AI105" i="13" s="1"/>
  <c r="AI106" i="13" s="1"/>
  <c r="AI107" i="13" s="1"/>
  <c r="AI108" i="13" s="1"/>
  <c r="AI109" i="13" s="1"/>
  <c r="AG4" i="19"/>
  <c r="AG5" i="19" s="1"/>
  <c r="AG6" i="19" s="1"/>
  <c r="AG7" i="19" s="1"/>
  <c r="AG8" i="19" s="1"/>
  <c r="AG9" i="19" s="1"/>
  <c r="AG10" i="19" s="1"/>
  <c r="AG11" i="19" s="1"/>
  <c r="AG12" i="19" s="1"/>
  <c r="AG13" i="19" s="1"/>
  <c r="AG14" i="19" s="1"/>
  <c r="AG15" i="19" s="1"/>
  <c r="AG16" i="19" s="1"/>
  <c r="AG17" i="19" s="1"/>
  <c r="AG18" i="19" s="1"/>
  <c r="AG19" i="19" s="1"/>
  <c r="AG20" i="19" s="1"/>
  <c r="AG21" i="19" s="1"/>
  <c r="AG22" i="19" s="1"/>
  <c r="AG23" i="19" s="1"/>
  <c r="AG24" i="19" s="1"/>
  <c r="AG25" i="19" s="1"/>
  <c r="AG26" i="19" s="1"/>
  <c r="AG27" i="19" s="1"/>
  <c r="AG28" i="19" s="1"/>
  <c r="AG29" i="19" s="1"/>
  <c r="AG30" i="19" s="1"/>
  <c r="AG31" i="19" s="1"/>
  <c r="AG32" i="19" s="1"/>
  <c r="AG33" i="19" s="1"/>
  <c r="AG34" i="19" s="1"/>
  <c r="AG35" i="19" s="1"/>
  <c r="AG36" i="19" s="1"/>
  <c r="AG37" i="19" s="1"/>
  <c r="AG38" i="19" s="1"/>
  <c r="AG39" i="19" s="1"/>
  <c r="AG40" i="19" s="1"/>
  <c r="AG41" i="19" s="1"/>
  <c r="AG42" i="19" s="1"/>
  <c r="AG43" i="19" s="1"/>
  <c r="AG44" i="19" s="1"/>
  <c r="AG45" i="19" s="1"/>
  <c r="AG46" i="19" s="1"/>
  <c r="AG47" i="19" s="1"/>
  <c r="AG48" i="19" s="1"/>
  <c r="AG49" i="19" s="1"/>
  <c r="AG50" i="19" s="1"/>
  <c r="AG51" i="19" s="1"/>
  <c r="AG52" i="19" s="1"/>
  <c r="AG53" i="19" s="1"/>
  <c r="AG54" i="19" s="1"/>
  <c r="AG55" i="19" s="1"/>
  <c r="AG56" i="19" s="1"/>
  <c r="AG57" i="19" s="1"/>
  <c r="AG58" i="19" s="1"/>
  <c r="AG59" i="19" s="1"/>
  <c r="AG60" i="19" s="1"/>
  <c r="AG61" i="19" s="1"/>
  <c r="AG62" i="19" s="1"/>
  <c r="AG63" i="19" s="1"/>
  <c r="AG64" i="19" s="1"/>
  <c r="AG65" i="19" s="1"/>
  <c r="AG66" i="19" s="1"/>
  <c r="AG67" i="19" s="1"/>
  <c r="AG68" i="19" s="1"/>
  <c r="AG69" i="19" s="1"/>
  <c r="AG70" i="19" s="1"/>
  <c r="AG71" i="19" s="1"/>
  <c r="AG72" i="19" s="1"/>
  <c r="AG73" i="19" s="1"/>
  <c r="AG74" i="19" s="1"/>
  <c r="AG75" i="19" s="1"/>
  <c r="AG76" i="19" s="1"/>
  <c r="AG77" i="19" s="1"/>
  <c r="AG78" i="19" s="1"/>
  <c r="AG79" i="19" s="1"/>
  <c r="AG80" i="19" s="1"/>
  <c r="AG81" i="19" s="1"/>
  <c r="AG82" i="19" s="1"/>
  <c r="AG83" i="19" s="1"/>
  <c r="AG84" i="19" s="1"/>
  <c r="AG85" i="19" s="1"/>
  <c r="AG86" i="19" s="1"/>
  <c r="AG87" i="19" s="1"/>
  <c r="AG88" i="19" s="1"/>
  <c r="AG89" i="19" s="1"/>
  <c r="AG90" i="19" s="1"/>
  <c r="AG91" i="19" s="1"/>
  <c r="AG92" i="19" s="1"/>
  <c r="AG93" i="19" s="1"/>
  <c r="AG94" i="19" s="1"/>
  <c r="AG95" i="19" s="1"/>
  <c r="AG96" i="19" s="1"/>
  <c r="AG97" i="19" s="1"/>
  <c r="AG98" i="19" s="1"/>
  <c r="AG99" i="19" s="1"/>
  <c r="AG100" i="19" s="1"/>
  <c r="AG101" i="19" s="1"/>
  <c r="AG102" i="19" s="1"/>
  <c r="AG103" i="19" s="1"/>
  <c r="AG104" i="19" s="1"/>
  <c r="AG105" i="19" s="1"/>
  <c r="AG106" i="19" s="1"/>
  <c r="AG107" i="19" s="1"/>
  <c r="AG108" i="19" s="1"/>
  <c r="AG109" i="19" s="1"/>
  <c r="AG110" i="19" s="1"/>
  <c r="AG111" i="19" s="1"/>
  <c r="AG112" i="19" s="1"/>
  <c r="AG113" i="19" s="1"/>
  <c r="AG114" i="19" s="1"/>
  <c r="AG115" i="19" s="1"/>
  <c r="AG116" i="19" s="1"/>
  <c r="AG117" i="19" s="1"/>
  <c r="AG118" i="19" s="1"/>
  <c r="AG119" i="19" s="1"/>
  <c r="AG120" i="19" s="1"/>
  <c r="AG121" i="19" s="1"/>
  <c r="AG122" i="19" s="1"/>
  <c r="AG123" i="19" s="1"/>
  <c r="AG124" i="19" s="1"/>
  <c r="AG125" i="19" s="1"/>
  <c r="AG126" i="19" s="1"/>
  <c r="AG127" i="19" s="1"/>
  <c r="AG128" i="19" s="1"/>
  <c r="AG129" i="19" s="1"/>
  <c r="AG130" i="19" s="1"/>
  <c r="AG131" i="19" s="1"/>
  <c r="AG132" i="19" s="1"/>
  <c r="AG133" i="19" s="1"/>
  <c r="V51" i="13"/>
  <c r="V52" i="13" s="1"/>
  <c r="V53" i="13" s="1"/>
  <c r="V54" i="13" s="1"/>
  <c r="V55" i="13" s="1"/>
  <c r="V56" i="13" s="1"/>
  <c r="V57" i="13" s="1"/>
  <c r="V58" i="13" s="1"/>
  <c r="V59" i="13" s="1"/>
  <c r="V60" i="13" s="1"/>
  <c r="V61" i="13" s="1"/>
  <c r="AH76" i="13"/>
  <c r="AD123" i="13"/>
  <c r="U87" i="32"/>
  <c r="U88" i="32" s="1"/>
  <c r="U89" i="32" s="1"/>
  <c r="U90" i="32" s="1"/>
  <c r="U91" i="32" s="1"/>
  <c r="U92" i="32" s="1"/>
  <c r="U93" i="32" s="1"/>
  <c r="U94" i="32" s="1"/>
  <c r="U95" i="32" s="1"/>
  <c r="U96" i="32" s="1"/>
  <c r="U97" i="32" s="1"/>
  <c r="AH3" i="13"/>
  <c r="AD15" i="13"/>
  <c r="AD16" i="13" s="1"/>
  <c r="AD17" i="13" s="1"/>
  <c r="AD18" i="13" s="1"/>
  <c r="AD19" i="13" s="1"/>
  <c r="AD20" i="13" s="1"/>
  <c r="AD21" i="13" s="1"/>
  <c r="AD22" i="13" s="1"/>
  <c r="AD23" i="13" s="1"/>
  <c r="AD24" i="13" s="1"/>
  <c r="AD25" i="13" s="1"/>
  <c r="AH46" i="13"/>
  <c r="AH95" i="13"/>
  <c r="AH22" i="13"/>
  <c r="AH43" i="13"/>
  <c r="AH83" i="13"/>
  <c r="AH86" i="13"/>
  <c r="AI86" i="13" s="1"/>
  <c r="AI87" i="13" s="1"/>
  <c r="AI88" i="13" s="1"/>
  <c r="AD113" i="19"/>
  <c r="AD114" i="19" s="1"/>
  <c r="AD115" i="19" s="1"/>
  <c r="AD116" i="19" s="1"/>
  <c r="AD117" i="19" s="1"/>
  <c r="AD118" i="19" s="1"/>
  <c r="AD119" i="19" s="1"/>
  <c r="AD120" i="19" s="1"/>
  <c r="AD121" i="19" s="1"/>
  <c r="V87" i="13"/>
  <c r="V88" i="13" s="1"/>
  <c r="V89" i="13" s="1"/>
  <c r="V90" i="13" s="1"/>
  <c r="V91" i="13" s="1"/>
  <c r="V92" i="13" s="1"/>
  <c r="V93" i="13" s="1"/>
  <c r="V94" i="13" s="1"/>
  <c r="V95" i="13" s="1"/>
  <c r="V96" i="13" s="1"/>
  <c r="V97" i="13" s="1"/>
  <c r="V99" i="13"/>
  <c r="V100" i="13" s="1"/>
  <c r="V101" i="13" s="1"/>
  <c r="V102" i="13" s="1"/>
  <c r="V103" i="13" s="1"/>
  <c r="V104" i="13" s="1"/>
  <c r="V105" i="13" s="1"/>
  <c r="V106" i="13" s="1"/>
  <c r="V107" i="13" s="1"/>
  <c r="V108" i="13" s="1"/>
  <c r="V109" i="13" s="1"/>
  <c r="AD99" i="19"/>
  <c r="AD100" i="19" s="1"/>
  <c r="AD101" i="19" s="1"/>
  <c r="AD102" i="19" s="1"/>
  <c r="AD103" i="19" s="1"/>
  <c r="AD104" i="19" s="1"/>
  <c r="AD105" i="19" s="1"/>
  <c r="AD106" i="19" s="1"/>
  <c r="AD107" i="19" s="1"/>
  <c r="AD108" i="19" s="1"/>
  <c r="AD109" i="19" s="1"/>
  <c r="AH10" i="13"/>
  <c r="V75" i="13"/>
  <c r="F40" i="23"/>
  <c r="AH7" i="13"/>
  <c r="N63" i="13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123" i="13"/>
  <c r="AH47" i="13"/>
  <c r="F15" i="23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S2" i="19"/>
  <c r="AH29" i="13"/>
  <c r="AH90" i="13"/>
  <c r="Z99" i="32"/>
  <c r="Z100" i="32" s="1"/>
  <c r="Z101" i="32" s="1"/>
  <c r="Z102" i="32" s="1"/>
  <c r="Z103" i="32" s="1"/>
  <c r="Z104" i="32" s="1"/>
  <c r="Z105" i="32" s="1"/>
  <c r="Z106" i="32" s="1"/>
  <c r="AH2" i="13"/>
  <c r="AJ2" i="13" s="1"/>
  <c r="AK2" i="13" s="1"/>
  <c r="AH31" i="13"/>
  <c r="AH50" i="13"/>
  <c r="AI50" i="13" s="1"/>
  <c r="AI51" i="13" s="1"/>
  <c r="AI52" i="13" s="1"/>
  <c r="N50" i="13"/>
  <c r="N51" i="13" s="1"/>
  <c r="AH63" i="13"/>
  <c r="V16" i="19"/>
  <c r="W15" i="19"/>
  <c r="V15" i="13"/>
  <c r="V63" i="13"/>
  <c r="AH75" i="13"/>
  <c r="N75" i="13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V3" i="30"/>
  <c r="W2" i="30"/>
  <c r="AH35" i="13"/>
  <c r="N86" i="13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AH38" i="13"/>
  <c r="N38" i="13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F28" i="19"/>
  <c r="F29" i="19" s="1"/>
  <c r="F30" i="19" s="1"/>
  <c r="F31" i="19" s="1"/>
  <c r="G27" i="19"/>
  <c r="AD2" i="19"/>
  <c r="AD3" i="19" s="1"/>
  <c r="AD4" i="19" s="1"/>
  <c r="AD5" i="19" s="1"/>
  <c r="AD6" i="19" s="1"/>
  <c r="AD7" i="19" s="1"/>
  <c r="AD8" i="19" s="1"/>
  <c r="AD9" i="19" s="1"/>
  <c r="AD10" i="19" s="1"/>
  <c r="AD11" i="19" s="1"/>
  <c r="AD12" i="19" s="1"/>
  <c r="AD13" i="19" s="1"/>
  <c r="W14" i="19"/>
  <c r="AH16" i="13"/>
  <c r="N16" i="13"/>
  <c r="V39" i="13"/>
  <c r="V40" i="13" s="1"/>
  <c r="V41" i="13" s="1"/>
  <c r="V42" i="13" s="1"/>
  <c r="V43" i="13" s="1"/>
  <c r="V44" i="13" s="1"/>
  <c r="V45" i="13" s="1"/>
  <c r="V46" i="13" s="1"/>
  <c r="V47" i="13" s="1"/>
  <c r="V48" i="13" s="1"/>
  <c r="V49" i="13" s="1"/>
  <c r="AD87" i="13"/>
  <c r="AH6" i="13"/>
  <c r="AH15" i="13"/>
  <c r="AH42" i="13"/>
  <c r="AH64" i="13"/>
  <c r="AH72" i="13"/>
  <c r="AH79" i="13"/>
  <c r="AH94" i="13"/>
  <c r="AD99" i="13"/>
  <c r="AD100" i="13" s="1"/>
  <c r="AD101" i="13" s="1"/>
  <c r="AD102" i="13" s="1"/>
  <c r="AD103" i="13" s="1"/>
  <c r="AD104" i="13" s="1"/>
  <c r="AD105" i="13" s="1"/>
  <c r="AD106" i="13" s="1"/>
  <c r="AD107" i="13" s="1"/>
  <c r="AD108" i="13" s="1"/>
  <c r="AD109" i="13" s="1"/>
  <c r="AH5" i="13"/>
  <c r="AH20" i="13"/>
  <c r="V28" i="13"/>
  <c r="AH56" i="13"/>
  <c r="AH67" i="13"/>
  <c r="AH78" i="13"/>
  <c r="AH4" i="13"/>
  <c r="AH19" i="13"/>
  <c r="AH55" i="13"/>
  <c r="AH66" i="13"/>
  <c r="AH87" i="13"/>
  <c r="AH88" i="13"/>
  <c r="AH96" i="13"/>
  <c r="AH134" i="13"/>
  <c r="U2" i="32"/>
  <c r="U3" i="32" s="1"/>
  <c r="U4" i="32" s="1"/>
  <c r="U5" i="32" s="1"/>
  <c r="U6" i="32" s="1"/>
  <c r="U7" i="32" s="1"/>
  <c r="U8" i="32" s="1"/>
  <c r="U9" i="32" s="1"/>
  <c r="U10" i="32" s="1"/>
  <c r="U11" i="32" s="1"/>
  <c r="U12" i="32" s="1"/>
  <c r="U13" i="32" s="1"/>
  <c r="Z15" i="32"/>
  <c r="Z16" i="32" s="1"/>
  <c r="Z17" i="32" s="1"/>
  <c r="Z18" i="32" s="1"/>
  <c r="Z19" i="32" s="1"/>
  <c r="Z20" i="32" s="1"/>
  <c r="Z21" i="32" s="1"/>
  <c r="Z22" i="32" s="1"/>
  <c r="Z23" i="32" s="1"/>
  <c r="Z24" i="32" s="1"/>
  <c r="Z25" i="32" s="1"/>
  <c r="AA2" i="19"/>
  <c r="F3" i="20"/>
  <c r="AH12" i="13"/>
  <c r="AH24" i="13"/>
  <c r="AH34" i="13"/>
  <c r="AH39" i="13"/>
  <c r="AH51" i="13"/>
  <c r="AH52" i="13"/>
  <c r="AH60" i="13"/>
  <c r="AH71" i="13"/>
  <c r="AH74" i="13"/>
  <c r="AH82" i="13"/>
  <c r="AH8" i="13"/>
  <c r="AH11" i="13"/>
  <c r="AH14" i="13"/>
  <c r="AH23" i="13"/>
  <c r="AH27" i="13"/>
  <c r="AH48" i="13"/>
  <c r="AH59" i="13"/>
  <c r="AH62" i="13"/>
  <c r="AH70" i="13"/>
  <c r="AH92" i="13"/>
  <c r="H2" i="32"/>
  <c r="Q15" i="23"/>
  <c r="Q16" i="23" s="1"/>
  <c r="Q17" i="23" s="1"/>
  <c r="Q18" i="23" s="1"/>
  <c r="Q39" i="23"/>
  <c r="Q40" i="23" s="1"/>
  <c r="Q41" i="23" s="1"/>
  <c r="Q42" i="23" s="1"/>
  <c r="Q43" i="23" s="1"/>
  <c r="Q44" i="23" s="1"/>
  <c r="Q45" i="23" s="1"/>
  <c r="Q46" i="23" s="1"/>
  <c r="R4" i="19"/>
  <c r="S3" i="19"/>
  <c r="L3" i="23"/>
  <c r="F51" i="23"/>
  <c r="F52" i="23" s="1"/>
  <c r="Q51" i="23"/>
  <c r="Q52" i="23" s="1"/>
  <c r="P59" i="23"/>
  <c r="K63" i="23"/>
  <c r="K64" i="23" s="1"/>
  <c r="K65" i="23" s="1"/>
  <c r="K66" i="23" s="1"/>
  <c r="K67" i="23" s="1"/>
  <c r="K68" i="23" s="1"/>
  <c r="K69" i="23" s="1"/>
  <c r="K70" i="23" s="1"/>
  <c r="K71" i="23" s="1"/>
  <c r="K72" i="23" s="1"/>
  <c r="K73" i="23" s="1"/>
  <c r="K74" i="23" s="1"/>
  <c r="F75" i="23"/>
  <c r="F76" i="23" s="1"/>
  <c r="F77" i="23" s="1"/>
  <c r="F78" i="23" s="1"/>
  <c r="F79" i="23" s="1"/>
  <c r="F80" i="23" s="1"/>
  <c r="F81" i="23" s="1"/>
  <c r="F82" i="23" s="1"/>
  <c r="F83" i="23" s="1"/>
  <c r="F84" i="23" s="1"/>
  <c r="F85" i="23" s="1"/>
  <c r="F86" i="23" s="1"/>
  <c r="Q75" i="23"/>
  <c r="Q76" i="23" s="1"/>
  <c r="Q77" i="23" s="1"/>
  <c r="Q78" i="23" s="1"/>
  <c r="K87" i="23"/>
  <c r="K88" i="23" s="1"/>
  <c r="K89" i="23" s="1"/>
  <c r="K90" i="23" s="1"/>
  <c r="K91" i="23" s="1"/>
  <c r="K92" i="23" s="1"/>
  <c r="K93" i="23" s="1"/>
  <c r="K94" i="23" s="1"/>
  <c r="K95" i="23" s="1"/>
  <c r="K96" i="23" s="1"/>
  <c r="K97" i="23" s="1"/>
  <c r="K98" i="23" s="1"/>
  <c r="P91" i="23"/>
  <c r="F99" i="23"/>
  <c r="F100" i="23" s="1"/>
  <c r="Q99" i="23"/>
  <c r="Q100" i="23" s="1"/>
  <c r="Q101" i="23" s="1"/>
  <c r="Q102" i="23" s="1"/>
  <c r="Q103" i="23" s="1"/>
  <c r="Q104" i="23" s="1"/>
  <c r="Q105" i="23" s="1"/>
  <c r="Q106" i="23" s="1"/>
  <c r="Q107" i="23" s="1"/>
  <c r="AD62" i="19"/>
  <c r="AD63" i="19" s="1"/>
  <c r="AD64" i="19" s="1"/>
  <c r="AD65" i="19" s="1"/>
  <c r="AD66" i="19" s="1"/>
  <c r="AD67" i="19" s="1"/>
  <c r="AD68" i="19" s="1"/>
  <c r="AD69" i="19" s="1"/>
  <c r="AD70" i="19" s="1"/>
  <c r="AD71" i="19" s="1"/>
  <c r="AD72" i="19" s="1"/>
  <c r="AD73" i="19" s="1"/>
  <c r="R39" i="20"/>
  <c r="R40" i="20" s="1"/>
  <c r="R41" i="20" s="1"/>
  <c r="R42" i="20" s="1"/>
  <c r="R43" i="20" s="1"/>
  <c r="R44" i="20" s="1"/>
  <c r="R45" i="20" s="1"/>
  <c r="R46" i="20" s="1"/>
  <c r="R47" i="20" s="1"/>
  <c r="R48" i="20" s="1"/>
  <c r="R49" i="20" s="1"/>
  <c r="R87" i="20"/>
  <c r="R88" i="20"/>
  <c r="R89" i="20" s="1"/>
  <c r="R90" i="20" s="1"/>
  <c r="R91" i="20" s="1"/>
  <c r="R92" i="20" s="1"/>
  <c r="R93" i="20" s="1"/>
  <c r="R94" i="20" s="1"/>
  <c r="R95" i="20" s="1"/>
  <c r="R96" i="20" s="1"/>
  <c r="R97" i="20" s="1"/>
  <c r="AH33" i="13"/>
  <c r="G3" i="23"/>
  <c r="K3" i="23"/>
  <c r="K4" i="23" s="1"/>
  <c r="K5" i="23" s="1"/>
  <c r="K6" i="23" s="1"/>
  <c r="K7" i="23" s="1"/>
  <c r="K8" i="23" s="1"/>
  <c r="K9" i="23" s="1"/>
  <c r="K10" i="23" s="1"/>
  <c r="K11" i="23" s="1"/>
  <c r="K12" i="23" s="1"/>
  <c r="K13" i="23" s="1"/>
  <c r="K14" i="23" s="1"/>
  <c r="F5" i="23"/>
  <c r="F6" i="23" s="1"/>
  <c r="F7" i="23" s="1"/>
  <c r="F8" i="23" s="1"/>
  <c r="F9" i="23" s="1"/>
  <c r="F10" i="23" s="1"/>
  <c r="F11" i="23" s="1"/>
  <c r="F12" i="23" s="1"/>
  <c r="F13" i="23" s="1"/>
  <c r="F14" i="23" s="1"/>
  <c r="K27" i="23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F29" i="23"/>
  <c r="F30" i="23" s="1"/>
  <c r="F31" i="23" s="1"/>
  <c r="F32" i="23" s="1"/>
  <c r="F33" i="23" s="1"/>
  <c r="F34" i="23" s="1"/>
  <c r="F35" i="23" s="1"/>
  <c r="F36" i="23" s="1"/>
  <c r="F37" i="23" s="1"/>
  <c r="F38" i="23" s="1"/>
  <c r="F53" i="23"/>
  <c r="F54" i="23" s="1"/>
  <c r="F55" i="23" s="1"/>
  <c r="F56" i="23" s="1"/>
  <c r="F57" i="23" s="1"/>
  <c r="F58" i="23" s="1"/>
  <c r="F59" i="23" s="1"/>
  <c r="F60" i="23" s="1"/>
  <c r="F61" i="23" s="1"/>
  <c r="F62" i="23" s="1"/>
  <c r="P53" i="23"/>
  <c r="P61" i="23"/>
  <c r="AA3" i="19"/>
  <c r="Z4" i="19"/>
  <c r="W3" i="19"/>
  <c r="W4" i="19"/>
  <c r="W5" i="19"/>
  <c r="W6" i="19"/>
  <c r="W7" i="19"/>
  <c r="W8" i="19"/>
  <c r="W9" i="19"/>
  <c r="W10" i="19"/>
  <c r="W11" i="19"/>
  <c r="W12" i="19"/>
  <c r="W13" i="19"/>
  <c r="AD26" i="19"/>
  <c r="AD27" i="19" s="1"/>
  <c r="AD28" i="19" s="1"/>
  <c r="AD29" i="19" s="1"/>
  <c r="AD30" i="19" s="1"/>
  <c r="AD31" i="19" s="1"/>
  <c r="AD32" i="19" s="1"/>
  <c r="AD33" i="19" s="1"/>
  <c r="AD34" i="19" s="1"/>
  <c r="AD35" i="19" s="1"/>
  <c r="AD36" i="19" s="1"/>
  <c r="AD37" i="19" s="1"/>
  <c r="AD74" i="19"/>
  <c r="AD75" i="19" s="1"/>
  <c r="AD76" i="19" s="1"/>
  <c r="AD77" i="19" s="1"/>
  <c r="AD78" i="19" s="1"/>
  <c r="AD79" i="19" s="1"/>
  <c r="AD80" i="19" s="1"/>
  <c r="AD81" i="19" s="1"/>
  <c r="AD82" i="19" s="1"/>
  <c r="AD83" i="19" s="1"/>
  <c r="AD84" i="19" s="1"/>
  <c r="AD85" i="19" s="1"/>
  <c r="J4" i="20"/>
  <c r="K3" i="20"/>
  <c r="R27" i="20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75" i="20"/>
  <c r="R76" i="20" s="1"/>
  <c r="R77" i="20" s="1"/>
  <c r="R78" i="20" s="1"/>
  <c r="R79" i="20" s="1"/>
  <c r="R80" i="20" s="1"/>
  <c r="R81" i="20" s="1"/>
  <c r="R82" i="20" s="1"/>
  <c r="R83" i="20" s="1"/>
  <c r="R84" i="20" s="1"/>
  <c r="R85" i="20" s="1"/>
  <c r="H13" i="13"/>
  <c r="G14" i="13"/>
  <c r="AH13" i="13"/>
  <c r="P13" i="23"/>
  <c r="P29" i="23"/>
  <c r="P47" i="23"/>
  <c r="K51" i="23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P55" i="23"/>
  <c r="F63" i="23"/>
  <c r="F64" i="23" s="1"/>
  <c r="P63" i="23"/>
  <c r="P71" i="23"/>
  <c r="K75" i="23"/>
  <c r="K76" i="23" s="1"/>
  <c r="K77" i="23" s="1"/>
  <c r="K78" i="23" s="1"/>
  <c r="K79" i="23" s="1"/>
  <c r="K80" i="23" s="1"/>
  <c r="K81" i="23" s="1"/>
  <c r="K82" i="23" s="1"/>
  <c r="K83" i="23" s="1"/>
  <c r="K84" i="23" s="1"/>
  <c r="K85" i="23" s="1"/>
  <c r="K86" i="23" s="1"/>
  <c r="P79" i="23"/>
  <c r="F87" i="23"/>
  <c r="F88" i="23" s="1"/>
  <c r="F89" i="23" s="1"/>
  <c r="F90" i="23" s="1"/>
  <c r="F91" i="23" s="1"/>
  <c r="F92" i="23" s="1"/>
  <c r="F93" i="23" s="1"/>
  <c r="F94" i="23" s="1"/>
  <c r="F95" i="23" s="1"/>
  <c r="F96" i="23" s="1"/>
  <c r="F97" i="23" s="1"/>
  <c r="F98" i="23" s="1"/>
  <c r="P87" i="23"/>
  <c r="P95" i="23"/>
  <c r="K99" i="23"/>
  <c r="K100" i="23" s="1"/>
  <c r="K101" i="23" s="1"/>
  <c r="K102" i="23" s="1"/>
  <c r="K103" i="23" s="1"/>
  <c r="K104" i="23" s="1"/>
  <c r="K105" i="23" s="1"/>
  <c r="K106" i="23" s="1"/>
  <c r="K107" i="23" s="1"/>
  <c r="K3" i="19"/>
  <c r="J4" i="19"/>
  <c r="N4" i="19"/>
  <c r="G15" i="19"/>
  <c r="G16" i="19"/>
  <c r="G17" i="19"/>
  <c r="G18" i="19"/>
  <c r="G19" i="19"/>
  <c r="G20" i="19"/>
  <c r="G21" i="19"/>
  <c r="G22" i="19"/>
  <c r="G23" i="19"/>
  <c r="G24" i="19"/>
  <c r="G25" i="19"/>
  <c r="AD38" i="19"/>
  <c r="AD39" i="19" s="1"/>
  <c r="AD40" i="19" s="1"/>
  <c r="AD41" i="19" s="1"/>
  <c r="AD42" i="19" s="1"/>
  <c r="AD43" i="19" s="1"/>
  <c r="AD44" i="19" s="1"/>
  <c r="AD45" i="19" s="1"/>
  <c r="AD46" i="19" s="1"/>
  <c r="AD47" i="19" s="1"/>
  <c r="AD48" i="19" s="1"/>
  <c r="AD49" i="19" s="1"/>
  <c r="AD86" i="19"/>
  <c r="AD87" i="19" s="1"/>
  <c r="AD88" i="19" s="1"/>
  <c r="AD89" i="19" s="1"/>
  <c r="AD90" i="19" s="1"/>
  <c r="AD91" i="19" s="1"/>
  <c r="AD92" i="19" s="1"/>
  <c r="AD93" i="19" s="1"/>
  <c r="AD94" i="19" s="1"/>
  <c r="AD95" i="19" s="1"/>
  <c r="AD96" i="19" s="1"/>
  <c r="AD97" i="19" s="1"/>
  <c r="R15" i="20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63" i="20"/>
  <c r="R64" i="20" s="1"/>
  <c r="R65" i="20" s="1"/>
  <c r="R66" i="20" s="1"/>
  <c r="R67" i="20" s="1"/>
  <c r="R68" i="20" s="1"/>
  <c r="R69" i="20" s="1"/>
  <c r="R70" i="20" s="1"/>
  <c r="R71" i="20" s="1"/>
  <c r="R72" i="20" s="1"/>
  <c r="R73" i="20" s="1"/>
  <c r="N17" i="13"/>
  <c r="N18" i="13" s="1"/>
  <c r="N19" i="13" s="1"/>
  <c r="N20" i="13" s="1"/>
  <c r="N21" i="13" s="1"/>
  <c r="N22" i="13" s="1"/>
  <c r="N23" i="13" s="1"/>
  <c r="N24" i="13" s="1"/>
  <c r="N25" i="13" s="1"/>
  <c r="AH17" i="13"/>
  <c r="P3" i="23"/>
  <c r="P11" i="23"/>
  <c r="K15" i="23"/>
  <c r="K16" i="23" s="1"/>
  <c r="K17" i="23" s="1"/>
  <c r="K18" i="23" s="1"/>
  <c r="K19" i="23" s="1"/>
  <c r="K20" i="23" s="1"/>
  <c r="K21" i="23" s="1"/>
  <c r="K22" i="23" s="1"/>
  <c r="K23" i="23" s="1"/>
  <c r="K24" i="23" s="1"/>
  <c r="K25" i="23" s="1"/>
  <c r="K26" i="23" s="1"/>
  <c r="P19" i="23"/>
  <c r="P27" i="23"/>
  <c r="P35" i="23"/>
  <c r="K39" i="23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F41" i="23"/>
  <c r="F42" i="23" s="1"/>
  <c r="F43" i="23" s="1"/>
  <c r="F44" i="23" s="1"/>
  <c r="F45" i="23" s="1"/>
  <c r="F46" i="23" s="1"/>
  <c r="F47" i="23" s="1"/>
  <c r="F48" i="23" s="1"/>
  <c r="F49" i="23" s="1"/>
  <c r="F50" i="23" s="1"/>
  <c r="P57" i="23"/>
  <c r="F65" i="23"/>
  <c r="F66" i="23" s="1"/>
  <c r="F67" i="23" s="1"/>
  <c r="F68" i="23" s="1"/>
  <c r="F69" i="23" s="1"/>
  <c r="F70" i="23" s="1"/>
  <c r="F71" i="23" s="1"/>
  <c r="F72" i="23" s="1"/>
  <c r="F73" i="23" s="1"/>
  <c r="F74" i="23" s="1"/>
  <c r="P73" i="23"/>
  <c r="P89" i="23"/>
  <c r="AE2" i="19"/>
  <c r="AF2" i="19" s="1"/>
  <c r="G3" i="19"/>
  <c r="G4" i="19"/>
  <c r="G5" i="19"/>
  <c r="G6" i="19"/>
  <c r="G7" i="19"/>
  <c r="G8" i="19"/>
  <c r="G9" i="19"/>
  <c r="G10" i="19"/>
  <c r="G11" i="19"/>
  <c r="G12" i="19"/>
  <c r="G13" i="19"/>
  <c r="AD14" i="19"/>
  <c r="AD15" i="19" s="1"/>
  <c r="AD16" i="19" s="1"/>
  <c r="AD17" i="19" s="1"/>
  <c r="AD18" i="19" s="1"/>
  <c r="AD19" i="19" s="1"/>
  <c r="AD20" i="19" s="1"/>
  <c r="AD21" i="19" s="1"/>
  <c r="AD22" i="19" s="1"/>
  <c r="AD23" i="19" s="1"/>
  <c r="AD24" i="19" s="1"/>
  <c r="AD25" i="19" s="1"/>
  <c r="G26" i="19"/>
  <c r="AD50" i="19"/>
  <c r="AD51" i="19" s="1"/>
  <c r="AD52" i="19" s="1"/>
  <c r="AD53" i="19" s="1"/>
  <c r="AD54" i="19" s="1"/>
  <c r="AD55" i="19" s="1"/>
  <c r="AD56" i="19" s="1"/>
  <c r="AD57" i="19" s="1"/>
  <c r="AD58" i="19" s="1"/>
  <c r="AD59" i="19" s="1"/>
  <c r="AD60" i="19" s="1"/>
  <c r="AD61" i="19" s="1"/>
  <c r="N3" i="20"/>
  <c r="O2" i="20"/>
  <c r="S3" i="20"/>
  <c r="T3" i="20" s="1"/>
  <c r="R3" i="20"/>
  <c r="R4" i="20" s="1"/>
  <c r="R5" i="20" s="1"/>
  <c r="R6" i="20" s="1"/>
  <c r="R7" i="20" s="1"/>
  <c r="R8" i="20" s="1"/>
  <c r="R9" i="20" s="1"/>
  <c r="R10" i="20" s="1"/>
  <c r="R11" i="20" s="1"/>
  <c r="R12" i="20" s="1"/>
  <c r="R13" i="20" s="1"/>
  <c r="R51" i="20"/>
  <c r="R52" i="20"/>
  <c r="R53" i="20" s="1"/>
  <c r="R99" i="20"/>
  <c r="R100" i="20"/>
  <c r="R101" i="20" s="1"/>
  <c r="R102" i="20" s="1"/>
  <c r="R103" i="20" s="1"/>
  <c r="R104" i="20" s="1"/>
  <c r="R105" i="20" s="1"/>
  <c r="R106" i="20" s="1"/>
  <c r="R107" i="20" s="1"/>
  <c r="R108" i="20" s="1"/>
  <c r="R109" i="20" s="1"/>
  <c r="AH25" i="13"/>
  <c r="R54" i="20"/>
  <c r="R55" i="20" s="1"/>
  <c r="R56" i="20" s="1"/>
  <c r="R57" i="20" s="1"/>
  <c r="R58" i="20" s="1"/>
  <c r="R59" i="20" s="1"/>
  <c r="R60" i="20" s="1"/>
  <c r="R61" i="20" s="1"/>
  <c r="R111" i="20"/>
  <c r="R112" i="20" s="1"/>
  <c r="R113" i="20" s="1"/>
  <c r="R114" i="20" s="1"/>
  <c r="R115" i="20" s="1"/>
  <c r="R116" i="20" s="1"/>
  <c r="R117" i="20" s="1"/>
  <c r="R118" i="20" s="1"/>
  <c r="R119" i="20" s="1"/>
  <c r="R120" i="20" s="1"/>
  <c r="R121" i="20" s="1"/>
  <c r="O2" i="13"/>
  <c r="P2" i="13" s="1"/>
  <c r="N2" i="13"/>
  <c r="N3" i="13" s="1"/>
  <c r="N4" i="13" s="1"/>
  <c r="N5" i="13" s="1"/>
  <c r="N6" i="13" s="1"/>
  <c r="N7" i="13" s="1"/>
  <c r="N8" i="13" s="1"/>
  <c r="AI62" i="13"/>
  <c r="AI63" i="13" s="1"/>
  <c r="AI64" i="13" s="1"/>
  <c r="AI74" i="13"/>
  <c r="AI75" i="13" s="1"/>
  <c r="AI76" i="13" s="1"/>
  <c r="N112" i="13"/>
  <c r="N113" i="13" s="1"/>
  <c r="N114" i="13" s="1"/>
  <c r="N115" i="13" s="1"/>
  <c r="N116" i="13" s="1"/>
  <c r="N117" i="13" s="1"/>
  <c r="N118" i="13" s="1"/>
  <c r="N119" i="13" s="1"/>
  <c r="N120" i="13" s="1"/>
  <c r="N121" i="13" s="1"/>
  <c r="AQ123" i="13"/>
  <c r="AQ124" i="13" s="1"/>
  <c r="AQ125" i="13" s="1"/>
  <c r="AD124" i="13"/>
  <c r="AD125" i="13" s="1"/>
  <c r="AD126" i="13" s="1"/>
  <c r="AD127" i="13" s="1"/>
  <c r="AD128" i="13" s="1"/>
  <c r="AD129" i="13" s="1"/>
  <c r="AD130" i="13" s="1"/>
  <c r="W2" i="13"/>
  <c r="X2" i="13" s="1"/>
  <c r="V2" i="13"/>
  <c r="V3" i="13" s="1"/>
  <c r="V4" i="13" s="1"/>
  <c r="V5" i="13" s="1"/>
  <c r="V6" i="13" s="1"/>
  <c r="V7" i="13" s="1"/>
  <c r="V8" i="13" s="1"/>
  <c r="V9" i="13" s="1"/>
  <c r="V10" i="13" s="1"/>
  <c r="V11" i="13" s="1"/>
  <c r="V12" i="13" s="1"/>
  <c r="V13" i="13" s="1"/>
  <c r="AR3" i="13"/>
  <c r="AS3" i="13" s="1"/>
  <c r="AQ3" i="13"/>
  <c r="AQ4" i="13" s="1"/>
  <c r="AQ5" i="13" s="1"/>
  <c r="AQ6" i="13" s="1"/>
  <c r="AQ7" i="13" s="1"/>
  <c r="AQ8" i="13" s="1"/>
  <c r="AQ9" i="13" s="1"/>
  <c r="AQ10" i="13" s="1"/>
  <c r="AQ11" i="13" s="1"/>
  <c r="AQ12" i="13" s="1"/>
  <c r="AQ13" i="13" s="1"/>
  <c r="AH21" i="13"/>
  <c r="V29" i="13"/>
  <c r="V30" i="13" s="1"/>
  <c r="V31" i="13" s="1"/>
  <c r="V32" i="13" s="1"/>
  <c r="V33" i="13" s="1"/>
  <c r="V34" i="13" s="1"/>
  <c r="V35" i="13" s="1"/>
  <c r="V36" i="13" s="1"/>
  <c r="V37" i="13" s="1"/>
  <c r="V64" i="13"/>
  <c r="V65" i="13" s="1"/>
  <c r="V66" i="13" s="1"/>
  <c r="V67" i="13" s="1"/>
  <c r="V68" i="13" s="1"/>
  <c r="V69" i="13" s="1"/>
  <c r="V70" i="13" s="1"/>
  <c r="V71" i="13" s="1"/>
  <c r="V72" i="13" s="1"/>
  <c r="V73" i="13" s="1"/>
  <c r="V76" i="13"/>
  <c r="V77" i="13" s="1"/>
  <c r="V78" i="13" s="1"/>
  <c r="V79" i="13" s="1"/>
  <c r="V80" i="13" s="1"/>
  <c r="V81" i="13" s="1"/>
  <c r="V82" i="13" s="1"/>
  <c r="V83" i="13" s="1"/>
  <c r="V84" i="13" s="1"/>
  <c r="V85" i="13" s="1"/>
  <c r="AQ99" i="13"/>
  <c r="AQ100" i="13" s="1"/>
  <c r="AQ101" i="13" s="1"/>
  <c r="AQ102" i="13" s="1"/>
  <c r="AQ103" i="13" s="1"/>
  <c r="AQ104" i="13" s="1"/>
  <c r="AQ105" i="13" s="1"/>
  <c r="AQ106" i="13" s="1"/>
  <c r="AQ107" i="13" s="1"/>
  <c r="AQ108" i="13" s="1"/>
  <c r="AQ109" i="13" s="1"/>
  <c r="R123" i="20"/>
  <c r="R124" i="20" s="1"/>
  <c r="R125" i="20" s="1"/>
  <c r="R126" i="20" s="1"/>
  <c r="R127" i="20" s="1"/>
  <c r="R128" i="20" s="1"/>
  <c r="R129" i="20" s="1"/>
  <c r="R130" i="20" s="1"/>
  <c r="R131" i="20" s="1"/>
  <c r="R132" i="20" s="1"/>
  <c r="R133" i="20" s="1"/>
  <c r="AE2" i="13"/>
  <c r="AF2" i="13" s="1"/>
  <c r="AD2" i="13"/>
  <c r="AD3" i="13" s="1"/>
  <c r="AD4" i="13" s="1"/>
  <c r="AD5" i="13" s="1"/>
  <c r="AD6" i="13" s="1"/>
  <c r="AD7" i="13" s="1"/>
  <c r="AD8" i="13" s="1"/>
  <c r="AD9" i="13" s="1"/>
  <c r="AD10" i="13" s="1"/>
  <c r="AD11" i="13" s="1"/>
  <c r="AD12" i="13" s="1"/>
  <c r="AD13" i="13" s="1"/>
  <c r="AH45" i="13"/>
  <c r="AH135" i="13"/>
  <c r="R136" i="13" s="1"/>
  <c r="U2" i="20"/>
  <c r="U3" i="20" s="1"/>
  <c r="U4" i="20" s="1"/>
  <c r="U5" i="20" s="1"/>
  <c r="U6" i="20" s="1"/>
  <c r="U7" i="20" s="1"/>
  <c r="U8" i="20" s="1"/>
  <c r="U9" i="20" s="1"/>
  <c r="U10" i="20" s="1"/>
  <c r="U11" i="20" s="1"/>
  <c r="U12" i="20" s="1"/>
  <c r="U13" i="20" s="1"/>
  <c r="U14" i="20" s="1"/>
  <c r="U15" i="20" s="1"/>
  <c r="U16" i="20" s="1"/>
  <c r="U17" i="20" s="1"/>
  <c r="U18" i="20" s="1"/>
  <c r="U19" i="20" s="1"/>
  <c r="U20" i="20" s="1"/>
  <c r="U21" i="20" s="1"/>
  <c r="U22" i="20" s="1"/>
  <c r="U23" i="20" s="1"/>
  <c r="U24" i="20" s="1"/>
  <c r="U25" i="20" s="1"/>
  <c r="U26" i="20" s="1"/>
  <c r="U27" i="20" s="1"/>
  <c r="U28" i="20" s="1"/>
  <c r="U29" i="20" s="1"/>
  <c r="U30" i="20" s="1"/>
  <c r="U31" i="20" s="1"/>
  <c r="U32" i="20" s="1"/>
  <c r="U33" i="20" s="1"/>
  <c r="U34" i="20" s="1"/>
  <c r="U35" i="20" s="1"/>
  <c r="U36" i="20" s="1"/>
  <c r="U37" i="20" s="1"/>
  <c r="U38" i="20" s="1"/>
  <c r="U39" i="20" s="1"/>
  <c r="U40" i="20" s="1"/>
  <c r="U41" i="20" s="1"/>
  <c r="U42" i="20" s="1"/>
  <c r="U43" i="20" s="1"/>
  <c r="U44" i="20" s="1"/>
  <c r="U45" i="20" s="1"/>
  <c r="U46" i="20" s="1"/>
  <c r="U47" i="20" s="1"/>
  <c r="U48" i="20" s="1"/>
  <c r="U49" i="20" s="1"/>
  <c r="U50" i="20" s="1"/>
  <c r="U51" i="20" s="1"/>
  <c r="U52" i="20" s="1"/>
  <c r="U53" i="20" s="1"/>
  <c r="U54" i="20" s="1"/>
  <c r="U55" i="20" s="1"/>
  <c r="U56" i="20" s="1"/>
  <c r="U57" i="20" s="1"/>
  <c r="U58" i="20" s="1"/>
  <c r="U59" i="20" s="1"/>
  <c r="U60" i="20" s="1"/>
  <c r="U61" i="20" s="1"/>
  <c r="U62" i="20" s="1"/>
  <c r="U63" i="20" s="1"/>
  <c r="U64" i="20" s="1"/>
  <c r="U65" i="20" s="1"/>
  <c r="U66" i="20" s="1"/>
  <c r="U67" i="20" s="1"/>
  <c r="U68" i="20" s="1"/>
  <c r="U69" i="20" s="1"/>
  <c r="U70" i="20" s="1"/>
  <c r="U71" i="20" s="1"/>
  <c r="U72" i="20" s="1"/>
  <c r="U73" i="20" s="1"/>
  <c r="U74" i="20" s="1"/>
  <c r="U75" i="20" s="1"/>
  <c r="U76" i="20" s="1"/>
  <c r="U77" i="20" s="1"/>
  <c r="U78" i="20" s="1"/>
  <c r="U79" i="20" s="1"/>
  <c r="U80" i="20" s="1"/>
  <c r="U81" i="20" s="1"/>
  <c r="U82" i="20" s="1"/>
  <c r="U83" i="20" s="1"/>
  <c r="U84" i="20" s="1"/>
  <c r="U85" i="20" s="1"/>
  <c r="U86" i="20" s="1"/>
  <c r="U87" i="20" s="1"/>
  <c r="U88" i="20" s="1"/>
  <c r="U89" i="20" s="1"/>
  <c r="U90" i="20" s="1"/>
  <c r="U91" i="20" s="1"/>
  <c r="U92" i="20" s="1"/>
  <c r="U93" i="20" s="1"/>
  <c r="U94" i="20" s="1"/>
  <c r="U95" i="20" s="1"/>
  <c r="U96" i="20" s="1"/>
  <c r="U97" i="20" s="1"/>
  <c r="U98" i="20" s="1"/>
  <c r="U99" i="20" s="1"/>
  <c r="U100" i="20" s="1"/>
  <c r="U101" i="20" s="1"/>
  <c r="U102" i="20" s="1"/>
  <c r="U103" i="20" s="1"/>
  <c r="U104" i="20" s="1"/>
  <c r="U105" i="20" s="1"/>
  <c r="U106" i="20" s="1"/>
  <c r="U107" i="20" s="1"/>
  <c r="U108" i="20" s="1"/>
  <c r="U109" i="20" s="1"/>
  <c r="U110" i="20" s="1"/>
  <c r="U111" i="20" s="1"/>
  <c r="U112" i="20" s="1"/>
  <c r="U113" i="20" s="1"/>
  <c r="U114" i="20" s="1"/>
  <c r="U115" i="20" s="1"/>
  <c r="U116" i="20" s="1"/>
  <c r="U117" i="20" s="1"/>
  <c r="U118" i="20" s="1"/>
  <c r="U119" i="20" s="1"/>
  <c r="U120" i="20" s="1"/>
  <c r="U121" i="20" s="1"/>
  <c r="U122" i="20" s="1"/>
  <c r="U123" i="20" s="1"/>
  <c r="U124" i="20" s="1"/>
  <c r="U125" i="20" s="1"/>
  <c r="U126" i="20" s="1"/>
  <c r="U127" i="20" s="1"/>
  <c r="U128" i="20" s="1"/>
  <c r="U129" i="20" s="1"/>
  <c r="U130" i="20" s="1"/>
  <c r="U131" i="20" s="1"/>
  <c r="U132" i="20" s="1"/>
  <c r="U133" i="20" s="1"/>
  <c r="AQ51" i="13"/>
  <c r="AD52" i="13"/>
  <c r="AD53" i="13" s="1"/>
  <c r="AD54" i="13" s="1"/>
  <c r="AD55" i="13" s="1"/>
  <c r="AD56" i="13" s="1"/>
  <c r="AD57" i="13" s="1"/>
  <c r="AD58" i="13" s="1"/>
  <c r="AD59" i="13" s="1"/>
  <c r="AD60" i="13" s="1"/>
  <c r="AD61" i="13" s="1"/>
  <c r="AQ63" i="13"/>
  <c r="AQ64" i="13" s="1"/>
  <c r="AQ65" i="13" s="1"/>
  <c r="AQ66" i="13" s="1"/>
  <c r="AQ67" i="13" s="1"/>
  <c r="AQ68" i="13" s="1"/>
  <c r="AQ69" i="13" s="1"/>
  <c r="AQ70" i="13" s="1"/>
  <c r="AQ71" i="13" s="1"/>
  <c r="AQ72" i="13" s="1"/>
  <c r="AQ73" i="13" s="1"/>
  <c r="AQ75" i="13"/>
  <c r="AD76" i="13"/>
  <c r="AQ87" i="13"/>
  <c r="AQ88" i="13" s="1"/>
  <c r="AQ89" i="13" s="1"/>
  <c r="AQ90" i="13" s="1"/>
  <c r="AQ91" i="13" s="1"/>
  <c r="AQ92" i="13" s="1"/>
  <c r="AQ93" i="13" s="1"/>
  <c r="AQ94" i="13" s="1"/>
  <c r="AQ95" i="13" s="1"/>
  <c r="AQ96" i="13" s="1"/>
  <c r="AQ97" i="13" s="1"/>
  <c r="AD88" i="13"/>
  <c r="AD89" i="13" s="1"/>
  <c r="AD90" i="13" s="1"/>
  <c r="AD91" i="13" s="1"/>
  <c r="AD92" i="13" s="1"/>
  <c r="AD93" i="13" s="1"/>
  <c r="AD94" i="13" s="1"/>
  <c r="AD95" i="13" s="1"/>
  <c r="AD96" i="13" s="1"/>
  <c r="AD97" i="13" s="1"/>
  <c r="V112" i="13"/>
  <c r="AI124" i="13"/>
  <c r="AI125" i="13" s="1"/>
  <c r="AI126" i="13" s="1"/>
  <c r="AI127" i="13" s="1"/>
  <c r="AI128" i="13" s="1"/>
  <c r="AI129" i="13" s="1"/>
  <c r="AI130" i="13" s="1"/>
  <c r="N9" i="13"/>
  <c r="N10" i="13" s="1"/>
  <c r="N11" i="13" s="1"/>
  <c r="N12" i="13" s="1"/>
  <c r="N13" i="13" s="1"/>
  <c r="AH9" i="13"/>
  <c r="V16" i="13"/>
  <c r="V17" i="13" s="1"/>
  <c r="V18" i="13" s="1"/>
  <c r="V19" i="13" s="1"/>
  <c r="V20" i="13" s="1"/>
  <c r="V21" i="13" s="1"/>
  <c r="V22" i="13" s="1"/>
  <c r="V23" i="13" s="1"/>
  <c r="V24" i="13" s="1"/>
  <c r="V25" i="13" s="1"/>
  <c r="AQ27" i="13"/>
  <c r="AQ28" i="13" s="1"/>
  <c r="AQ29" i="13" s="1"/>
  <c r="AQ30" i="13" s="1"/>
  <c r="AQ31" i="13" s="1"/>
  <c r="AQ32" i="13" s="1"/>
  <c r="AQ33" i="13" s="1"/>
  <c r="AQ34" i="13" s="1"/>
  <c r="AQ35" i="13" s="1"/>
  <c r="AQ36" i="13" s="1"/>
  <c r="AQ37" i="13" s="1"/>
  <c r="N28" i="13"/>
  <c r="N29" i="13" s="1"/>
  <c r="N30" i="13" s="1"/>
  <c r="N31" i="13" s="1"/>
  <c r="N32" i="13" s="1"/>
  <c r="N33" i="13" s="1"/>
  <c r="N34" i="13" s="1"/>
  <c r="N35" i="13" s="1"/>
  <c r="N36" i="13" s="1"/>
  <c r="N37" i="13" s="1"/>
  <c r="AD28" i="13"/>
  <c r="AD29" i="13" s="1"/>
  <c r="AD30" i="13" s="1"/>
  <c r="AD31" i="13" s="1"/>
  <c r="AD32" i="13" s="1"/>
  <c r="AD33" i="13" s="1"/>
  <c r="AD34" i="13" s="1"/>
  <c r="AD35" i="13" s="1"/>
  <c r="AD36" i="13" s="1"/>
  <c r="AD37" i="13" s="1"/>
  <c r="AQ39" i="13"/>
  <c r="AQ40" i="13" s="1"/>
  <c r="AQ41" i="13" s="1"/>
  <c r="AQ42" i="13" s="1"/>
  <c r="AQ43" i="13" s="1"/>
  <c r="AQ44" i="13" s="1"/>
  <c r="AQ45" i="13" s="1"/>
  <c r="AQ46" i="13" s="1"/>
  <c r="AQ47" i="13" s="1"/>
  <c r="AQ48" i="13" s="1"/>
  <c r="AQ49" i="13" s="1"/>
  <c r="AD40" i="13"/>
  <c r="AD41" i="13"/>
  <c r="AD42" i="13" s="1"/>
  <c r="AD43" i="13" s="1"/>
  <c r="AD44" i="13" s="1"/>
  <c r="AD45" i="13" s="1"/>
  <c r="AD46" i="13" s="1"/>
  <c r="AD47" i="13" s="1"/>
  <c r="AD48" i="13" s="1"/>
  <c r="AD49" i="13" s="1"/>
  <c r="N100" i="13"/>
  <c r="N101" i="13" s="1"/>
  <c r="N102" i="13" s="1"/>
  <c r="N103" i="13" s="1"/>
  <c r="N104" i="13" s="1"/>
  <c r="N105" i="13" s="1"/>
  <c r="N106" i="13" s="1"/>
  <c r="N107" i="13" s="1"/>
  <c r="N108" i="13" s="1"/>
  <c r="N109" i="13" s="1"/>
  <c r="AQ111" i="13"/>
  <c r="AQ112" i="13" s="1"/>
  <c r="AQ113" i="13" s="1"/>
  <c r="AQ114" i="13" s="1"/>
  <c r="AQ115" i="13" s="1"/>
  <c r="AQ116" i="13" s="1"/>
  <c r="AQ117" i="13" s="1"/>
  <c r="AQ118" i="13" s="1"/>
  <c r="AQ119" i="13" s="1"/>
  <c r="AQ120" i="13" s="1"/>
  <c r="AQ121" i="13" s="1"/>
  <c r="N124" i="13"/>
  <c r="N125" i="13" s="1"/>
  <c r="N126" i="13" s="1"/>
  <c r="N127" i="13" s="1"/>
  <c r="N128" i="13" s="1"/>
  <c r="N129" i="13" s="1"/>
  <c r="N130" i="13" s="1"/>
  <c r="Q4" i="30"/>
  <c r="R3" i="30"/>
  <c r="AH28" i="13"/>
  <c r="AH32" i="13"/>
  <c r="AH36" i="13"/>
  <c r="AH40" i="13"/>
  <c r="AH44" i="13"/>
  <c r="N52" i="13"/>
  <c r="N53" i="13" s="1"/>
  <c r="N54" i="13" s="1"/>
  <c r="N55" i="13" s="1"/>
  <c r="N56" i="13" s="1"/>
  <c r="N57" i="13" s="1"/>
  <c r="N58" i="13" s="1"/>
  <c r="N59" i="13" s="1"/>
  <c r="N60" i="13" s="1"/>
  <c r="N61" i="13" s="1"/>
  <c r="AI112" i="13"/>
  <c r="AI113" i="13" s="1"/>
  <c r="AI114" i="13" s="1"/>
  <c r="AI115" i="13" s="1"/>
  <c r="AI116" i="13" s="1"/>
  <c r="AI117" i="13" s="1"/>
  <c r="AI118" i="13" s="1"/>
  <c r="AI119" i="13" s="1"/>
  <c r="AI120" i="13" s="1"/>
  <c r="AI121" i="13" s="1"/>
  <c r="V124" i="13"/>
  <c r="V125" i="13" s="1"/>
  <c r="V126" i="13" s="1"/>
  <c r="V127" i="13" s="1"/>
  <c r="V128" i="13" s="1"/>
  <c r="V129" i="13" s="1"/>
  <c r="V130" i="13" s="1"/>
  <c r="AH49" i="13"/>
  <c r="AH53" i="13"/>
  <c r="AH57" i="13"/>
  <c r="AH61" i="13"/>
  <c r="AH65" i="13"/>
  <c r="AH69" i="13"/>
  <c r="AH73" i="13"/>
  <c r="AH77" i="13"/>
  <c r="AH81" i="13"/>
  <c r="AH85" i="13"/>
  <c r="AH89" i="13"/>
  <c r="AH93" i="13"/>
  <c r="AH97" i="13"/>
  <c r="L3" i="30"/>
  <c r="M2" i="30"/>
  <c r="AH18" i="13"/>
  <c r="AH26" i="13"/>
  <c r="AH30" i="13"/>
  <c r="AQ52" i="13"/>
  <c r="AQ53" i="13" s="1"/>
  <c r="AQ54" i="13" s="1"/>
  <c r="AQ55" i="13" s="1"/>
  <c r="AQ56" i="13" s="1"/>
  <c r="AQ57" i="13" s="1"/>
  <c r="AQ58" i="13" s="1"/>
  <c r="AQ59" i="13" s="1"/>
  <c r="AQ60" i="13" s="1"/>
  <c r="AQ61" i="13" s="1"/>
  <c r="AQ76" i="13"/>
  <c r="AQ77" i="13" s="1"/>
  <c r="AQ78" i="13" s="1"/>
  <c r="AQ79" i="13" s="1"/>
  <c r="AQ80" i="13" s="1"/>
  <c r="AQ81" i="13" s="1"/>
  <c r="AQ82" i="13" s="1"/>
  <c r="AQ83" i="13" s="1"/>
  <c r="AQ84" i="13" s="1"/>
  <c r="AQ85" i="13" s="1"/>
  <c r="AD77" i="13"/>
  <c r="AD78" i="13" s="1"/>
  <c r="AD79" i="13" s="1"/>
  <c r="AD80" i="13" s="1"/>
  <c r="AD81" i="13" s="1"/>
  <c r="AD82" i="13" s="1"/>
  <c r="AD83" i="13" s="1"/>
  <c r="AD84" i="13" s="1"/>
  <c r="AD85" i="13" s="1"/>
  <c r="V113" i="13"/>
  <c r="V114" i="13" s="1"/>
  <c r="V115" i="13" s="1"/>
  <c r="V116" i="13" s="1"/>
  <c r="V117" i="13" s="1"/>
  <c r="V118" i="13" s="1"/>
  <c r="V119" i="13" s="1"/>
  <c r="V120" i="13" s="1"/>
  <c r="V121" i="13" s="1"/>
  <c r="AA3" i="30"/>
  <c r="AB3" i="30" s="1"/>
  <c r="AB2" i="30"/>
  <c r="G4" i="30"/>
  <c r="H3" i="30"/>
  <c r="Z14" i="30"/>
  <c r="Z15" i="30" s="1"/>
  <c r="Z16" i="30" s="1"/>
  <c r="Z17" i="30" s="1"/>
  <c r="Z18" i="30" s="1"/>
  <c r="Z19" i="30" s="1"/>
  <c r="Z20" i="30" s="1"/>
  <c r="Z21" i="30" s="1"/>
  <c r="Z22" i="30" s="1"/>
  <c r="Z23" i="30" s="1"/>
  <c r="Z24" i="30" s="1"/>
  <c r="Z25" i="30" s="1"/>
  <c r="H2" i="30"/>
  <c r="AC2" i="30"/>
  <c r="AC3" i="30" s="1"/>
  <c r="AC4" i="30" s="1"/>
  <c r="AC5" i="30" s="1"/>
  <c r="AC6" i="30" s="1"/>
  <c r="AC7" i="30" s="1"/>
  <c r="AC8" i="30" s="1"/>
  <c r="AC9" i="30" s="1"/>
  <c r="AC10" i="30" s="1"/>
  <c r="AC11" i="30" s="1"/>
  <c r="AC12" i="30" s="1"/>
  <c r="AC13" i="30" s="1"/>
  <c r="AC14" i="30" s="1"/>
  <c r="AC15" i="30" s="1"/>
  <c r="AC16" i="30" s="1"/>
  <c r="AC17" i="30" s="1"/>
  <c r="AC18" i="30" s="1"/>
  <c r="AC19" i="30" s="1"/>
  <c r="AC20" i="30" s="1"/>
  <c r="AC21" i="30" s="1"/>
  <c r="AC22" i="30" s="1"/>
  <c r="AC23" i="30" s="1"/>
  <c r="AC24" i="30" s="1"/>
  <c r="AC25" i="30" s="1"/>
  <c r="AC26" i="30" s="1"/>
  <c r="AC27" i="30" s="1"/>
  <c r="AC28" i="30" s="1"/>
  <c r="AC29" i="30" s="1"/>
  <c r="AC30" i="30" s="1"/>
  <c r="AC31" i="30" s="1"/>
  <c r="AC32" i="30" s="1"/>
  <c r="AC33" i="30" s="1"/>
  <c r="AC34" i="30" s="1"/>
  <c r="AC35" i="30" s="1"/>
  <c r="AC36" i="30" s="1"/>
  <c r="AC37" i="30" s="1"/>
  <c r="AC38" i="30" s="1"/>
  <c r="AC39" i="30" s="1"/>
  <c r="AC40" i="30" s="1"/>
  <c r="AC41" i="30" s="1"/>
  <c r="AC42" i="30" s="1"/>
  <c r="AC43" i="30" s="1"/>
  <c r="AC44" i="30" s="1"/>
  <c r="AC45" i="30" s="1"/>
  <c r="AC46" i="30" s="1"/>
  <c r="AC47" i="30" s="1"/>
  <c r="AC48" i="30" s="1"/>
  <c r="AC49" i="30" s="1"/>
  <c r="AC50" i="30" s="1"/>
  <c r="AC51" i="30" s="1"/>
  <c r="AC52" i="30" s="1"/>
  <c r="AC53" i="30" s="1"/>
  <c r="AC54" i="30" s="1"/>
  <c r="AC55" i="30" s="1"/>
  <c r="AC56" i="30" s="1"/>
  <c r="AC57" i="30" s="1"/>
  <c r="AC58" i="30" s="1"/>
  <c r="AC59" i="30" s="1"/>
  <c r="AC60" i="30" s="1"/>
  <c r="AC61" i="30" s="1"/>
  <c r="AC62" i="30" s="1"/>
  <c r="AC63" i="30" s="1"/>
  <c r="AC64" i="30" s="1"/>
  <c r="AC65" i="30" s="1"/>
  <c r="AC66" i="30" s="1"/>
  <c r="AC67" i="30" s="1"/>
  <c r="AC68" i="30" s="1"/>
  <c r="AC69" i="30" s="1"/>
  <c r="AC70" i="30" s="1"/>
  <c r="AC71" i="30" s="1"/>
  <c r="AC72" i="30" s="1"/>
  <c r="AC73" i="30" s="1"/>
  <c r="AC74" i="30" s="1"/>
  <c r="AC75" i="30" s="1"/>
  <c r="AC76" i="30" s="1"/>
  <c r="AC77" i="30" s="1"/>
  <c r="AC78" i="30" s="1"/>
  <c r="AC79" i="30" s="1"/>
  <c r="AC80" i="30" s="1"/>
  <c r="AC81" i="30" s="1"/>
  <c r="AC82" i="30" s="1"/>
  <c r="Z26" i="30"/>
  <c r="Z27" i="30" s="1"/>
  <c r="Z28" i="30" s="1"/>
  <c r="Z29" i="30" s="1"/>
  <c r="Z30" i="30" s="1"/>
  <c r="Z31" i="30" s="1"/>
  <c r="Z32" i="30" s="1"/>
  <c r="Z33" i="30" s="1"/>
  <c r="Z34" i="30" s="1"/>
  <c r="Z35" i="30" s="1"/>
  <c r="Z36" i="30" s="1"/>
  <c r="Z37" i="30" s="1"/>
  <c r="Z38" i="30"/>
  <c r="Z39" i="30" s="1"/>
  <c r="Z40" i="30" s="1"/>
  <c r="Z41" i="30" s="1"/>
  <c r="Z42" i="30" s="1"/>
  <c r="Z43" i="30" s="1"/>
  <c r="Z44" i="30" s="1"/>
  <c r="Z45" i="30" s="1"/>
  <c r="Z46" i="30" s="1"/>
  <c r="Z47" i="30" s="1"/>
  <c r="Z48" i="30" s="1"/>
  <c r="Z49" i="30" s="1"/>
  <c r="Z50" i="30"/>
  <c r="Z51" i="30" s="1"/>
  <c r="Z52" i="30" s="1"/>
  <c r="Z53" i="30" s="1"/>
  <c r="Z54" i="30" s="1"/>
  <c r="Z55" i="30" s="1"/>
  <c r="Z56" i="30" s="1"/>
  <c r="Z57" i="30" s="1"/>
  <c r="Z58" i="30" s="1"/>
  <c r="Z59" i="30" s="1"/>
  <c r="Z60" i="30" s="1"/>
  <c r="Z61" i="30" s="1"/>
  <c r="Z62" i="30"/>
  <c r="Z63" i="30" s="1"/>
  <c r="Z64" i="30" s="1"/>
  <c r="Z65" i="30" s="1"/>
  <c r="Z66" i="30" s="1"/>
  <c r="Z67" i="30" s="1"/>
  <c r="Z68" i="30" s="1"/>
  <c r="Z69" i="30" s="1"/>
  <c r="Z70" i="30" s="1"/>
  <c r="Z71" i="30" s="1"/>
  <c r="Z72" i="30" s="1"/>
  <c r="Z73" i="30" s="1"/>
  <c r="Z74" i="30"/>
  <c r="Z75" i="30" s="1"/>
  <c r="Z76" i="30" s="1"/>
  <c r="Z77" i="30" s="1"/>
  <c r="Z78" i="30" s="1"/>
  <c r="Z79" i="30" s="1"/>
  <c r="Z80" i="30" s="1"/>
  <c r="Z81" i="30" s="1"/>
  <c r="Z82" i="30" s="1"/>
  <c r="H3" i="32"/>
  <c r="G4" i="32"/>
  <c r="W2" i="32"/>
  <c r="V3" i="32"/>
  <c r="Z50" i="32"/>
  <c r="Z51" i="32" s="1"/>
  <c r="Z52" i="32" s="1"/>
  <c r="Z53" i="32"/>
  <c r="Z74" i="32"/>
  <c r="Z75" i="32" s="1"/>
  <c r="Z76" i="32" s="1"/>
  <c r="Z77" i="32" s="1"/>
  <c r="Z78" i="32" s="1"/>
  <c r="Z79" i="32" s="1"/>
  <c r="Z80" i="32" s="1"/>
  <c r="Z81" i="32" s="1"/>
  <c r="Z82" i="32" s="1"/>
  <c r="Z83" i="32" s="1"/>
  <c r="Z84" i="32" s="1"/>
  <c r="Z85" i="32" s="1"/>
  <c r="L3" i="32"/>
  <c r="Z54" i="32"/>
  <c r="Z55" i="32" s="1"/>
  <c r="Z56" i="32" s="1"/>
  <c r="Z57" i="32" s="1"/>
  <c r="Z58" i="32" s="1"/>
  <c r="Z59" i="32" s="1"/>
  <c r="Z60" i="32" s="1"/>
  <c r="Z61" i="32" s="1"/>
  <c r="Z26" i="32"/>
  <c r="Z27" i="32" s="1"/>
  <c r="Z28" i="32" s="1"/>
  <c r="Z29" i="32" s="1"/>
  <c r="Z30" i="32" s="1"/>
  <c r="Z31" i="32" s="1"/>
  <c r="Z32" i="32" s="1"/>
  <c r="Z33" i="32" s="1"/>
  <c r="Z34" i="32" s="1"/>
  <c r="Z35" i="32" s="1"/>
  <c r="Z36" i="32" s="1"/>
  <c r="Z37" i="32" s="1"/>
  <c r="Z38" i="32"/>
  <c r="Z39" i="32" s="1"/>
  <c r="Z40" i="32" s="1"/>
  <c r="Z41" i="32" s="1"/>
  <c r="Z42" i="32" s="1"/>
  <c r="Z43" i="32" s="1"/>
  <c r="Z44" i="32" s="1"/>
  <c r="Z45" i="32" s="1"/>
  <c r="Z46" i="32" s="1"/>
  <c r="Z47" i="32" s="1"/>
  <c r="Z48" i="32" s="1"/>
  <c r="Z49" i="32" s="1"/>
  <c r="Z62" i="32"/>
  <c r="Z63" i="32" s="1"/>
  <c r="Z64" i="32" s="1"/>
  <c r="Z65" i="32" s="1"/>
  <c r="Z66" i="32" s="1"/>
  <c r="Z67" i="32" s="1"/>
  <c r="Z68" i="32" s="1"/>
  <c r="Z69" i="32" s="1"/>
  <c r="Z70" i="32" s="1"/>
  <c r="Z71" i="32" s="1"/>
  <c r="Z72" i="32" s="1"/>
  <c r="Z73" i="32" s="1"/>
  <c r="AC2" i="32"/>
  <c r="AC3" i="32" s="1"/>
  <c r="AC4" i="32" s="1"/>
  <c r="AC5" i="32" s="1"/>
  <c r="AC6" i="32" s="1"/>
  <c r="AC7" i="32" s="1"/>
  <c r="AC8" i="32" s="1"/>
  <c r="AC9" i="32" s="1"/>
  <c r="AC10" i="32" s="1"/>
  <c r="AC11" i="32" s="1"/>
  <c r="AC12" i="32" s="1"/>
  <c r="AC13" i="32" s="1"/>
  <c r="AC14" i="32" s="1"/>
  <c r="AC15" i="32" s="1"/>
  <c r="AC16" i="32" s="1"/>
  <c r="AC17" i="32" s="1"/>
  <c r="AC18" i="32" s="1"/>
  <c r="AC19" i="32" s="1"/>
  <c r="AC20" i="32" s="1"/>
  <c r="AC21" i="32" s="1"/>
  <c r="AC22" i="32" s="1"/>
  <c r="AC23" i="32" s="1"/>
  <c r="AC24" i="32" s="1"/>
  <c r="AC25" i="32" s="1"/>
  <c r="AC26" i="32" s="1"/>
  <c r="AC27" i="32" s="1"/>
  <c r="AC28" i="32" s="1"/>
  <c r="AC29" i="32" s="1"/>
  <c r="AC30" i="32" s="1"/>
  <c r="AC31" i="32" s="1"/>
  <c r="AC32" i="32" s="1"/>
  <c r="AC33" i="32" s="1"/>
  <c r="AC34" i="32" s="1"/>
  <c r="AC35" i="32" s="1"/>
  <c r="AC36" i="32" s="1"/>
  <c r="AC37" i="32" s="1"/>
  <c r="AC38" i="32" s="1"/>
  <c r="AC39" i="32" s="1"/>
  <c r="AC40" i="32" s="1"/>
  <c r="AC41" i="32" s="1"/>
  <c r="AC42" i="32" s="1"/>
  <c r="AC43" i="32" s="1"/>
  <c r="AC44" i="32" s="1"/>
  <c r="AC45" i="32" s="1"/>
  <c r="AC46" i="32" s="1"/>
  <c r="AC47" i="32" s="1"/>
  <c r="AC48" i="32" s="1"/>
  <c r="AC49" i="32" s="1"/>
  <c r="AC50" i="32" s="1"/>
  <c r="AC51" i="32" s="1"/>
  <c r="AC52" i="32" s="1"/>
  <c r="AC53" i="32" s="1"/>
  <c r="AC54" i="32" s="1"/>
  <c r="AC55" i="32" s="1"/>
  <c r="AC56" i="32" s="1"/>
  <c r="AC57" i="32" s="1"/>
  <c r="AC58" i="32" s="1"/>
  <c r="AC59" i="32" s="1"/>
  <c r="AC60" i="32" s="1"/>
  <c r="AC61" i="32" s="1"/>
  <c r="AC62" i="32" s="1"/>
  <c r="AC63" i="32" s="1"/>
  <c r="AC64" i="32" s="1"/>
  <c r="AC65" i="32" s="1"/>
  <c r="AC66" i="32" s="1"/>
  <c r="AC67" i="32" s="1"/>
  <c r="AC68" i="32" s="1"/>
  <c r="AC69" i="32" s="1"/>
  <c r="AC70" i="32" s="1"/>
  <c r="AC71" i="32" s="1"/>
  <c r="AC72" i="32" s="1"/>
  <c r="AC73" i="32" s="1"/>
  <c r="AC74" i="32" s="1"/>
  <c r="AC75" i="32" s="1"/>
  <c r="AC76" i="32" s="1"/>
  <c r="AC77" i="32" s="1"/>
  <c r="AC78" i="32" s="1"/>
  <c r="AC79" i="32" s="1"/>
  <c r="AC80" i="32" s="1"/>
  <c r="AC81" i="32" s="1"/>
  <c r="AC82" i="32" s="1"/>
  <c r="AC83" i="32" s="1"/>
  <c r="AC84" i="32" s="1"/>
  <c r="AC85" i="32" s="1"/>
  <c r="AC86" i="32" s="1"/>
  <c r="AC87" i="32" s="1"/>
  <c r="AC88" i="32" s="1"/>
  <c r="AC89" i="32" s="1"/>
  <c r="AC90" i="32" s="1"/>
  <c r="AC91" i="32" s="1"/>
  <c r="AC92" i="32" s="1"/>
  <c r="AC93" i="32" s="1"/>
  <c r="AC94" i="32" s="1"/>
  <c r="AC95" i="32" s="1"/>
  <c r="AC96" i="32" s="1"/>
  <c r="AC97" i="32" s="1"/>
  <c r="AC98" i="32" s="1"/>
  <c r="AC99" i="32" s="1"/>
  <c r="AC100" i="32" s="1"/>
  <c r="AC101" i="32" s="1"/>
  <c r="AC102" i="32" s="1"/>
  <c r="AC103" i="32" s="1"/>
  <c r="AC104" i="32" s="1"/>
  <c r="AC105" i="32" s="1"/>
  <c r="AC106" i="32" s="1"/>
  <c r="AA3" i="32" l="1"/>
  <c r="AL2" i="13"/>
  <c r="AL3" i="13" s="1"/>
  <c r="AL4" i="13" s="1"/>
  <c r="AL5" i="13" s="1"/>
  <c r="AL6" i="13" s="1"/>
  <c r="AL7" i="13" s="1"/>
  <c r="AL8" i="13" s="1"/>
  <c r="AI2" i="13"/>
  <c r="AI3" i="13" s="1"/>
  <c r="AI4" i="13" s="1"/>
  <c r="AI5" i="13" s="1"/>
  <c r="AI6" i="13" s="1"/>
  <c r="AI7" i="13" s="1"/>
  <c r="AI8" i="13" s="1"/>
  <c r="AR4" i="13"/>
  <c r="AS4" i="13" s="1"/>
  <c r="AH146" i="13"/>
  <c r="AH144" i="13"/>
  <c r="AH147" i="13"/>
  <c r="S4" i="20"/>
  <c r="G28" i="19"/>
  <c r="P112" i="23"/>
  <c r="P115" i="23"/>
  <c r="P114" i="23"/>
  <c r="AQ126" i="13"/>
  <c r="AQ127" i="13" s="1"/>
  <c r="AQ128" i="13" s="1"/>
  <c r="AQ129" i="13" s="1"/>
  <c r="AQ130" i="13" s="1"/>
  <c r="G30" i="19"/>
  <c r="G29" i="19"/>
  <c r="G3" i="20"/>
  <c r="F4" i="20"/>
  <c r="W3" i="13"/>
  <c r="X3" i="13" s="1"/>
  <c r="AI14" i="13"/>
  <c r="AI15" i="13" s="1"/>
  <c r="AI16" i="13" s="1"/>
  <c r="AI17" i="13" s="1"/>
  <c r="AI18" i="13" s="1"/>
  <c r="AI19" i="13" s="1"/>
  <c r="AI20" i="13" s="1"/>
  <c r="AI21" i="13" s="1"/>
  <c r="AI22" i="13" s="1"/>
  <c r="AI23" i="13" s="1"/>
  <c r="AI24" i="13" s="1"/>
  <c r="AI25" i="13" s="1"/>
  <c r="V4" i="30"/>
  <c r="W3" i="30"/>
  <c r="F32" i="19"/>
  <c r="G31" i="19"/>
  <c r="AI38" i="13"/>
  <c r="AI39" i="13" s="1"/>
  <c r="AI40" i="13" s="1"/>
  <c r="AI41" i="13" s="1"/>
  <c r="AI42" i="13" s="1"/>
  <c r="AI43" i="13" s="1"/>
  <c r="AI44" i="13" s="1"/>
  <c r="AI45" i="13" s="1"/>
  <c r="AI46" i="13" s="1"/>
  <c r="AI47" i="13" s="1"/>
  <c r="AI48" i="13" s="1"/>
  <c r="AI49" i="13" s="1"/>
  <c r="V17" i="19"/>
  <c r="W16" i="19"/>
  <c r="O3" i="13"/>
  <c r="G5" i="30"/>
  <c r="H4" i="30"/>
  <c r="Z136" i="13"/>
  <c r="Q27" i="23"/>
  <c r="Q28" i="23" s="1"/>
  <c r="Q29" i="23" s="1"/>
  <c r="Q30" i="23" s="1"/>
  <c r="Q31" i="23" s="1"/>
  <c r="Q32" i="23" s="1"/>
  <c r="Q33" i="23" s="1"/>
  <c r="Q34" i="23" s="1"/>
  <c r="Q35" i="23" s="1"/>
  <c r="Q36" i="23" s="1"/>
  <c r="Q37" i="23" s="1"/>
  <c r="Q38" i="23" s="1"/>
  <c r="L4" i="30"/>
  <c r="M3" i="30"/>
  <c r="L136" i="13"/>
  <c r="AE3" i="19"/>
  <c r="AL9" i="13"/>
  <c r="AL10" i="13" s="1"/>
  <c r="AL11" i="13" s="1"/>
  <c r="AL12" i="13" s="1"/>
  <c r="AL13" i="13" s="1"/>
  <c r="AL14" i="13" s="1"/>
  <c r="AL15" i="13" s="1"/>
  <c r="AL16" i="13" s="1"/>
  <c r="AL17" i="13" s="1"/>
  <c r="AL18" i="13" s="1"/>
  <c r="AL19" i="13" s="1"/>
  <c r="AL20" i="13" s="1"/>
  <c r="AL21" i="13" s="1"/>
  <c r="AL22" i="13" s="1"/>
  <c r="AL23" i="13" s="1"/>
  <c r="AL24" i="13" s="1"/>
  <c r="AL25" i="13" s="1"/>
  <c r="AL26" i="13" s="1"/>
  <c r="AL27" i="13" s="1"/>
  <c r="AL28" i="13" s="1"/>
  <c r="AL29" i="13" s="1"/>
  <c r="AL30" i="13" s="1"/>
  <c r="AL31" i="13" s="1"/>
  <c r="AL32" i="13" s="1"/>
  <c r="AL33" i="13" s="1"/>
  <c r="AL34" i="13" s="1"/>
  <c r="AL35" i="13" s="1"/>
  <c r="AL36" i="13" s="1"/>
  <c r="AL37" i="13" s="1"/>
  <c r="AL38" i="13" s="1"/>
  <c r="AL39" i="13" s="1"/>
  <c r="AL40" i="13" s="1"/>
  <c r="AL41" i="13" s="1"/>
  <c r="AL42" i="13" s="1"/>
  <c r="AL43" i="13" s="1"/>
  <c r="AL44" i="13" s="1"/>
  <c r="AL45" i="13" s="1"/>
  <c r="AL46" i="13" s="1"/>
  <c r="AL47" i="13" s="1"/>
  <c r="AL48" i="13" s="1"/>
  <c r="AL49" i="13" s="1"/>
  <c r="AL50" i="13" s="1"/>
  <c r="AL51" i="13" s="1"/>
  <c r="AL52" i="13" s="1"/>
  <c r="AL53" i="13" s="1"/>
  <c r="AL54" i="13" s="1"/>
  <c r="AL55" i="13" s="1"/>
  <c r="AL56" i="13" s="1"/>
  <c r="AL57" i="13" s="1"/>
  <c r="AL58" i="13" s="1"/>
  <c r="AL59" i="13" s="1"/>
  <c r="AL60" i="13" s="1"/>
  <c r="AL61" i="13" s="1"/>
  <c r="AL62" i="13" s="1"/>
  <c r="AL63" i="13" s="1"/>
  <c r="AL64" i="13" s="1"/>
  <c r="AL65" i="13" s="1"/>
  <c r="AL66" i="13" s="1"/>
  <c r="AL67" i="13" s="1"/>
  <c r="AL68" i="13" s="1"/>
  <c r="AL69" i="13" s="1"/>
  <c r="AL70" i="13" s="1"/>
  <c r="AL71" i="13" s="1"/>
  <c r="AL72" i="13" s="1"/>
  <c r="AL73" i="13" s="1"/>
  <c r="AL74" i="13" s="1"/>
  <c r="AL75" i="13" s="1"/>
  <c r="AL76" i="13" s="1"/>
  <c r="AL77" i="13" s="1"/>
  <c r="AL78" i="13" s="1"/>
  <c r="AL79" i="13" s="1"/>
  <c r="AL80" i="13" s="1"/>
  <c r="AL81" i="13" s="1"/>
  <c r="AL82" i="13" s="1"/>
  <c r="AL83" i="13" s="1"/>
  <c r="AL84" i="13" s="1"/>
  <c r="AL85" i="13" s="1"/>
  <c r="AL86" i="13" s="1"/>
  <c r="AL87" i="13" s="1"/>
  <c r="AL88" i="13" s="1"/>
  <c r="AL89" i="13" s="1"/>
  <c r="AL90" i="13" s="1"/>
  <c r="AL91" i="13" s="1"/>
  <c r="AL92" i="13" s="1"/>
  <c r="AL93" i="13" s="1"/>
  <c r="AL94" i="13" s="1"/>
  <c r="AL95" i="13" s="1"/>
  <c r="AL96" i="13" s="1"/>
  <c r="AL97" i="13" s="1"/>
  <c r="AL98" i="13" s="1"/>
  <c r="AL99" i="13" s="1"/>
  <c r="AL100" i="13" s="1"/>
  <c r="AL101" i="13" s="1"/>
  <c r="AL102" i="13" s="1"/>
  <c r="AL103" i="13" s="1"/>
  <c r="AL104" i="13" s="1"/>
  <c r="AL105" i="13" s="1"/>
  <c r="AL106" i="13" s="1"/>
  <c r="AL107" i="13" s="1"/>
  <c r="AL108" i="13" s="1"/>
  <c r="AL109" i="13" s="1"/>
  <c r="AL110" i="13" s="1"/>
  <c r="AL111" i="13" s="1"/>
  <c r="AL112" i="13" s="1"/>
  <c r="AL113" i="13" s="1"/>
  <c r="AL114" i="13" s="1"/>
  <c r="AL115" i="13" s="1"/>
  <c r="AL116" i="13" s="1"/>
  <c r="AL117" i="13" s="1"/>
  <c r="AL118" i="13" s="1"/>
  <c r="AL119" i="13" s="1"/>
  <c r="AL120" i="13" s="1"/>
  <c r="AL121" i="13" s="1"/>
  <c r="AL122" i="13" s="1"/>
  <c r="AL123" i="13" s="1"/>
  <c r="AL124" i="13" s="1"/>
  <c r="AL125" i="13" s="1"/>
  <c r="AL126" i="13" s="1"/>
  <c r="AL127" i="13" s="1"/>
  <c r="AL128" i="13" s="1"/>
  <c r="AL129" i="13" s="1"/>
  <c r="AL130" i="13" s="1"/>
  <c r="T136" i="13"/>
  <c r="V4" i="32"/>
  <c r="W3" i="32"/>
  <c r="AI65" i="13"/>
  <c r="AI66" i="13" s="1"/>
  <c r="AI67" i="13" s="1"/>
  <c r="AI68" i="13" s="1"/>
  <c r="AI69" i="13" s="1"/>
  <c r="AI70" i="13" s="1"/>
  <c r="AI71" i="13" s="1"/>
  <c r="AI72" i="13" s="1"/>
  <c r="AI73" i="13" s="1"/>
  <c r="AA4" i="30"/>
  <c r="J136" i="13"/>
  <c r="E136" i="13"/>
  <c r="AJ3" i="13"/>
  <c r="Q19" i="23"/>
  <c r="Q20" i="23" s="1"/>
  <c r="Q21" i="23" s="1"/>
  <c r="Q22" i="23" s="1"/>
  <c r="Q23" i="23" s="1"/>
  <c r="Q24" i="23" s="1"/>
  <c r="Q25" i="23" s="1"/>
  <c r="Q26" i="23" s="1"/>
  <c r="Q79" i="23"/>
  <c r="Q80" i="23" s="1"/>
  <c r="Q81" i="23" s="1"/>
  <c r="Q82" i="23" s="1"/>
  <c r="Q83" i="23" s="1"/>
  <c r="Q84" i="23" s="1"/>
  <c r="Q85" i="23" s="1"/>
  <c r="Q86" i="23" s="1"/>
  <c r="J5" i="20"/>
  <c r="K4" i="20"/>
  <c r="H3" i="23"/>
  <c r="G4" i="23"/>
  <c r="R5" i="19"/>
  <c r="S4" i="19"/>
  <c r="AI9" i="13"/>
  <c r="AI10" i="13" s="1"/>
  <c r="AI11" i="13" s="1"/>
  <c r="AI12" i="13" s="1"/>
  <c r="AI13" i="13" s="1"/>
  <c r="AI77" i="13"/>
  <c r="AI78" i="13" s="1"/>
  <c r="AI79" i="13" s="1"/>
  <c r="AI80" i="13" s="1"/>
  <c r="AI81" i="13" s="1"/>
  <c r="AI82" i="13" s="1"/>
  <c r="AI83" i="13" s="1"/>
  <c r="AI84" i="13" s="1"/>
  <c r="AI85" i="13" s="1"/>
  <c r="K4" i="19"/>
  <c r="J5" i="19"/>
  <c r="H4" i="32"/>
  <c r="G5" i="32"/>
  <c r="T4" i="20"/>
  <c r="S5" i="20"/>
  <c r="O4" i="19"/>
  <c r="N5" i="19"/>
  <c r="Q63" i="23"/>
  <c r="Q64" i="23" s="1"/>
  <c r="Q65" i="23" s="1"/>
  <c r="Q66" i="23" s="1"/>
  <c r="Q67" i="23" s="1"/>
  <c r="Q68" i="23" s="1"/>
  <c r="Q69" i="23" s="1"/>
  <c r="Q70" i="23" s="1"/>
  <c r="Q71" i="23" s="1"/>
  <c r="Q72" i="23" s="1"/>
  <c r="Q73" i="23" s="1"/>
  <c r="Q74" i="23" s="1"/>
  <c r="Q47" i="23"/>
  <c r="Q48" i="23" s="1"/>
  <c r="Q49" i="23" s="1"/>
  <c r="Q50" i="23" s="1"/>
  <c r="G15" i="13"/>
  <c r="H14" i="13"/>
  <c r="M3" i="32"/>
  <c r="L4" i="32"/>
  <c r="AI89" i="13"/>
  <c r="AI90" i="13" s="1"/>
  <c r="AI91" i="13" s="1"/>
  <c r="AI92" i="13" s="1"/>
  <c r="AI93" i="13" s="1"/>
  <c r="AI94" i="13" s="1"/>
  <c r="AI95" i="13" s="1"/>
  <c r="AI96" i="13" s="1"/>
  <c r="AI97" i="13" s="1"/>
  <c r="AB136" i="13"/>
  <c r="AR5" i="13"/>
  <c r="N4" i="20"/>
  <c r="O3" i="20"/>
  <c r="AA4" i="19"/>
  <c r="Z5" i="19"/>
  <c r="Q53" i="23"/>
  <c r="Q54" i="23" s="1"/>
  <c r="Q55" i="23" s="1"/>
  <c r="Q56" i="23" s="1"/>
  <c r="Q57" i="23" s="1"/>
  <c r="Q58" i="23" s="1"/>
  <c r="Q59" i="23" s="1"/>
  <c r="Q60" i="23" s="1"/>
  <c r="Q61" i="23" s="1"/>
  <c r="Q62" i="23" s="1"/>
  <c r="L4" i="23"/>
  <c r="M3" i="23"/>
  <c r="AI26" i="13"/>
  <c r="AI27" i="13" s="1"/>
  <c r="AI28" i="13" s="1"/>
  <c r="AI29" i="13" s="1"/>
  <c r="AI30" i="13" s="1"/>
  <c r="AI31" i="13" s="1"/>
  <c r="AI32" i="13" s="1"/>
  <c r="AI33" i="13" s="1"/>
  <c r="AI34" i="13" s="1"/>
  <c r="AI35" i="13" s="1"/>
  <c r="AI36" i="13" s="1"/>
  <c r="AI37" i="13" s="1"/>
  <c r="AI53" i="13"/>
  <c r="AI54" i="13" s="1"/>
  <c r="AI55" i="13" s="1"/>
  <c r="AI56" i="13" s="1"/>
  <c r="AI57" i="13" s="1"/>
  <c r="AI58" i="13" s="1"/>
  <c r="AI59" i="13" s="1"/>
  <c r="AI60" i="13" s="1"/>
  <c r="AI61" i="13" s="1"/>
  <c r="Q5" i="30"/>
  <c r="R4" i="30"/>
  <c r="AE3" i="13"/>
  <c r="R3" i="23"/>
  <c r="T3" i="23"/>
  <c r="T4" i="23" s="1"/>
  <c r="T5" i="23" s="1"/>
  <c r="T6" i="23" s="1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T38" i="23" s="1"/>
  <c r="T39" i="23" s="1"/>
  <c r="T40" i="23" s="1"/>
  <c r="T41" i="23" s="1"/>
  <c r="T42" i="23" s="1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T60" i="23" s="1"/>
  <c r="T61" i="23" s="1"/>
  <c r="T62" i="23" s="1"/>
  <c r="T63" i="23" s="1"/>
  <c r="T64" i="23" s="1"/>
  <c r="T65" i="23" s="1"/>
  <c r="T66" i="23" s="1"/>
  <c r="T67" i="23" s="1"/>
  <c r="T68" i="23" s="1"/>
  <c r="T69" i="23" s="1"/>
  <c r="T70" i="23" s="1"/>
  <c r="T71" i="23" s="1"/>
  <c r="T72" i="23" s="1"/>
  <c r="T73" i="23" s="1"/>
  <c r="T74" i="23" s="1"/>
  <c r="T75" i="23" s="1"/>
  <c r="T76" i="23" s="1"/>
  <c r="T77" i="23" s="1"/>
  <c r="T78" i="23" s="1"/>
  <c r="T79" i="23" s="1"/>
  <c r="T80" i="23" s="1"/>
  <c r="T81" i="23" s="1"/>
  <c r="T82" i="23" s="1"/>
  <c r="T83" i="23" s="1"/>
  <c r="T84" i="23" s="1"/>
  <c r="T85" i="23" s="1"/>
  <c r="T86" i="23" s="1"/>
  <c r="T87" i="23" s="1"/>
  <c r="T88" i="23" s="1"/>
  <c r="T89" i="23" s="1"/>
  <c r="T90" i="23" s="1"/>
  <c r="T91" i="23" s="1"/>
  <c r="T92" i="23" s="1"/>
  <c r="T93" i="23" s="1"/>
  <c r="T94" i="23" s="1"/>
  <c r="T95" i="23" s="1"/>
  <c r="T96" i="23" s="1"/>
  <c r="T97" i="23" s="1"/>
  <c r="T98" i="23" s="1"/>
  <c r="T99" i="23" s="1"/>
  <c r="T100" i="23" s="1"/>
  <c r="T101" i="23" s="1"/>
  <c r="T102" i="23" s="1"/>
  <c r="T103" i="23" s="1"/>
  <c r="T104" i="23" s="1"/>
  <c r="T105" i="23" s="1"/>
  <c r="T106" i="23" s="1"/>
  <c r="T107" i="23" s="1"/>
  <c r="Q3" i="23"/>
  <c r="Q4" i="23" s="1"/>
  <c r="Q5" i="23" s="1"/>
  <c r="Q6" i="23" s="1"/>
  <c r="Q7" i="23" s="1"/>
  <c r="Q8" i="23" s="1"/>
  <c r="Q9" i="23" s="1"/>
  <c r="Q10" i="23" s="1"/>
  <c r="Q11" i="23" s="1"/>
  <c r="Q12" i="23" s="1"/>
  <c r="Q13" i="23" s="1"/>
  <c r="Q14" i="23" s="1"/>
  <c r="Q87" i="23"/>
  <c r="Q88" i="23" s="1"/>
  <c r="Q89" i="23" s="1"/>
  <c r="Q90" i="23" s="1"/>
  <c r="Q91" i="23" s="1"/>
  <c r="Q92" i="23" s="1"/>
  <c r="Q93" i="23" s="1"/>
  <c r="Q94" i="23" s="1"/>
  <c r="Q95" i="23" s="1"/>
  <c r="Q96" i="23" s="1"/>
  <c r="Q97" i="23" s="1"/>
  <c r="Q98" i="23" s="1"/>
  <c r="AA4" i="32" l="1"/>
  <c r="AB3" i="32"/>
  <c r="P3" i="13"/>
  <c r="O4" i="13"/>
  <c r="W4" i="13"/>
  <c r="X4" i="13" s="1"/>
  <c r="V5" i="30"/>
  <c r="W4" i="30"/>
  <c r="F5" i="20"/>
  <c r="G4" i="20"/>
  <c r="G140" i="13"/>
  <c r="F33" i="19"/>
  <c r="G32" i="19"/>
  <c r="V18" i="19"/>
  <c r="W17" i="19"/>
  <c r="Q6" i="30"/>
  <c r="R5" i="30"/>
  <c r="M4" i="23"/>
  <c r="L5" i="23"/>
  <c r="O4" i="20"/>
  <c r="N5" i="20"/>
  <c r="G16" i="13"/>
  <c r="H15" i="13"/>
  <c r="K5" i="19"/>
  <c r="J6" i="19"/>
  <c r="H4" i="23"/>
  <c r="G5" i="23"/>
  <c r="AK3" i="13"/>
  <c r="AJ4" i="13"/>
  <c r="AH136" i="13"/>
  <c r="E140" i="13"/>
  <c r="G6" i="30"/>
  <c r="H5" i="30"/>
  <c r="T5" i="20"/>
  <c r="S6" i="20"/>
  <c r="G6" i="32"/>
  <c r="H5" i="32"/>
  <c r="L5" i="30"/>
  <c r="M4" i="30"/>
  <c r="AA5" i="19"/>
  <c r="Z6" i="19"/>
  <c r="AS5" i="13"/>
  <c r="AR6" i="13"/>
  <c r="AF3" i="13"/>
  <c r="AE4" i="13"/>
  <c r="L5" i="32"/>
  <c r="M4" i="32"/>
  <c r="K5" i="20"/>
  <c r="J6" i="20"/>
  <c r="AF3" i="19"/>
  <c r="AE4" i="19"/>
  <c r="S3" i="23"/>
  <c r="R4" i="23"/>
  <c r="O5" i="19"/>
  <c r="N6" i="19"/>
  <c r="R6" i="19"/>
  <c r="S5" i="19"/>
  <c r="AB4" i="30"/>
  <c r="AA5" i="30"/>
  <c r="V5" i="32"/>
  <c r="W4" i="32"/>
  <c r="AB4" i="32" l="1"/>
  <c r="AA5" i="32"/>
  <c r="W5" i="13"/>
  <c r="F6" i="20"/>
  <c r="G5" i="20"/>
  <c r="V6" i="30"/>
  <c r="W5" i="30"/>
  <c r="V19" i="19"/>
  <c r="W18" i="19"/>
  <c r="P4" i="13"/>
  <c r="O5" i="13"/>
  <c r="F34" i="19"/>
  <c r="G33" i="19"/>
  <c r="R7" i="19"/>
  <c r="S6" i="19"/>
  <c r="AF4" i="13"/>
  <c r="AE5" i="13"/>
  <c r="W5" i="32"/>
  <c r="V6" i="32"/>
  <c r="AA6" i="19"/>
  <c r="Z7" i="19"/>
  <c r="T6" i="20"/>
  <c r="S7" i="20"/>
  <c r="G7" i="30"/>
  <c r="H6" i="30"/>
  <c r="K6" i="19"/>
  <c r="J7" i="19"/>
  <c r="Q7" i="30"/>
  <c r="R6" i="30"/>
  <c r="K6" i="20"/>
  <c r="J7" i="20"/>
  <c r="L6" i="32"/>
  <c r="M5" i="32"/>
  <c r="M5" i="30"/>
  <c r="L6" i="30"/>
  <c r="H5" i="23"/>
  <c r="G6" i="23"/>
  <c r="O5" i="20"/>
  <c r="N6" i="20"/>
  <c r="AB5" i="30"/>
  <c r="AA6" i="30"/>
  <c r="X5" i="13"/>
  <c r="W6" i="13"/>
  <c r="AS6" i="13"/>
  <c r="AR7" i="13"/>
  <c r="AK4" i="13"/>
  <c r="AJ5" i="13"/>
  <c r="G17" i="13"/>
  <c r="H16" i="13"/>
  <c r="O6" i="19"/>
  <c r="N7" i="19"/>
  <c r="S4" i="23"/>
  <c r="R5" i="23"/>
  <c r="AF4" i="19"/>
  <c r="AE5" i="19"/>
  <c r="G7" i="32"/>
  <c r="H6" i="32"/>
  <c r="L6" i="23"/>
  <c r="M5" i="23"/>
  <c r="AB5" i="32" l="1"/>
  <c r="AA6" i="32"/>
  <c r="P5" i="13"/>
  <c r="O6" i="13"/>
  <c r="V20" i="19"/>
  <c r="W19" i="19"/>
  <c r="V7" i="30"/>
  <c r="W6" i="30"/>
  <c r="F35" i="19"/>
  <c r="G34" i="19"/>
  <c r="F7" i="20"/>
  <c r="G6" i="20"/>
  <c r="M6" i="23"/>
  <c r="L7" i="23"/>
  <c r="R6" i="23"/>
  <c r="S5" i="23"/>
  <c r="O7" i="19"/>
  <c r="N8" i="19"/>
  <c r="AK5" i="13"/>
  <c r="AJ6" i="13"/>
  <c r="X6" i="13"/>
  <c r="W7" i="13"/>
  <c r="AA7" i="30"/>
  <c r="AB6" i="30"/>
  <c r="N7" i="20"/>
  <c r="O6" i="20"/>
  <c r="L7" i="30"/>
  <c r="M6" i="30"/>
  <c r="G8" i="30"/>
  <c r="H7" i="30"/>
  <c r="H17" i="13"/>
  <c r="G18" i="13"/>
  <c r="H6" i="23"/>
  <c r="G7" i="23"/>
  <c r="Q8" i="30"/>
  <c r="R7" i="30"/>
  <c r="AF5" i="13"/>
  <c r="AE6" i="13"/>
  <c r="H7" i="32"/>
  <c r="G8" i="32"/>
  <c r="AF5" i="19"/>
  <c r="AE6" i="19"/>
  <c r="AS7" i="13"/>
  <c r="AR8" i="13"/>
  <c r="M6" i="32"/>
  <c r="L7" i="32"/>
  <c r="K7" i="19"/>
  <c r="J8" i="19"/>
  <c r="J8" i="20"/>
  <c r="K7" i="20"/>
  <c r="T7" i="20"/>
  <c r="S8" i="20"/>
  <c r="AA7" i="19"/>
  <c r="Z8" i="19"/>
  <c r="W6" i="32"/>
  <c r="V7" i="32"/>
  <c r="R8" i="19"/>
  <c r="S7" i="19"/>
  <c r="AA7" i="32" l="1"/>
  <c r="AB6" i="32"/>
  <c r="F36" i="19"/>
  <c r="G35" i="19"/>
  <c r="V8" i="30"/>
  <c r="W7" i="30"/>
  <c r="V21" i="19"/>
  <c r="W20" i="19"/>
  <c r="P6" i="13"/>
  <c r="O7" i="13"/>
  <c r="G7" i="20"/>
  <c r="F8" i="20"/>
  <c r="R9" i="19"/>
  <c r="S8" i="19"/>
  <c r="J9" i="20"/>
  <c r="K8" i="20"/>
  <c r="O8" i="19"/>
  <c r="N9" i="19"/>
  <c r="AF6" i="19"/>
  <c r="AE7" i="19"/>
  <c r="Q9" i="30"/>
  <c r="R8" i="30"/>
  <c r="H7" i="23"/>
  <c r="G8" i="23"/>
  <c r="AB7" i="30"/>
  <c r="AA8" i="30"/>
  <c r="M7" i="32"/>
  <c r="L8" i="32"/>
  <c r="G9" i="30"/>
  <c r="H8" i="30"/>
  <c r="X7" i="13"/>
  <c r="W8" i="13"/>
  <c r="AK6" i="13"/>
  <c r="AJ7" i="13"/>
  <c r="L8" i="23"/>
  <c r="M7" i="23"/>
  <c r="AA8" i="19"/>
  <c r="Z9" i="19"/>
  <c r="V8" i="32"/>
  <c r="W7" i="32"/>
  <c r="T8" i="20"/>
  <c r="S9" i="20"/>
  <c r="K8" i="19"/>
  <c r="J9" i="19"/>
  <c r="AR9" i="13"/>
  <c r="AS8" i="13"/>
  <c r="H8" i="32"/>
  <c r="G9" i="32"/>
  <c r="AF6" i="13"/>
  <c r="AE7" i="13"/>
  <c r="G19" i="13"/>
  <c r="H18" i="13"/>
  <c r="L8" i="30"/>
  <c r="M7" i="30"/>
  <c r="N8" i="20"/>
  <c r="O7" i="20"/>
  <c r="S6" i="23"/>
  <c r="R7" i="23"/>
  <c r="AA8" i="32" l="1"/>
  <c r="AB7" i="32"/>
  <c r="P7" i="13"/>
  <c r="O8" i="13"/>
  <c r="V22" i="19"/>
  <c r="W21" i="19"/>
  <c r="W8" i="30"/>
  <c r="V9" i="30"/>
  <c r="F9" i="20"/>
  <c r="G8" i="20"/>
  <c r="F37" i="19"/>
  <c r="G36" i="19"/>
  <c r="AF7" i="13"/>
  <c r="AE8" i="13"/>
  <c r="S7" i="23"/>
  <c r="R8" i="23"/>
  <c r="AS9" i="13"/>
  <c r="AR10" i="13"/>
  <c r="V9" i="32"/>
  <c r="W8" i="32"/>
  <c r="H8" i="23"/>
  <c r="G9" i="23"/>
  <c r="AF7" i="19"/>
  <c r="AE8" i="19"/>
  <c r="O9" i="19"/>
  <c r="N10" i="19"/>
  <c r="K9" i="20"/>
  <c r="J10" i="20"/>
  <c r="R10" i="19"/>
  <c r="S9" i="19"/>
  <c r="K9" i="19"/>
  <c r="J10" i="19"/>
  <c r="X8" i="13"/>
  <c r="W9" i="13"/>
  <c r="G10" i="30"/>
  <c r="H9" i="30"/>
  <c r="L9" i="32"/>
  <c r="M8" i="32"/>
  <c r="G20" i="13"/>
  <c r="H19" i="13"/>
  <c r="M8" i="23"/>
  <c r="L9" i="23"/>
  <c r="O8" i="20"/>
  <c r="N9" i="20"/>
  <c r="L9" i="30"/>
  <c r="M8" i="30"/>
  <c r="G10" i="32"/>
  <c r="H9" i="32"/>
  <c r="T9" i="20"/>
  <c r="S10" i="20"/>
  <c r="AA9" i="19"/>
  <c r="Z10" i="19"/>
  <c r="AK7" i="13"/>
  <c r="AJ8" i="13"/>
  <c r="AB8" i="30"/>
  <c r="AA9" i="30"/>
  <c r="Q10" i="30"/>
  <c r="R9" i="30"/>
  <c r="AA9" i="32" l="1"/>
  <c r="AB8" i="32"/>
  <c r="F10" i="20"/>
  <c r="G9" i="20"/>
  <c r="V10" i="30"/>
  <c r="W9" i="30"/>
  <c r="V23" i="19"/>
  <c r="W22" i="19"/>
  <c r="P8" i="13"/>
  <c r="O9" i="13"/>
  <c r="F38" i="19"/>
  <c r="G37" i="19"/>
  <c r="R10" i="30"/>
  <c r="Q11" i="30"/>
  <c r="AA10" i="19"/>
  <c r="Z11" i="19"/>
  <c r="G21" i="13"/>
  <c r="H20" i="13"/>
  <c r="G11" i="30"/>
  <c r="H10" i="30"/>
  <c r="K10" i="19"/>
  <c r="J11" i="19"/>
  <c r="G10" i="23"/>
  <c r="H9" i="23"/>
  <c r="G11" i="32"/>
  <c r="H10" i="32"/>
  <c r="X9" i="13"/>
  <c r="W10" i="13"/>
  <c r="R11" i="19"/>
  <c r="S10" i="19"/>
  <c r="W9" i="32"/>
  <c r="V10" i="32"/>
  <c r="AK8" i="13"/>
  <c r="AJ9" i="13"/>
  <c r="T10" i="20"/>
  <c r="S11" i="20"/>
  <c r="L10" i="30"/>
  <c r="M9" i="30"/>
  <c r="K10" i="20"/>
  <c r="J11" i="20"/>
  <c r="O10" i="19"/>
  <c r="N11" i="19"/>
  <c r="AF8" i="19"/>
  <c r="AE9" i="19"/>
  <c r="AS10" i="13"/>
  <c r="AR11" i="13"/>
  <c r="S8" i="23"/>
  <c r="R9" i="23"/>
  <c r="AF8" i="13"/>
  <c r="AE9" i="13"/>
  <c r="AA10" i="30"/>
  <c r="AB9" i="30"/>
  <c r="O9" i="20"/>
  <c r="N10" i="20"/>
  <c r="L10" i="23"/>
  <c r="M9" i="23"/>
  <c r="L10" i="32"/>
  <c r="M9" i="32"/>
  <c r="AB9" i="32" l="1"/>
  <c r="AA10" i="32"/>
  <c r="P9" i="13"/>
  <c r="O10" i="13"/>
  <c r="V24" i="19"/>
  <c r="W23" i="19"/>
  <c r="V11" i="30"/>
  <c r="W10" i="30"/>
  <c r="F39" i="19"/>
  <c r="G38" i="19"/>
  <c r="G10" i="20"/>
  <c r="F11" i="20"/>
  <c r="T11" i="20"/>
  <c r="S12" i="20"/>
  <c r="W10" i="32"/>
  <c r="V11" i="32"/>
  <c r="Q12" i="30"/>
  <c r="R11" i="30"/>
  <c r="R10" i="23"/>
  <c r="S9" i="23"/>
  <c r="O11" i="19"/>
  <c r="N12" i="19"/>
  <c r="L11" i="30"/>
  <c r="M10" i="30"/>
  <c r="R12" i="19"/>
  <c r="S11" i="19"/>
  <c r="H11" i="32"/>
  <c r="G12" i="32"/>
  <c r="G12" i="30"/>
  <c r="H11" i="30"/>
  <c r="H21" i="13"/>
  <c r="G22" i="13"/>
  <c r="M10" i="32"/>
  <c r="L11" i="32"/>
  <c r="M10" i="23"/>
  <c r="L11" i="23"/>
  <c r="AA11" i="30"/>
  <c r="AB10" i="30"/>
  <c r="AK9" i="13"/>
  <c r="AJ10" i="13"/>
  <c r="X10" i="13"/>
  <c r="W11" i="13"/>
  <c r="K11" i="19"/>
  <c r="J12" i="19"/>
  <c r="AA11" i="19"/>
  <c r="Z12" i="19"/>
  <c r="N11" i="20"/>
  <c r="O10" i="20"/>
  <c r="AF9" i="13"/>
  <c r="AE10" i="13"/>
  <c r="AS11" i="13"/>
  <c r="AR12" i="13"/>
  <c r="AF9" i="19"/>
  <c r="AE10" i="19"/>
  <c r="J12" i="20"/>
  <c r="K11" i="20"/>
  <c r="H10" i="23"/>
  <c r="G11" i="23"/>
  <c r="AB10" i="32" l="1"/>
  <c r="AA11" i="32"/>
  <c r="F40" i="19"/>
  <c r="G39" i="19"/>
  <c r="V12" i="30"/>
  <c r="W11" i="30"/>
  <c r="V25" i="19"/>
  <c r="W24" i="19"/>
  <c r="G11" i="20"/>
  <c r="F12" i="20"/>
  <c r="P10" i="13"/>
  <c r="O11" i="13"/>
  <c r="H11" i="23"/>
  <c r="G12" i="23"/>
  <c r="AR13" i="13"/>
  <c r="AS12" i="13"/>
  <c r="AA12" i="19"/>
  <c r="Z13" i="19"/>
  <c r="X11" i="13"/>
  <c r="W12" i="13"/>
  <c r="O12" i="19"/>
  <c r="N13" i="19"/>
  <c r="T12" i="20"/>
  <c r="S13" i="20"/>
  <c r="J13" i="20"/>
  <c r="K12" i="20"/>
  <c r="N12" i="20"/>
  <c r="O11" i="20"/>
  <c r="G13" i="30"/>
  <c r="H12" i="30"/>
  <c r="S10" i="23"/>
  <c r="R11" i="23"/>
  <c r="AF10" i="19"/>
  <c r="AE11" i="19"/>
  <c r="AF10" i="13"/>
  <c r="AE11" i="13"/>
  <c r="K12" i="19"/>
  <c r="J13" i="19"/>
  <c r="AK10" i="13"/>
  <c r="AJ11" i="13"/>
  <c r="L12" i="23"/>
  <c r="M11" i="23"/>
  <c r="M11" i="32"/>
  <c r="L12" i="32"/>
  <c r="G23" i="13"/>
  <c r="H22" i="13"/>
  <c r="H12" i="32"/>
  <c r="G13" i="32"/>
  <c r="V12" i="32"/>
  <c r="W11" i="32"/>
  <c r="AB11" i="30"/>
  <c r="AA12" i="30"/>
  <c r="R13" i="19"/>
  <c r="S12" i="19"/>
  <c r="L12" i="30"/>
  <c r="M11" i="30"/>
  <c r="Q13" i="30"/>
  <c r="R12" i="30"/>
  <c r="AA12" i="32" l="1"/>
  <c r="AB11" i="32"/>
  <c r="F13" i="20"/>
  <c r="G12" i="20"/>
  <c r="V26" i="19"/>
  <c r="W25" i="19"/>
  <c r="V13" i="30"/>
  <c r="W12" i="30"/>
  <c r="P11" i="13"/>
  <c r="O12" i="13"/>
  <c r="F41" i="19"/>
  <c r="G40" i="19"/>
  <c r="AB12" i="30"/>
  <c r="AA13" i="30"/>
  <c r="G14" i="32"/>
  <c r="H13" i="32"/>
  <c r="L13" i="32"/>
  <c r="M12" i="32"/>
  <c r="AK11" i="13"/>
  <c r="AJ12" i="13"/>
  <c r="AF11" i="13"/>
  <c r="AE12" i="13"/>
  <c r="T13" i="20"/>
  <c r="S14" i="20"/>
  <c r="O13" i="19"/>
  <c r="N14" i="19"/>
  <c r="X12" i="13"/>
  <c r="W13" i="13"/>
  <c r="H12" i="23"/>
  <c r="G13" i="23"/>
  <c r="Q14" i="30"/>
  <c r="R13" i="30"/>
  <c r="L13" i="30"/>
  <c r="M12" i="30"/>
  <c r="R14" i="19"/>
  <c r="S13" i="19"/>
  <c r="V13" i="32"/>
  <c r="W12" i="32"/>
  <c r="O12" i="20"/>
  <c r="N13" i="20"/>
  <c r="AS13" i="13"/>
  <c r="AR14" i="13"/>
  <c r="K13" i="19"/>
  <c r="J14" i="19"/>
  <c r="AF11" i="19"/>
  <c r="AE12" i="19"/>
  <c r="S11" i="23"/>
  <c r="R12" i="23"/>
  <c r="AA13" i="19"/>
  <c r="Z14" i="19"/>
  <c r="G24" i="13"/>
  <c r="H23" i="13"/>
  <c r="M12" i="23"/>
  <c r="L13" i="23"/>
  <c r="G14" i="30"/>
  <c r="H13" i="30"/>
  <c r="K13" i="20"/>
  <c r="J14" i="20"/>
  <c r="AB12" i="32" l="1"/>
  <c r="AA13" i="32"/>
  <c r="F42" i="19"/>
  <c r="G41" i="19"/>
  <c r="G13" i="20"/>
  <c r="F14" i="20"/>
  <c r="O13" i="13"/>
  <c r="P12" i="13"/>
  <c r="V14" i="30"/>
  <c r="W13" i="30"/>
  <c r="V27" i="19"/>
  <c r="W26" i="19"/>
  <c r="G15" i="30"/>
  <c r="H14" i="30"/>
  <c r="K14" i="20"/>
  <c r="J15" i="20"/>
  <c r="S12" i="23"/>
  <c r="R13" i="23"/>
  <c r="O13" i="20"/>
  <c r="N14" i="20"/>
  <c r="H13" i="23"/>
  <c r="G14" i="23"/>
  <c r="AF12" i="13"/>
  <c r="AE13" i="13"/>
  <c r="AK12" i="13"/>
  <c r="AJ13" i="13"/>
  <c r="W13" i="32"/>
  <c r="V14" i="32"/>
  <c r="R15" i="19"/>
  <c r="S14" i="19"/>
  <c r="Q15" i="30"/>
  <c r="R14" i="30"/>
  <c r="G15" i="32"/>
  <c r="H14" i="32"/>
  <c r="AA14" i="19"/>
  <c r="Z15" i="19"/>
  <c r="AF12" i="19"/>
  <c r="AE13" i="19"/>
  <c r="K14" i="19"/>
  <c r="J15" i="19"/>
  <c r="AS14" i="13"/>
  <c r="AR15" i="13"/>
  <c r="X13" i="13"/>
  <c r="W14" i="13"/>
  <c r="O14" i="19"/>
  <c r="N15" i="19"/>
  <c r="T14" i="20"/>
  <c r="S15" i="20"/>
  <c r="AB13" i="30"/>
  <c r="AA14" i="30"/>
  <c r="G25" i="13"/>
  <c r="H24" i="13"/>
  <c r="L14" i="23"/>
  <c r="M13" i="23"/>
  <c r="M13" i="30"/>
  <c r="L14" i="30"/>
  <c r="L14" i="32"/>
  <c r="M13" i="32"/>
  <c r="AA14" i="32" l="1"/>
  <c r="AB13" i="32"/>
  <c r="V15" i="30"/>
  <c r="W14" i="30"/>
  <c r="P13" i="13"/>
  <c r="O14" i="13"/>
  <c r="G14" i="20"/>
  <c r="F15" i="20"/>
  <c r="V28" i="19"/>
  <c r="W27" i="19"/>
  <c r="F43" i="19"/>
  <c r="G42" i="19"/>
  <c r="M14" i="32"/>
  <c r="L15" i="32"/>
  <c r="L15" i="30"/>
  <c r="M14" i="30"/>
  <c r="T15" i="20"/>
  <c r="S16" i="20"/>
  <c r="X14" i="13"/>
  <c r="W15" i="13"/>
  <c r="AS15" i="13"/>
  <c r="AR16" i="13"/>
  <c r="K15" i="19"/>
  <c r="J16" i="19"/>
  <c r="AA15" i="19"/>
  <c r="Z16" i="19"/>
  <c r="W14" i="32"/>
  <c r="V15" i="32"/>
  <c r="AE14" i="13"/>
  <c r="AF13" i="13"/>
  <c r="H25" i="13"/>
  <c r="G26" i="13"/>
  <c r="S15" i="19"/>
  <c r="R16" i="19"/>
  <c r="M14" i="23"/>
  <c r="L15" i="23"/>
  <c r="AB14" i="30"/>
  <c r="AA15" i="30"/>
  <c r="O15" i="19"/>
  <c r="N16" i="19"/>
  <c r="AF13" i="19"/>
  <c r="AE14" i="19"/>
  <c r="AK13" i="13"/>
  <c r="AJ14" i="13"/>
  <c r="H14" i="23"/>
  <c r="G15" i="23"/>
  <c r="N15" i="20"/>
  <c r="O14" i="20"/>
  <c r="R14" i="23"/>
  <c r="S13" i="23"/>
  <c r="J16" i="20"/>
  <c r="K15" i="20"/>
  <c r="H15" i="32"/>
  <c r="G16" i="32"/>
  <c r="Q16" i="30"/>
  <c r="R15" i="30"/>
  <c r="G16" i="30"/>
  <c r="H15" i="30"/>
  <c r="AB14" i="32" l="1"/>
  <c r="AA15" i="32"/>
  <c r="V29" i="19"/>
  <c r="W28" i="19"/>
  <c r="G15" i="20"/>
  <c r="F16" i="20"/>
  <c r="P14" i="13"/>
  <c r="O15" i="13"/>
  <c r="F44" i="19"/>
  <c r="G43" i="19"/>
  <c r="V16" i="30"/>
  <c r="W15" i="30"/>
  <c r="H16" i="32"/>
  <c r="G17" i="32"/>
  <c r="H15" i="23"/>
  <c r="G16" i="23"/>
  <c r="AK14" i="13"/>
  <c r="AJ15" i="13"/>
  <c r="AF14" i="19"/>
  <c r="AE15" i="19"/>
  <c r="O16" i="19"/>
  <c r="N17" i="19"/>
  <c r="L16" i="23"/>
  <c r="M15" i="23"/>
  <c r="S16" i="19"/>
  <c r="R17" i="19"/>
  <c r="H26" i="13"/>
  <c r="G27" i="13"/>
  <c r="K16" i="19"/>
  <c r="J17" i="19"/>
  <c r="X15" i="13"/>
  <c r="W16" i="13"/>
  <c r="J17" i="20"/>
  <c r="K16" i="20"/>
  <c r="S14" i="23"/>
  <c r="R15" i="23"/>
  <c r="AF14" i="13"/>
  <c r="AE15" i="13"/>
  <c r="AA16" i="30"/>
  <c r="AB15" i="30"/>
  <c r="V16" i="32"/>
  <c r="W15" i="32"/>
  <c r="AA16" i="19"/>
  <c r="Z17" i="19"/>
  <c r="AR17" i="13"/>
  <c r="AS16" i="13"/>
  <c r="T16" i="20"/>
  <c r="S17" i="20"/>
  <c r="M15" i="32"/>
  <c r="L16" i="32"/>
  <c r="G17" i="30"/>
  <c r="H16" i="30"/>
  <c r="R16" i="30"/>
  <c r="Q17" i="30"/>
  <c r="N16" i="20"/>
  <c r="O15" i="20"/>
  <c r="M15" i="30"/>
  <c r="L16" i="30"/>
  <c r="AA16" i="32" l="1"/>
  <c r="AB15" i="32"/>
  <c r="F45" i="19"/>
  <c r="G44" i="19"/>
  <c r="P15" i="13"/>
  <c r="O16" i="13"/>
  <c r="G16" i="20"/>
  <c r="F17" i="20"/>
  <c r="V17" i="30"/>
  <c r="W16" i="30"/>
  <c r="V30" i="19"/>
  <c r="W29" i="19"/>
  <c r="L17" i="30"/>
  <c r="M16" i="30"/>
  <c r="T17" i="20"/>
  <c r="S18" i="20"/>
  <c r="AA17" i="19"/>
  <c r="Z18" i="19"/>
  <c r="S15" i="23"/>
  <c r="R16" i="23"/>
  <c r="X16" i="13"/>
  <c r="W17" i="13"/>
  <c r="S17" i="19"/>
  <c r="R18" i="19"/>
  <c r="O17" i="19"/>
  <c r="N18" i="19"/>
  <c r="AK15" i="13"/>
  <c r="AJ16" i="13"/>
  <c r="H17" i="30"/>
  <c r="G18" i="30"/>
  <c r="AB16" i="30"/>
  <c r="AA17" i="30"/>
  <c r="Q18" i="30"/>
  <c r="R17" i="30"/>
  <c r="L17" i="32"/>
  <c r="M16" i="32"/>
  <c r="AF15" i="13"/>
  <c r="AE16" i="13"/>
  <c r="K17" i="19"/>
  <c r="J18" i="19"/>
  <c r="G28" i="13"/>
  <c r="H27" i="13"/>
  <c r="AF15" i="19"/>
  <c r="AE16" i="19"/>
  <c r="H16" i="23"/>
  <c r="G17" i="23"/>
  <c r="G18" i="32"/>
  <c r="H17" i="32"/>
  <c r="O16" i="20"/>
  <c r="N17" i="20"/>
  <c r="AS17" i="13"/>
  <c r="AR18" i="13"/>
  <c r="V17" i="32"/>
  <c r="W16" i="32"/>
  <c r="K17" i="20"/>
  <c r="J18" i="20"/>
  <c r="M16" i="23"/>
  <c r="L17" i="23"/>
  <c r="AB16" i="32" l="1"/>
  <c r="AA17" i="32"/>
  <c r="W17" i="30"/>
  <c r="V18" i="30"/>
  <c r="F18" i="20"/>
  <c r="G17" i="20"/>
  <c r="P16" i="13"/>
  <c r="O17" i="13"/>
  <c r="V31" i="19"/>
  <c r="W30" i="19"/>
  <c r="F46" i="19"/>
  <c r="G45" i="19"/>
  <c r="L18" i="23"/>
  <c r="M17" i="23"/>
  <c r="AS18" i="13"/>
  <c r="AR19" i="13"/>
  <c r="O17" i="20"/>
  <c r="N18" i="20"/>
  <c r="G18" i="23"/>
  <c r="H17" i="23"/>
  <c r="AB17" i="30"/>
  <c r="AA18" i="30"/>
  <c r="G19" i="30"/>
  <c r="H18" i="30"/>
  <c r="AK16" i="13"/>
  <c r="AJ17" i="13"/>
  <c r="S18" i="19"/>
  <c r="R19" i="19"/>
  <c r="W18" i="13"/>
  <c r="X17" i="13"/>
  <c r="S16" i="23"/>
  <c r="R17" i="23"/>
  <c r="T18" i="20"/>
  <c r="S19" i="20"/>
  <c r="G19" i="32"/>
  <c r="H18" i="32"/>
  <c r="G29" i="13"/>
  <c r="H28" i="13"/>
  <c r="L18" i="32"/>
  <c r="M17" i="32"/>
  <c r="K18" i="20"/>
  <c r="J19" i="20"/>
  <c r="AF16" i="19"/>
  <c r="AE17" i="19"/>
  <c r="K18" i="19"/>
  <c r="J19" i="19"/>
  <c r="AF16" i="13"/>
  <c r="AE17" i="13"/>
  <c r="O18" i="19"/>
  <c r="N19" i="19"/>
  <c r="AA18" i="19"/>
  <c r="Z19" i="19"/>
  <c r="W17" i="32"/>
  <c r="V18" i="32"/>
  <c r="Q19" i="30"/>
  <c r="R18" i="30"/>
  <c r="L18" i="30"/>
  <c r="M17" i="30"/>
  <c r="AB17" i="32" l="1"/>
  <c r="AA18" i="32"/>
  <c r="V32" i="19"/>
  <c r="W31" i="19"/>
  <c r="P17" i="13"/>
  <c r="O18" i="13"/>
  <c r="G18" i="20"/>
  <c r="F19" i="20"/>
  <c r="V19" i="30"/>
  <c r="W18" i="30"/>
  <c r="F47" i="19"/>
  <c r="G46" i="19"/>
  <c r="K19" i="19"/>
  <c r="J20" i="19"/>
  <c r="T19" i="20"/>
  <c r="S20" i="20"/>
  <c r="R18" i="23"/>
  <c r="S17" i="23"/>
  <c r="S19" i="19"/>
  <c r="R20" i="19"/>
  <c r="AB18" i="30"/>
  <c r="AA19" i="30"/>
  <c r="N19" i="20"/>
  <c r="O18" i="20"/>
  <c r="M18" i="32"/>
  <c r="L19" i="32"/>
  <c r="H19" i="32"/>
  <c r="G20" i="32"/>
  <c r="M18" i="23"/>
  <c r="L19" i="23"/>
  <c r="O19" i="19"/>
  <c r="N20" i="19"/>
  <c r="AE18" i="13"/>
  <c r="AF17" i="13"/>
  <c r="AF17" i="19"/>
  <c r="AE18" i="19"/>
  <c r="J20" i="20"/>
  <c r="K19" i="20"/>
  <c r="AK17" i="13"/>
  <c r="AJ18" i="13"/>
  <c r="AS19" i="13"/>
  <c r="AR20" i="13"/>
  <c r="L19" i="30"/>
  <c r="M18" i="30"/>
  <c r="W18" i="32"/>
  <c r="V19" i="32"/>
  <c r="AA19" i="19"/>
  <c r="Z20" i="19"/>
  <c r="Q20" i="30"/>
  <c r="R19" i="30"/>
  <c r="G30" i="13"/>
  <c r="H29" i="13"/>
  <c r="W19" i="13"/>
  <c r="X18" i="13"/>
  <c r="G20" i="30"/>
  <c r="H19" i="30"/>
  <c r="H18" i="23"/>
  <c r="G19" i="23"/>
  <c r="AA19" i="32" l="1"/>
  <c r="AB18" i="32"/>
  <c r="V20" i="30"/>
  <c r="W19" i="30"/>
  <c r="G19" i="20"/>
  <c r="F20" i="20"/>
  <c r="O19" i="13"/>
  <c r="P18" i="13"/>
  <c r="F48" i="19"/>
  <c r="G47" i="19"/>
  <c r="V33" i="19"/>
  <c r="W32" i="19"/>
  <c r="G21" i="30"/>
  <c r="H20" i="30"/>
  <c r="V20" i="32"/>
  <c r="W19" i="32"/>
  <c r="AR21" i="13"/>
  <c r="AS20" i="13"/>
  <c r="O20" i="19"/>
  <c r="N21" i="19"/>
  <c r="AA20" i="30"/>
  <c r="AB19" i="30"/>
  <c r="S20" i="19"/>
  <c r="R21" i="19"/>
  <c r="T20" i="20"/>
  <c r="S21" i="20"/>
  <c r="G31" i="13"/>
  <c r="H30" i="13"/>
  <c r="R20" i="30"/>
  <c r="Q21" i="30"/>
  <c r="AF18" i="13"/>
  <c r="AE19" i="13"/>
  <c r="N20" i="20"/>
  <c r="O19" i="20"/>
  <c r="AA20" i="19"/>
  <c r="Z21" i="19"/>
  <c r="AK18" i="13"/>
  <c r="AJ19" i="13"/>
  <c r="AF18" i="19"/>
  <c r="AE19" i="19"/>
  <c r="L20" i="23"/>
  <c r="M19" i="23"/>
  <c r="H20" i="32"/>
  <c r="G21" i="32"/>
  <c r="M19" i="32"/>
  <c r="L20" i="32"/>
  <c r="K20" i="19"/>
  <c r="J21" i="19"/>
  <c r="H19" i="23"/>
  <c r="G20" i="23"/>
  <c r="X19" i="13"/>
  <c r="W20" i="13"/>
  <c r="M19" i="30"/>
  <c r="L20" i="30"/>
  <c r="J21" i="20"/>
  <c r="K20" i="20"/>
  <c r="S18" i="23"/>
  <c r="R19" i="23"/>
  <c r="AA20" i="32" l="1"/>
  <c r="AB19" i="32"/>
  <c r="F49" i="19"/>
  <c r="G48" i="19"/>
  <c r="P19" i="13"/>
  <c r="O20" i="13"/>
  <c r="F21" i="20"/>
  <c r="G20" i="20"/>
  <c r="V34" i="19"/>
  <c r="W33" i="19"/>
  <c r="W20" i="30"/>
  <c r="V21" i="30"/>
  <c r="X20" i="13"/>
  <c r="W21" i="13"/>
  <c r="H20" i="23"/>
  <c r="G21" i="23"/>
  <c r="K21" i="19"/>
  <c r="J22" i="19"/>
  <c r="G22" i="32"/>
  <c r="H21" i="32"/>
  <c r="AF19" i="19"/>
  <c r="AE20" i="19"/>
  <c r="AA21" i="19"/>
  <c r="Z22" i="19"/>
  <c r="AF19" i="13"/>
  <c r="AE20" i="13"/>
  <c r="T21" i="20"/>
  <c r="S22" i="20"/>
  <c r="K21" i="20"/>
  <c r="J22" i="20"/>
  <c r="O20" i="20"/>
  <c r="N21" i="20"/>
  <c r="G32" i="13"/>
  <c r="H31" i="13"/>
  <c r="AB20" i="30"/>
  <c r="AA21" i="30"/>
  <c r="AS21" i="13"/>
  <c r="AR22" i="13"/>
  <c r="H21" i="30"/>
  <c r="G22" i="30"/>
  <c r="S19" i="23"/>
  <c r="R20" i="23"/>
  <c r="L21" i="30"/>
  <c r="M20" i="30"/>
  <c r="L21" i="32"/>
  <c r="M20" i="32"/>
  <c r="AK19" i="13"/>
  <c r="AJ20" i="13"/>
  <c r="Q22" i="30"/>
  <c r="R21" i="30"/>
  <c r="S21" i="19"/>
  <c r="R22" i="19"/>
  <c r="O21" i="19"/>
  <c r="N22" i="19"/>
  <c r="M20" i="23"/>
  <c r="L21" i="23"/>
  <c r="V21" i="32"/>
  <c r="W20" i="32"/>
  <c r="AB20" i="32" l="1"/>
  <c r="AA21" i="32"/>
  <c r="V35" i="19"/>
  <c r="W34" i="19"/>
  <c r="G21" i="20"/>
  <c r="F22" i="20"/>
  <c r="O21" i="13"/>
  <c r="P20" i="13"/>
  <c r="W21" i="30"/>
  <c r="V22" i="30"/>
  <c r="F50" i="19"/>
  <c r="G49" i="19"/>
  <c r="L22" i="23"/>
  <c r="M21" i="23"/>
  <c r="G23" i="30"/>
  <c r="H22" i="30"/>
  <c r="T22" i="20"/>
  <c r="S23" i="20"/>
  <c r="AA22" i="19"/>
  <c r="Z23" i="19"/>
  <c r="AF20" i="19"/>
  <c r="AE21" i="19"/>
  <c r="Q23" i="30"/>
  <c r="R22" i="30"/>
  <c r="L22" i="32"/>
  <c r="M21" i="32"/>
  <c r="L22" i="30"/>
  <c r="M21" i="30"/>
  <c r="O22" i="19"/>
  <c r="N23" i="19"/>
  <c r="S22" i="19"/>
  <c r="R23" i="19"/>
  <c r="AK20" i="13"/>
  <c r="AJ21" i="13"/>
  <c r="S20" i="23"/>
  <c r="R21" i="23"/>
  <c r="AS22" i="13"/>
  <c r="AR23" i="13"/>
  <c r="AB21" i="30"/>
  <c r="AA22" i="30"/>
  <c r="O21" i="20"/>
  <c r="N22" i="20"/>
  <c r="K22" i="20"/>
  <c r="J23" i="20"/>
  <c r="AF20" i="13"/>
  <c r="AE21" i="13"/>
  <c r="K22" i="19"/>
  <c r="J23" i="19"/>
  <c r="H21" i="23"/>
  <c r="G22" i="23"/>
  <c r="W22" i="13"/>
  <c r="X21" i="13"/>
  <c r="V22" i="32"/>
  <c r="W21" i="32"/>
  <c r="G33" i="13"/>
  <c r="H32" i="13"/>
  <c r="G23" i="32"/>
  <c r="H22" i="32"/>
  <c r="AA22" i="32" l="1"/>
  <c r="AB21" i="32"/>
  <c r="V23" i="30"/>
  <c r="W22" i="30"/>
  <c r="P21" i="13"/>
  <c r="O22" i="13"/>
  <c r="G22" i="20"/>
  <c r="F23" i="20"/>
  <c r="F51" i="19"/>
  <c r="G50" i="19"/>
  <c r="V36" i="19"/>
  <c r="W35" i="19"/>
  <c r="G24" i="32"/>
  <c r="H23" i="32"/>
  <c r="H22" i="23"/>
  <c r="G23" i="23"/>
  <c r="N23" i="20"/>
  <c r="O22" i="20"/>
  <c r="AS23" i="13"/>
  <c r="AR24" i="13"/>
  <c r="AK21" i="13"/>
  <c r="AJ22" i="13"/>
  <c r="S23" i="19"/>
  <c r="R24" i="19"/>
  <c r="AF21" i="19"/>
  <c r="AE22" i="19"/>
  <c r="T23" i="20"/>
  <c r="S24" i="20"/>
  <c r="L23" i="30"/>
  <c r="M22" i="30"/>
  <c r="K23" i="19"/>
  <c r="J24" i="19"/>
  <c r="AE22" i="13"/>
  <c r="AF21" i="13"/>
  <c r="J24" i="20"/>
  <c r="K23" i="20"/>
  <c r="AB22" i="30"/>
  <c r="AA23" i="30"/>
  <c r="R22" i="23"/>
  <c r="S21" i="23"/>
  <c r="O23" i="19"/>
  <c r="N24" i="19"/>
  <c r="AA23" i="19"/>
  <c r="Z24" i="19"/>
  <c r="G34" i="13"/>
  <c r="H33" i="13"/>
  <c r="V23" i="32"/>
  <c r="W22" i="32"/>
  <c r="W23" i="13"/>
  <c r="X22" i="13"/>
  <c r="L23" i="32"/>
  <c r="M22" i="32"/>
  <c r="Q24" i="30"/>
  <c r="R23" i="30"/>
  <c r="G24" i="30"/>
  <c r="H23" i="30"/>
  <c r="M22" i="23"/>
  <c r="L23" i="23"/>
  <c r="AB22" i="32" l="1"/>
  <c r="AA23" i="32"/>
  <c r="V24" i="30"/>
  <c r="W23" i="30"/>
  <c r="F52" i="19"/>
  <c r="G51" i="19"/>
  <c r="V37" i="19"/>
  <c r="W36" i="19"/>
  <c r="G23" i="20"/>
  <c r="F24" i="20"/>
  <c r="O23" i="13"/>
  <c r="P22" i="13"/>
  <c r="O24" i="19"/>
  <c r="N25" i="19"/>
  <c r="K24" i="19"/>
  <c r="J25" i="19"/>
  <c r="T24" i="20"/>
  <c r="S25" i="20"/>
  <c r="S24" i="19"/>
  <c r="R25" i="19"/>
  <c r="AR25" i="13"/>
  <c r="AS24" i="13"/>
  <c r="L24" i="23"/>
  <c r="M23" i="23"/>
  <c r="G25" i="30"/>
  <c r="H24" i="30"/>
  <c r="L24" i="32"/>
  <c r="M23" i="32"/>
  <c r="X23" i="13"/>
  <c r="W24" i="13"/>
  <c r="W23" i="32"/>
  <c r="V24" i="32"/>
  <c r="G35" i="13"/>
  <c r="H34" i="13"/>
  <c r="S22" i="23"/>
  <c r="R23" i="23"/>
  <c r="J25" i="20"/>
  <c r="K24" i="20"/>
  <c r="AA24" i="19"/>
  <c r="Z25" i="19"/>
  <c r="AA24" i="30"/>
  <c r="AB23" i="30"/>
  <c r="AF22" i="19"/>
  <c r="AE23" i="19"/>
  <c r="AK22" i="13"/>
  <c r="AJ23" i="13"/>
  <c r="H23" i="23"/>
  <c r="G24" i="23"/>
  <c r="Q25" i="30"/>
  <c r="R24" i="30"/>
  <c r="AF22" i="13"/>
  <c r="AE23" i="13"/>
  <c r="M23" i="30"/>
  <c r="L24" i="30"/>
  <c r="N24" i="20"/>
  <c r="O23" i="20"/>
  <c r="G25" i="32"/>
  <c r="H24" i="32"/>
  <c r="AB23" i="32" l="1"/>
  <c r="AA24" i="32"/>
  <c r="F25" i="20"/>
  <c r="G24" i="20"/>
  <c r="V38" i="19"/>
  <c r="W37" i="19"/>
  <c r="F53" i="19"/>
  <c r="G52" i="19"/>
  <c r="P23" i="13"/>
  <c r="O24" i="13"/>
  <c r="V25" i="30"/>
  <c r="W24" i="30"/>
  <c r="AF23" i="13"/>
  <c r="AE24" i="13"/>
  <c r="H24" i="23"/>
  <c r="G25" i="23"/>
  <c r="S23" i="23"/>
  <c r="R24" i="23"/>
  <c r="X24" i="13"/>
  <c r="W25" i="13"/>
  <c r="S25" i="19"/>
  <c r="R26" i="19"/>
  <c r="T25" i="20"/>
  <c r="S26" i="20"/>
  <c r="O25" i="19"/>
  <c r="N26" i="19"/>
  <c r="O24" i="20"/>
  <c r="N25" i="20"/>
  <c r="Q26" i="30"/>
  <c r="R25" i="30"/>
  <c r="M24" i="32"/>
  <c r="L25" i="32"/>
  <c r="L25" i="30"/>
  <c r="M24" i="30"/>
  <c r="AK23" i="13"/>
  <c r="AJ24" i="13"/>
  <c r="AF23" i="19"/>
  <c r="AE24" i="19"/>
  <c r="AA25" i="19"/>
  <c r="Z26" i="19"/>
  <c r="W24" i="32"/>
  <c r="V25" i="32"/>
  <c r="K25" i="19"/>
  <c r="J26" i="19"/>
  <c r="H25" i="32"/>
  <c r="G26" i="32"/>
  <c r="AB24" i="30"/>
  <c r="AA25" i="30"/>
  <c r="K25" i="20"/>
  <c r="J26" i="20"/>
  <c r="G36" i="13"/>
  <c r="H35" i="13"/>
  <c r="G26" i="30"/>
  <c r="H25" i="30"/>
  <c r="M24" i="23"/>
  <c r="L25" i="23"/>
  <c r="AS25" i="13"/>
  <c r="AR26" i="13"/>
  <c r="AA25" i="32" l="1"/>
  <c r="AB24" i="32"/>
  <c r="P24" i="13"/>
  <c r="O25" i="13"/>
  <c r="F54" i="19"/>
  <c r="G53" i="19"/>
  <c r="V39" i="19"/>
  <c r="W38" i="19"/>
  <c r="V26" i="30"/>
  <c r="W25" i="30"/>
  <c r="G25" i="20"/>
  <c r="F26" i="20"/>
  <c r="AS26" i="13"/>
  <c r="AR27" i="13"/>
  <c r="L26" i="23"/>
  <c r="M25" i="23"/>
  <c r="AB25" i="30"/>
  <c r="AA26" i="30"/>
  <c r="AF24" i="19"/>
  <c r="AE25" i="19"/>
  <c r="O25" i="20"/>
  <c r="N26" i="20"/>
  <c r="S24" i="23"/>
  <c r="R25" i="23"/>
  <c r="AF24" i="13"/>
  <c r="AE25" i="13"/>
  <c r="K26" i="20"/>
  <c r="J27" i="20"/>
  <c r="H26" i="32"/>
  <c r="G27" i="32"/>
  <c r="K26" i="19"/>
  <c r="J27" i="19"/>
  <c r="V26" i="32"/>
  <c r="W25" i="32"/>
  <c r="AA26" i="19"/>
  <c r="Z27" i="19"/>
  <c r="AK24" i="13"/>
  <c r="AJ25" i="13"/>
  <c r="M25" i="32"/>
  <c r="L26" i="32"/>
  <c r="O26" i="19"/>
  <c r="N27" i="19"/>
  <c r="T26" i="20"/>
  <c r="S27" i="20"/>
  <c r="R27" i="19"/>
  <c r="S26" i="19"/>
  <c r="X25" i="13"/>
  <c r="W26" i="13"/>
  <c r="G26" i="23"/>
  <c r="H25" i="23"/>
  <c r="G27" i="30"/>
  <c r="H26" i="30"/>
  <c r="G37" i="13"/>
  <c r="H36" i="13"/>
  <c r="L26" i="30"/>
  <c r="M25" i="30"/>
  <c r="Q27" i="30"/>
  <c r="R26" i="30"/>
  <c r="AB25" i="32" l="1"/>
  <c r="AA26" i="32"/>
  <c r="V27" i="30"/>
  <c r="W26" i="30"/>
  <c r="V40" i="19"/>
  <c r="W39" i="19"/>
  <c r="F55" i="19"/>
  <c r="G54" i="19"/>
  <c r="G26" i="20"/>
  <c r="F27" i="20"/>
  <c r="O26" i="13"/>
  <c r="P25" i="13"/>
  <c r="W27" i="13"/>
  <c r="X26" i="13"/>
  <c r="T27" i="20"/>
  <c r="S28" i="20"/>
  <c r="AK25" i="13"/>
  <c r="AJ26" i="13"/>
  <c r="K27" i="19"/>
  <c r="J28" i="19"/>
  <c r="R26" i="23"/>
  <c r="S25" i="23"/>
  <c r="N27" i="20"/>
  <c r="O26" i="20"/>
  <c r="AB26" i="30"/>
  <c r="AA27" i="30"/>
  <c r="H37" i="13"/>
  <c r="G38" i="13"/>
  <c r="H26" i="23"/>
  <c r="G27" i="23"/>
  <c r="V27" i="32"/>
  <c r="W26" i="32"/>
  <c r="M26" i="23"/>
  <c r="L27" i="23"/>
  <c r="O27" i="19"/>
  <c r="N28" i="19"/>
  <c r="L27" i="32"/>
  <c r="M26" i="32"/>
  <c r="AA27" i="19"/>
  <c r="Z28" i="19"/>
  <c r="G28" i="32"/>
  <c r="H27" i="32"/>
  <c r="J28" i="20"/>
  <c r="K27" i="20"/>
  <c r="AF25" i="13"/>
  <c r="AE26" i="13"/>
  <c r="AF25" i="19"/>
  <c r="AE26" i="19"/>
  <c r="AS27" i="13"/>
  <c r="AR28" i="13"/>
  <c r="Q28" i="30"/>
  <c r="R27" i="30"/>
  <c r="L27" i="30"/>
  <c r="M26" i="30"/>
  <c r="G28" i="30"/>
  <c r="H27" i="30"/>
  <c r="S27" i="19"/>
  <c r="R28" i="19"/>
  <c r="AA27" i="32" l="1"/>
  <c r="AB26" i="32"/>
  <c r="G27" i="20"/>
  <c r="F28" i="20"/>
  <c r="F56" i="19"/>
  <c r="G55" i="19"/>
  <c r="V41" i="19"/>
  <c r="W40" i="19"/>
  <c r="P26" i="13"/>
  <c r="O27" i="13"/>
  <c r="V28" i="30"/>
  <c r="W27" i="30"/>
  <c r="AS28" i="13"/>
  <c r="AR29" i="13"/>
  <c r="AE27" i="13"/>
  <c r="AF26" i="13"/>
  <c r="AA28" i="19"/>
  <c r="Z29" i="19"/>
  <c r="O28" i="19"/>
  <c r="N29" i="19"/>
  <c r="H27" i="23"/>
  <c r="G28" i="23"/>
  <c r="G39" i="13"/>
  <c r="H38" i="13"/>
  <c r="AK26" i="13"/>
  <c r="AJ27" i="13"/>
  <c r="G29" i="30"/>
  <c r="H28" i="30"/>
  <c r="Q29" i="30"/>
  <c r="R28" i="30"/>
  <c r="G29" i="32"/>
  <c r="H28" i="32"/>
  <c r="W27" i="32"/>
  <c r="V28" i="32"/>
  <c r="S26" i="23"/>
  <c r="R27" i="23"/>
  <c r="X27" i="13"/>
  <c r="W28" i="13"/>
  <c r="S28" i="19"/>
  <c r="R29" i="19"/>
  <c r="AF26" i="19"/>
  <c r="AE27" i="19"/>
  <c r="L28" i="23"/>
  <c r="M27" i="23"/>
  <c r="AA28" i="30"/>
  <c r="AB27" i="30"/>
  <c r="K28" i="19"/>
  <c r="J29" i="19"/>
  <c r="T28" i="20"/>
  <c r="S29" i="20"/>
  <c r="L28" i="30"/>
  <c r="M27" i="30"/>
  <c r="J29" i="20"/>
  <c r="K28" i="20"/>
  <c r="L28" i="32"/>
  <c r="M27" i="32"/>
  <c r="N28" i="20"/>
  <c r="O27" i="20"/>
  <c r="AB27" i="32" l="1"/>
  <c r="AA28" i="32"/>
  <c r="P27" i="13"/>
  <c r="O28" i="13"/>
  <c r="V42" i="19"/>
  <c r="W41" i="19"/>
  <c r="F57" i="19"/>
  <c r="G56" i="19"/>
  <c r="G28" i="20"/>
  <c r="F29" i="20"/>
  <c r="V29" i="30"/>
  <c r="W28" i="30"/>
  <c r="T29" i="20"/>
  <c r="S30" i="20"/>
  <c r="AF27" i="19"/>
  <c r="AE28" i="19"/>
  <c r="X28" i="13"/>
  <c r="W29" i="13"/>
  <c r="W28" i="32"/>
  <c r="V29" i="32"/>
  <c r="AK27" i="13"/>
  <c r="AJ28" i="13"/>
  <c r="O29" i="19"/>
  <c r="N30" i="19"/>
  <c r="AR30" i="13"/>
  <c r="AS29" i="13"/>
  <c r="M28" i="32"/>
  <c r="L29" i="32"/>
  <c r="L29" i="30"/>
  <c r="M28" i="30"/>
  <c r="Q30" i="30"/>
  <c r="R29" i="30"/>
  <c r="G30" i="30"/>
  <c r="H29" i="30"/>
  <c r="G40" i="13"/>
  <c r="H39" i="13"/>
  <c r="K29" i="19"/>
  <c r="J30" i="19"/>
  <c r="S29" i="19"/>
  <c r="R30" i="19"/>
  <c r="S27" i="23"/>
  <c r="R28" i="23"/>
  <c r="H28" i="23"/>
  <c r="G29" i="23"/>
  <c r="AA29" i="19"/>
  <c r="Z30" i="19"/>
  <c r="O28" i="20"/>
  <c r="N29" i="20"/>
  <c r="K29" i="20"/>
  <c r="J30" i="20"/>
  <c r="AB28" i="30"/>
  <c r="AA29" i="30"/>
  <c r="M28" i="23"/>
  <c r="L29" i="23"/>
  <c r="H29" i="32"/>
  <c r="G30" i="32"/>
  <c r="AF27" i="13"/>
  <c r="AE28" i="13"/>
  <c r="AB28" i="32" l="1"/>
  <c r="AA29" i="32"/>
  <c r="F30" i="20"/>
  <c r="G29" i="20"/>
  <c r="F58" i="19"/>
  <c r="G57" i="19"/>
  <c r="V43" i="19"/>
  <c r="W42" i="19"/>
  <c r="P28" i="13"/>
  <c r="O29" i="13"/>
  <c r="V30" i="30"/>
  <c r="W29" i="30"/>
  <c r="AF28" i="13"/>
  <c r="AE29" i="13"/>
  <c r="L30" i="23"/>
  <c r="M29" i="23"/>
  <c r="AB29" i="30"/>
  <c r="AA30" i="30"/>
  <c r="K30" i="20"/>
  <c r="J31" i="20"/>
  <c r="O29" i="20"/>
  <c r="N30" i="20"/>
  <c r="AA30" i="19"/>
  <c r="Z31" i="19"/>
  <c r="H29" i="23"/>
  <c r="G30" i="23"/>
  <c r="S30" i="19"/>
  <c r="R31" i="19"/>
  <c r="AK28" i="13"/>
  <c r="AJ29" i="13"/>
  <c r="V30" i="32"/>
  <c r="W29" i="32"/>
  <c r="AF28" i="19"/>
  <c r="AE29" i="19"/>
  <c r="T30" i="20"/>
  <c r="S31" i="20"/>
  <c r="H30" i="32"/>
  <c r="G31" i="32"/>
  <c r="G41" i="13"/>
  <c r="H40" i="13"/>
  <c r="Q31" i="30"/>
  <c r="R30" i="30"/>
  <c r="L30" i="30"/>
  <c r="M29" i="30"/>
  <c r="S28" i="23"/>
  <c r="R29" i="23"/>
  <c r="K30" i="19"/>
  <c r="J31" i="19"/>
  <c r="M29" i="32"/>
  <c r="L30" i="32"/>
  <c r="O30" i="19"/>
  <c r="N31" i="19"/>
  <c r="W30" i="13"/>
  <c r="X29" i="13"/>
  <c r="G31" i="30"/>
  <c r="H30" i="30"/>
  <c r="AS30" i="13"/>
  <c r="AR31" i="13"/>
  <c r="AB29" i="32" l="1"/>
  <c r="AA30" i="32"/>
  <c r="P29" i="13"/>
  <c r="O30" i="13"/>
  <c r="V44" i="19"/>
  <c r="W43" i="19"/>
  <c r="F59" i="19"/>
  <c r="G58" i="19"/>
  <c r="W30" i="30"/>
  <c r="V31" i="30"/>
  <c r="G30" i="20"/>
  <c r="F31" i="20"/>
  <c r="AS31" i="13"/>
  <c r="AR32" i="13"/>
  <c r="K31" i="19"/>
  <c r="J32" i="19"/>
  <c r="W31" i="13"/>
  <c r="X30" i="13"/>
  <c r="M30" i="30"/>
  <c r="L31" i="30"/>
  <c r="G42" i="13"/>
  <c r="H41" i="13"/>
  <c r="AF29" i="19"/>
  <c r="AE30" i="19"/>
  <c r="AK29" i="13"/>
  <c r="AJ30" i="13"/>
  <c r="S31" i="19"/>
  <c r="R32" i="19"/>
  <c r="H30" i="23"/>
  <c r="G31" i="23"/>
  <c r="AA31" i="30"/>
  <c r="AB30" i="30"/>
  <c r="O31" i="19"/>
  <c r="N32" i="19"/>
  <c r="T31" i="20"/>
  <c r="S32" i="20"/>
  <c r="G32" i="30"/>
  <c r="H31" i="30"/>
  <c r="Q32" i="30"/>
  <c r="R31" i="30"/>
  <c r="AA31" i="19"/>
  <c r="Z32" i="19"/>
  <c r="N31" i="20"/>
  <c r="O30" i="20"/>
  <c r="J32" i="20"/>
  <c r="K31" i="20"/>
  <c r="AF29" i="13"/>
  <c r="AE30" i="13"/>
  <c r="L31" i="32"/>
  <c r="M30" i="32"/>
  <c r="R30" i="23"/>
  <c r="S29" i="23"/>
  <c r="G32" i="32"/>
  <c r="H31" i="32"/>
  <c r="V31" i="32"/>
  <c r="W30" i="32"/>
  <c r="M30" i="23"/>
  <c r="L31" i="23"/>
  <c r="AA31" i="32" l="1"/>
  <c r="AB30" i="32"/>
  <c r="V32" i="30"/>
  <c r="W31" i="30"/>
  <c r="F60" i="19"/>
  <c r="G59" i="19"/>
  <c r="V45" i="19"/>
  <c r="W44" i="19"/>
  <c r="G31" i="20"/>
  <c r="F32" i="20"/>
  <c r="O31" i="13"/>
  <c r="P30" i="13"/>
  <c r="G33" i="32"/>
  <c r="H32" i="32"/>
  <c r="N32" i="20"/>
  <c r="O31" i="20"/>
  <c r="H31" i="23"/>
  <c r="G32" i="23"/>
  <c r="AK30" i="13"/>
  <c r="AJ31" i="13"/>
  <c r="K32" i="19"/>
  <c r="J33" i="19"/>
  <c r="AS32" i="13"/>
  <c r="AR33" i="13"/>
  <c r="S30" i="23"/>
  <c r="R31" i="23"/>
  <c r="L32" i="23"/>
  <c r="M31" i="23"/>
  <c r="AA32" i="19"/>
  <c r="Z33" i="19"/>
  <c r="T32" i="20"/>
  <c r="S33" i="20"/>
  <c r="X31" i="13"/>
  <c r="W32" i="13"/>
  <c r="W31" i="32"/>
  <c r="V32" i="32"/>
  <c r="L32" i="32"/>
  <c r="M31" i="32"/>
  <c r="J33" i="20"/>
  <c r="K32" i="20"/>
  <c r="Q33" i="30"/>
  <c r="R32" i="30"/>
  <c r="G33" i="30"/>
  <c r="H32" i="30"/>
  <c r="O32" i="19"/>
  <c r="N33" i="19"/>
  <c r="S32" i="19"/>
  <c r="R33" i="19"/>
  <c r="AF30" i="19"/>
  <c r="AE31" i="19"/>
  <c r="L32" i="30"/>
  <c r="M31" i="30"/>
  <c r="AE31" i="13"/>
  <c r="AF30" i="13"/>
  <c r="AA32" i="30"/>
  <c r="AB31" i="30"/>
  <c r="G43" i="13"/>
  <c r="H42" i="13"/>
  <c r="AB31" i="32" l="1"/>
  <c r="AA32" i="32"/>
  <c r="F33" i="20"/>
  <c r="G32" i="20"/>
  <c r="V46" i="19"/>
  <c r="W45" i="19"/>
  <c r="F61" i="19"/>
  <c r="G60" i="19"/>
  <c r="O32" i="13"/>
  <c r="P31" i="13"/>
  <c r="V33" i="30"/>
  <c r="W32" i="30"/>
  <c r="AB32" i="30"/>
  <c r="AA33" i="30"/>
  <c r="S33" i="19"/>
  <c r="R34" i="19"/>
  <c r="W32" i="32"/>
  <c r="V33" i="32"/>
  <c r="X32" i="13"/>
  <c r="W33" i="13"/>
  <c r="AA33" i="19"/>
  <c r="Z34" i="19"/>
  <c r="S31" i="23"/>
  <c r="R32" i="23"/>
  <c r="K33" i="19"/>
  <c r="J34" i="19"/>
  <c r="H32" i="23"/>
  <c r="G33" i="23"/>
  <c r="AF31" i="13"/>
  <c r="AE32" i="13"/>
  <c r="L33" i="30"/>
  <c r="M32" i="30"/>
  <c r="K33" i="20"/>
  <c r="J34" i="20"/>
  <c r="O32" i="20"/>
  <c r="N33" i="20"/>
  <c r="AF31" i="19"/>
  <c r="AE32" i="19"/>
  <c r="O33" i="19"/>
  <c r="N34" i="19"/>
  <c r="T33" i="20"/>
  <c r="S34" i="20"/>
  <c r="AR34" i="13"/>
  <c r="AS33" i="13"/>
  <c r="AK31" i="13"/>
  <c r="AJ32" i="13"/>
  <c r="G44" i="13"/>
  <c r="H43" i="13"/>
  <c r="H33" i="30"/>
  <c r="G34" i="30"/>
  <c r="Q34" i="30"/>
  <c r="R33" i="30"/>
  <c r="M32" i="32"/>
  <c r="L33" i="32"/>
  <c r="M32" i="23"/>
  <c r="L33" i="23"/>
  <c r="H33" i="32"/>
  <c r="G34" i="32"/>
  <c r="AB32" i="32" l="1"/>
  <c r="AA33" i="32"/>
  <c r="F62" i="19"/>
  <c r="G61" i="19"/>
  <c r="P32" i="13"/>
  <c r="O33" i="13"/>
  <c r="V47" i="19"/>
  <c r="W46" i="19"/>
  <c r="V34" i="30"/>
  <c r="W33" i="30"/>
  <c r="F34" i="20"/>
  <c r="G33" i="20"/>
  <c r="H34" i="32"/>
  <c r="G35" i="32"/>
  <c r="L34" i="23"/>
  <c r="M33" i="23"/>
  <c r="M33" i="32"/>
  <c r="L34" i="32"/>
  <c r="G35" i="30"/>
  <c r="H34" i="30"/>
  <c r="AK32" i="13"/>
  <c r="AJ33" i="13"/>
  <c r="AF32" i="19"/>
  <c r="AE33" i="19"/>
  <c r="AF32" i="13"/>
  <c r="AE33" i="13"/>
  <c r="G34" i="23"/>
  <c r="H33" i="23"/>
  <c r="K34" i="19"/>
  <c r="J35" i="19"/>
  <c r="S32" i="23"/>
  <c r="R33" i="23"/>
  <c r="W34" i="13"/>
  <c r="X33" i="13"/>
  <c r="AS34" i="13"/>
  <c r="AR35" i="13"/>
  <c r="T34" i="20"/>
  <c r="S35" i="20"/>
  <c r="O34" i="19"/>
  <c r="N35" i="19"/>
  <c r="O33" i="20"/>
  <c r="N34" i="20"/>
  <c r="K34" i="20"/>
  <c r="J35" i="20"/>
  <c r="AA34" i="19"/>
  <c r="Z35" i="19"/>
  <c r="V34" i="32"/>
  <c r="W33" i="32"/>
  <c r="S34" i="19"/>
  <c r="R35" i="19"/>
  <c r="AB33" i="30"/>
  <c r="AA34" i="30"/>
  <c r="Q35" i="30"/>
  <c r="R34" i="30"/>
  <c r="G45" i="13"/>
  <c r="H44" i="13"/>
  <c r="L34" i="30"/>
  <c r="M33" i="30"/>
  <c r="AB33" i="32" l="1"/>
  <c r="AA34" i="32"/>
  <c r="V35" i="30"/>
  <c r="W34" i="30"/>
  <c r="V48" i="19"/>
  <c r="W47" i="19"/>
  <c r="P33" i="13"/>
  <c r="O34" i="13"/>
  <c r="G34" i="20"/>
  <c r="F35" i="20"/>
  <c r="F63" i="19"/>
  <c r="G62" i="19"/>
  <c r="Q36" i="30"/>
  <c r="R35" i="30"/>
  <c r="AB34" i="30"/>
  <c r="AA35" i="30"/>
  <c r="S35" i="19"/>
  <c r="R36" i="19"/>
  <c r="J36" i="20"/>
  <c r="K35" i="20"/>
  <c r="N35" i="20"/>
  <c r="O34" i="20"/>
  <c r="O35" i="19"/>
  <c r="N36" i="19"/>
  <c r="K35" i="19"/>
  <c r="J36" i="19"/>
  <c r="AF33" i="13"/>
  <c r="AE34" i="13"/>
  <c r="AK33" i="13"/>
  <c r="AJ34" i="13"/>
  <c r="G36" i="30"/>
  <c r="H35" i="30"/>
  <c r="M34" i="23"/>
  <c r="L35" i="23"/>
  <c r="AA35" i="19"/>
  <c r="Z36" i="19"/>
  <c r="T35" i="20"/>
  <c r="S36" i="20"/>
  <c r="AS35" i="13"/>
  <c r="AR36" i="13"/>
  <c r="R34" i="23"/>
  <c r="S33" i="23"/>
  <c r="AF33" i="19"/>
  <c r="AE34" i="19"/>
  <c r="L35" i="32"/>
  <c r="M34" i="32"/>
  <c r="G36" i="32"/>
  <c r="H35" i="32"/>
  <c r="L35" i="30"/>
  <c r="M34" i="30"/>
  <c r="G46" i="13"/>
  <c r="H45" i="13"/>
  <c r="V35" i="32"/>
  <c r="W34" i="32"/>
  <c r="W35" i="13"/>
  <c r="X34" i="13"/>
  <c r="H34" i="23"/>
  <c r="G35" i="23"/>
  <c r="AB34" i="32" l="1"/>
  <c r="AA35" i="32"/>
  <c r="P34" i="13"/>
  <c r="O35" i="13"/>
  <c r="G35" i="20"/>
  <c r="F36" i="20"/>
  <c r="V49" i="19"/>
  <c r="W48" i="19"/>
  <c r="F64" i="19"/>
  <c r="G63" i="19"/>
  <c r="V36" i="30"/>
  <c r="W35" i="30"/>
  <c r="L36" i="23"/>
  <c r="M35" i="23"/>
  <c r="K36" i="19"/>
  <c r="J37" i="19"/>
  <c r="AA36" i="30"/>
  <c r="AB35" i="30"/>
  <c r="X35" i="13"/>
  <c r="W36" i="13"/>
  <c r="W35" i="32"/>
  <c r="V36" i="32"/>
  <c r="L36" i="32"/>
  <c r="M35" i="32"/>
  <c r="N36" i="20"/>
  <c r="O35" i="20"/>
  <c r="H35" i="23"/>
  <c r="G36" i="23"/>
  <c r="AF34" i="19"/>
  <c r="AE35" i="19"/>
  <c r="AS36" i="13"/>
  <c r="AR37" i="13"/>
  <c r="T36" i="20"/>
  <c r="S37" i="20"/>
  <c r="AA36" i="19"/>
  <c r="Z37" i="19"/>
  <c r="AK34" i="13"/>
  <c r="AJ35" i="13"/>
  <c r="AE35" i="13"/>
  <c r="AF34" i="13"/>
  <c r="O36" i="19"/>
  <c r="N37" i="19"/>
  <c r="S36" i="19"/>
  <c r="R37" i="19"/>
  <c r="G47" i="13"/>
  <c r="H46" i="13"/>
  <c r="L36" i="30"/>
  <c r="M35" i="30"/>
  <c r="G37" i="32"/>
  <c r="H36" i="32"/>
  <c r="S34" i="23"/>
  <c r="R35" i="23"/>
  <c r="G37" i="30"/>
  <c r="H36" i="30"/>
  <c r="J37" i="20"/>
  <c r="K36" i="20"/>
  <c r="Q37" i="30"/>
  <c r="R36" i="30"/>
  <c r="AB35" i="32" l="1"/>
  <c r="AA36" i="32"/>
  <c r="F65" i="19"/>
  <c r="G64" i="19"/>
  <c r="V50" i="19"/>
  <c r="W49" i="19"/>
  <c r="F37" i="20"/>
  <c r="G36" i="20"/>
  <c r="P35" i="13"/>
  <c r="O36" i="13"/>
  <c r="V37" i="30"/>
  <c r="W36" i="30"/>
  <c r="O37" i="19"/>
  <c r="N38" i="19"/>
  <c r="AK35" i="13"/>
  <c r="AJ36" i="13"/>
  <c r="AA37" i="19"/>
  <c r="Z38" i="19"/>
  <c r="AR38" i="13"/>
  <c r="AS37" i="13"/>
  <c r="K37" i="19"/>
  <c r="J38" i="19"/>
  <c r="S35" i="23"/>
  <c r="R36" i="23"/>
  <c r="Q38" i="30"/>
  <c r="R37" i="30"/>
  <c r="L37" i="30"/>
  <c r="M36" i="30"/>
  <c r="O36" i="20"/>
  <c r="N37" i="20"/>
  <c r="M36" i="32"/>
  <c r="L37" i="32"/>
  <c r="M36" i="23"/>
  <c r="L37" i="23"/>
  <c r="S37" i="19"/>
  <c r="R38" i="19"/>
  <c r="T37" i="20"/>
  <c r="S38" i="20"/>
  <c r="AF35" i="19"/>
  <c r="AE36" i="19"/>
  <c r="H36" i="23"/>
  <c r="G37" i="23"/>
  <c r="W36" i="32"/>
  <c r="V37" i="32"/>
  <c r="X36" i="13"/>
  <c r="W37" i="13"/>
  <c r="K37" i="20"/>
  <c r="J38" i="20"/>
  <c r="G38" i="30"/>
  <c r="H37" i="30"/>
  <c r="H37" i="32"/>
  <c r="G38" i="32"/>
  <c r="G48" i="13"/>
  <c r="H47" i="13"/>
  <c r="AF35" i="13"/>
  <c r="AE36" i="13"/>
  <c r="AB36" i="30"/>
  <c r="AA37" i="30"/>
  <c r="AB36" i="32" l="1"/>
  <c r="AA37" i="32"/>
  <c r="P36" i="13"/>
  <c r="O37" i="13"/>
  <c r="V51" i="19"/>
  <c r="W50" i="19"/>
  <c r="F38" i="20"/>
  <c r="G37" i="20"/>
  <c r="V38" i="30"/>
  <c r="W37" i="30"/>
  <c r="F66" i="19"/>
  <c r="G65" i="19"/>
  <c r="H38" i="32"/>
  <c r="G39" i="32"/>
  <c r="X37" i="13"/>
  <c r="W38" i="13"/>
  <c r="H37" i="23"/>
  <c r="G38" i="23"/>
  <c r="T38" i="20"/>
  <c r="S39" i="20"/>
  <c r="S38" i="19"/>
  <c r="R39" i="19"/>
  <c r="L38" i="23"/>
  <c r="M37" i="23"/>
  <c r="O37" i="20"/>
  <c r="N38" i="20"/>
  <c r="K38" i="19"/>
  <c r="J39" i="19"/>
  <c r="L38" i="30"/>
  <c r="M37" i="30"/>
  <c r="Q39" i="30"/>
  <c r="R38" i="30"/>
  <c r="AS38" i="13"/>
  <c r="AR39" i="13"/>
  <c r="AB37" i="30"/>
  <c r="AA38" i="30"/>
  <c r="AF36" i="13"/>
  <c r="AE37" i="13"/>
  <c r="K38" i="20"/>
  <c r="J39" i="20"/>
  <c r="V38" i="32"/>
  <c r="W37" i="32"/>
  <c r="AF36" i="19"/>
  <c r="AE37" i="19"/>
  <c r="M37" i="32"/>
  <c r="L38" i="32"/>
  <c r="S36" i="23"/>
  <c r="R37" i="23"/>
  <c r="AA38" i="19"/>
  <c r="Z39" i="19"/>
  <c r="AK36" i="13"/>
  <c r="AJ37" i="13"/>
  <c r="O38" i="19"/>
  <c r="N39" i="19"/>
  <c r="G49" i="13"/>
  <c r="H48" i="13"/>
  <c r="G39" i="30"/>
  <c r="H38" i="30"/>
  <c r="AA38" i="32" l="1"/>
  <c r="AB37" i="32"/>
  <c r="V39" i="30"/>
  <c r="W38" i="30"/>
  <c r="V52" i="19"/>
  <c r="W51" i="19"/>
  <c r="G38" i="20"/>
  <c r="F39" i="20"/>
  <c r="O38" i="13"/>
  <c r="P37" i="13"/>
  <c r="F67" i="19"/>
  <c r="G66" i="19"/>
  <c r="O39" i="19"/>
  <c r="N40" i="19"/>
  <c r="AA39" i="19"/>
  <c r="Z40" i="19"/>
  <c r="L39" i="32"/>
  <c r="M38" i="32"/>
  <c r="AF37" i="19"/>
  <c r="AE38" i="19"/>
  <c r="AF37" i="13"/>
  <c r="AE38" i="13"/>
  <c r="AB38" i="30"/>
  <c r="AA39" i="30"/>
  <c r="K39" i="19"/>
  <c r="J40" i="19"/>
  <c r="N39" i="20"/>
  <c r="O38" i="20"/>
  <c r="T39" i="20"/>
  <c r="S40" i="20"/>
  <c r="W39" i="13"/>
  <c r="X38" i="13"/>
  <c r="G40" i="30"/>
  <c r="H39" i="30"/>
  <c r="V39" i="32"/>
  <c r="W38" i="32"/>
  <c r="Q40" i="30"/>
  <c r="R39" i="30"/>
  <c r="L39" i="30"/>
  <c r="M38" i="30"/>
  <c r="M38" i="23"/>
  <c r="L39" i="23"/>
  <c r="AK37" i="13"/>
  <c r="AJ38" i="13"/>
  <c r="R38" i="23"/>
  <c r="S37" i="23"/>
  <c r="J40" i="20"/>
  <c r="K39" i="20"/>
  <c r="AS39" i="13"/>
  <c r="AR40" i="13"/>
  <c r="S39" i="19"/>
  <c r="R40" i="19"/>
  <c r="H38" i="23"/>
  <c r="G39" i="23"/>
  <c r="G40" i="32"/>
  <c r="H39" i="32"/>
  <c r="G50" i="13"/>
  <c r="H49" i="13"/>
  <c r="AB38" i="32" l="1"/>
  <c r="AA39" i="32"/>
  <c r="P38" i="13"/>
  <c r="O39" i="13"/>
  <c r="F40" i="20"/>
  <c r="G39" i="20"/>
  <c r="V53" i="19"/>
  <c r="W52" i="19"/>
  <c r="F68" i="19"/>
  <c r="G67" i="19"/>
  <c r="W39" i="30"/>
  <c r="V40" i="30"/>
  <c r="H39" i="23"/>
  <c r="G40" i="23"/>
  <c r="AS40" i="13"/>
  <c r="AR41" i="13"/>
  <c r="L40" i="23"/>
  <c r="M39" i="23"/>
  <c r="AA40" i="30"/>
  <c r="AB39" i="30"/>
  <c r="AF38" i="19"/>
  <c r="AE39" i="19"/>
  <c r="O40" i="19"/>
  <c r="N41" i="19"/>
  <c r="G51" i="13"/>
  <c r="H50" i="13"/>
  <c r="J41" i="20"/>
  <c r="K40" i="20"/>
  <c r="S38" i="23"/>
  <c r="R39" i="23"/>
  <c r="L40" i="30"/>
  <c r="M39" i="30"/>
  <c r="G41" i="30"/>
  <c r="H40" i="30"/>
  <c r="X39" i="13"/>
  <c r="W40" i="13"/>
  <c r="N40" i="20"/>
  <c r="O39" i="20"/>
  <c r="S40" i="19"/>
  <c r="R41" i="19"/>
  <c r="AK38" i="13"/>
  <c r="AJ39" i="13"/>
  <c r="T40" i="20"/>
  <c r="S41" i="20"/>
  <c r="K40" i="19"/>
  <c r="J41" i="19"/>
  <c r="AE39" i="13"/>
  <c r="AF38" i="13"/>
  <c r="AA40" i="19"/>
  <c r="Z41" i="19"/>
  <c r="G41" i="32"/>
  <c r="H40" i="32"/>
  <c r="Q41" i="30"/>
  <c r="R40" i="30"/>
  <c r="W39" i="32"/>
  <c r="V40" i="32"/>
  <c r="L40" i="32"/>
  <c r="M39" i="32"/>
  <c r="AB39" i="32" l="1"/>
  <c r="AA40" i="32"/>
  <c r="F69" i="19"/>
  <c r="G68" i="19"/>
  <c r="V54" i="19"/>
  <c r="W53" i="19"/>
  <c r="G40" i="20"/>
  <c r="F41" i="20"/>
  <c r="W40" i="30"/>
  <c r="V41" i="30"/>
  <c r="O40" i="13"/>
  <c r="P39" i="13"/>
  <c r="W40" i="32"/>
  <c r="V41" i="32"/>
  <c r="T41" i="20"/>
  <c r="S42" i="20"/>
  <c r="AK39" i="13"/>
  <c r="AJ40" i="13"/>
  <c r="S41" i="19"/>
  <c r="R42" i="19"/>
  <c r="O41" i="19"/>
  <c r="N42" i="19"/>
  <c r="AR42" i="13"/>
  <c r="AS41" i="13"/>
  <c r="H40" i="23"/>
  <c r="G41" i="23"/>
  <c r="AF39" i="13"/>
  <c r="AE40" i="13"/>
  <c r="O40" i="20"/>
  <c r="N41" i="20"/>
  <c r="K41" i="20"/>
  <c r="J42" i="20"/>
  <c r="G52" i="13"/>
  <c r="H51" i="13"/>
  <c r="AB40" i="30"/>
  <c r="AA41" i="30"/>
  <c r="K41" i="19"/>
  <c r="J42" i="19"/>
  <c r="X40" i="13"/>
  <c r="W41" i="13"/>
  <c r="S39" i="23"/>
  <c r="R40" i="23"/>
  <c r="AF39" i="19"/>
  <c r="AE40" i="19"/>
  <c r="AA41" i="19"/>
  <c r="Z42" i="19"/>
  <c r="M40" i="32"/>
  <c r="L41" i="32"/>
  <c r="Q42" i="30"/>
  <c r="R41" i="30"/>
  <c r="H41" i="32"/>
  <c r="G42" i="32"/>
  <c r="G42" i="30"/>
  <c r="H41" i="30"/>
  <c r="L41" i="30"/>
  <c r="M40" i="30"/>
  <c r="M40" i="23"/>
  <c r="L41" i="23"/>
  <c r="AB40" i="32" l="1"/>
  <c r="AA41" i="32"/>
  <c r="V42" i="30"/>
  <c r="W41" i="30"/>
  <c r="G41" i="20"/>
  <c r="F42" i="20"/>
  <c r="V55" i="19"/>
  <c r="W54" i="19"/>
  <c r="P40" i="13"/>
  <c r="O41" i="13"/>
  <c r="F70" i="19"/>
  <c r="G69" i="19"/>
  <c r="AA42" i="19"/>
  <c r="Z43" i="19"/>
  <c r="AF40" i="19"/>
  <c r="AE41" i="19"/>
  <c r="W42" i="13"/>
  <c r="X41" i="13"/>
  <c r="K42" i="19"/>
  <c r="J43" i="19"/>
  <c r="AB41" i="30"/>
  <c r="AA42" i="30"/>
  <c r="K42" i="20"/>
  <c r="J43" i="20"/>
  <c r="AF40" i="13"/>
  <c r="AE41" i="13"/>
  <c r="G42" i="23"/>
  <c r="H41" i="23"/>
  <c r="AK40" i="13"/>
  <c r="AJ41" i="13"/>
  <c r="G43" i="30"/>
  <c r="H42" i="30"/>
  <c r="H42" i="32"/>
  <c r="G43" i="32"/>
  <c r="M41" i="32"/>
  <c r="L42" i="32"/>
  <c r="S40" i="23"/>
  <c r="R41" i="23"/>
  <c r="O41" i="20"/>
  <c r="N42" i="20"/>
  <c r="O42" i="19"/>
  <c r="N43" i="19"/>
  <c r="S42" i="19"/>
  <c r="R43" i="19"/>
  <c r="T42" i="20"/>
  <c r="S43" i="20"/>
  <c r="V42" i="32"/>
  <c r="W41" i="32"/>
  <c r="M41" i="23"/>
  <c r="L42" i="23"/>
  <c r="L42" i="30"/>
  <c r="M41" i="30"/>
  <c r="Q43" i="30"/>
  <c r="R42" i="30"/>
  <c r="G53" i="13"/>
  <c r="H52" i="13"/>
  <c r="AS42" i="13"/>
  <c r="AR43" i="13"/>
  <c r="AB41" i="32" l="1"/>
  <c r="AA42" i="32"/>
  <c r="P41" i="13"/>
  <c r="O42" i="13"/>
  <c r="V56" i="19"/>
  <c r="W55" i="19"/>
  <c r="G42" i="20"/>
  <c r="F43" i="20"/>
  <c r="F71" i="19"/>
  <c r="G70" i="19"/>
  <c r="V43" i="30"/>
  <c r="W42" i="30"/>
  <c r="AS43" i="13"/>
  <c r="AR44" i="13"/>
  <c r="S43" i="19"/>
  <c r="R44" i="19"/>
  <c r="N43" i="20"/>
  <c r="O42" i="20"/>
  <c r="S41" i="23"/>
  <c r="R42" i="23"/>
  <c r="L43" i="32"/>
  <c r="M42" i="32"/>
  <c r="G44" i="32"/>
  <c r="H43" i="32"/>
  <c r="AF41" i="13"/>
  <c r="AE42" i="13"/>
  <c r="AA43" i="30"/>
  <c r="AB42" i="30"/>
  <c r="AF41" i="19"/>
  <c r="AE42" i="19"/>
  <c r="H53" i="13"/>
  <c r="G54" i="13"/>
  <c r="M42" i="30"/>
  <c r="L43" i="30"/>
  <c r="V43" i="32"/>
  <c r="W42" i="32"/>
  <c r="G44" i="30"/>
  <c r="H43" i="30"/>
  <c r="M42" i="23"/>
  <c r="L43" i="23"/>
  <c r="T43" i="20"/>
  <c r="S44" i="20"/>
  <c r="O43" i="19"/>
  <c r="N44" i="19"/>
  <c r="AK41" i="13"/>
  <c r="AJ42" i="13"/>
  <c r="J44" i="20"/>
  <c r="K43" i="20"/>
  <c r="K43" i="19"/>
  <c r="J44" i="19"/>
  <c r="AA43" i="19"/>
  <c r="Z44" i="19"/>
  <c r="Q44" i="30"/>
  <c r="R43" i="30"/>
  <c r="H42" i="23"/>
  <c r="G43" i="23"/>
  <c r="W43" i="13"/>
  <c r="X42" i="13"/>
  <c r="AA43" i="32" l="1"/>
  <c r="AB42" i="32"/>
  <c r="F72" i="19"/>
  <c r="G71" i="19"/>
  <c r="G43" i="20"/>
  <c r="F44" i="20"/>
  <c r="V57" i="19"/>
  <c r="W56" i="19"/>
  <c r="P42" i="13"/>
  <c r="O43" i="13"/>
  <c r="V44" i="30"/>
  <c r="W43" i="30"/>
  <c r="K44" i="19"/>
  <c r="J45" i="19"/>
  <c r="AK42" i="13"/>
  <c r="AJ43" i="13"/>
  <c r="T44" i="20"/>
  <c r="S45" i="20"/>
  <c r="G55" i="13"/>
  <c r="H54" i="13"/>
  <c r="AE43" i="13"/>
  <c r="AF42" i="13"/>
  <c r="S42" i="23"/>
  <c r="R43" i="23"/>
  <c r="Q45" i="30"/>
  <c r="R44" i="30"/>
  <c r="G45" i="30"/>
  <c r="H44" i="30"/>
  <c r="G45" i="32"/>
  <c r="H44" i="32"/>
  <c r="O44" i="19"/>
  <c r="N45" i="19"/>
  <c r="M43" i="23"/>
  <c r="L44" i="23"/>
  <c r="L44" i="30"/>
  <c r="M43" i="30"/>
  <c r="AF42" i="19"/>
  <c r="AE43" i="19"/>
  <c r="S44" i="19"/>
  <c r="R45" i="19"/>
  <c r="AS44" i="13"/>
  <c r="AR45" i="13"/>
  <c r="X43" i="13"/>
  <c r="W44" i="13"/>
  <c r="G44" i="23"/>
  <c r="H43" i="23"/>
  <c r="AA44" i="19"/>
  <c r="Z45" i="19"/>
  <c r="J45" i="20"/>
  <c r="K44" i="20"/>
  <c r="W43" i="32"/>
  <c r="V44" i="32"/>
  <c r="AA44" i="30"/>
  <c r="AB43" i="30"/>
  <c r="L44" i="32"/>
  <c r="M43" i="32"/>
  <c r="N44" i="20"/>
  <c r="O43" i="20"/>
  <c r="AB43" i="32" l="1"/>
  <c r="AA44" i="32"/>
  <c r="V58" i="19"/>
  <c r="W57" i="19"/>
  <c r="F45" i="20"/>
  <c r="G44" i="20"/>
  <c r="P43" i="13"/>
  <c r="O44" i="13"/>
  <c r="V45" i="30"/>
  <c r="W44" i="30"/>
  <c r="F73" i="19"/>
  <c r="G72" i="19"/>
  <c r="X44" i="13"/>
  <c r="W45" i="13"/>
  <c r="S45" i="19"/>
  <c r="R46" i="19"/>
  <c r="O45" i="19"/>
  <c r="N46" i="19"/>
  <c r="S43" i="23"/>
  <c r="R44" i="23"/>
  <c r="T45" i="20"/>
  <c r="S46" i="20"/>
  <c r="K45" i="19"/>
  <c r="J46" i="19"/>
  <c r="O44" i="20"/>
  <c r="N45" i="20"/>
  <c r="AB44" i="30"/>
  <c r="AA45" i="30"/>
  <c r="H44" i="23"/>
  <c r="G45" i="23"/>
  <c r="L45" i="30"/>
  <c r="M44" i="30"/>
  <c r="AA45" i="19"/>
  <c r="Z46" i="19"/>
  <c r="AF43" i="19"/>
  <c r="AE44" i="19"/>
  <c r="AK43" i="13"/>
  <c r="AJ44" i="13"/>
  <c r="W44" i="32"/>
  <c r="V45" i="32"/>
  <c r="AR46" i="13"/>
  <c r="AS45" i="13"/>
  <c r="M44" i="23"/>
  <c r="L45" i="23"/>
  <c r="M44" i="32"/>
  <c r="L45" i="32"/>
  <c r="K45" i="20"/>
  <c r="J46" i="20"/>
  <c r="H45" i="32"/>
  <c r="G46" i="32"/>
  <c r="H45" i="30"/>
  <c r="G46" i="30"/>
  <c r="Q46" i="30"/>
  <c r="R45" i="30"/>
  <c r="AF43" i="13"/>
  <c r="AE44" i="13"/>
  <c r="G56" i="13"/>
  <c r="H55" i="13"/>
  <c r="AB44" i="32" l="1"/>
  <c r="AA45" i="32"/>
  <c r="V46" i="30"/>
  <c r="W45" i="30"/>
  <c r="P44" i="13"/>
  <c r="O45" i="13"/>
  <c r="F46" i="20"/>
  <c r="G45" i="20"/>
  <c r="F74" i="19"/>
  <c r="G73" i="19"/>
  <c r="V59" i="19"/>
  <c r="W58" i="19"/>
  <c r="H46" i="32"/>
  <c r="G47" i="32"/>
  <c r="V46" i="32"/>
  <c r="W45" i="32"/>
  <c r="AK44" i="13"/>
  <c r="AJ45" i="13"/>
  <c r="AF44" i="19"/>
  <c r="AE45" i="19"/>
  <c r="S44" i="23"/>
  <c r="R45" i="23"/>
  <c r="S46" i="19"/>
  <c r="R47" i="19"/>
  <c r="G47" i="30"/>
  <c r="H46" i="30"/>
  <c r="G57" i="13"/>
  <c r="H56" i="13"/>
  <c r="Q47" i="30"/>
  <c r="R46" i="30"/>
  <c r="AS46" i="13"/>
  <c r="AR47" i="13"/>
  <c r="L46" i="30"/>
  <c r="M45" i="30"/>
  <c r="K46" i="20"/>
  <c r="J47" i="20"/>
  <c r="M45" i="32"/>
  <c r="L46" i="32"/>
  <c r="L46" i="23"/>
  <c r="M45" i="23"/>
  <c r="AA46" i="19"/>
  <c r="Z47" i="19"/>
  <c r="G46" i="23"/>
  <c r="H45" i="23"/>
  <c r="AB45" i="30"/>
  <c r="AA46" i="30"/>
  <c r="O45" i="20"/>
  <c r="N46" i="20"/>
  <c r="K46" i="19"/>
  <c r="J47" i="19"/>
  <c r="T46" i="20"/>
  <c r="S47" i="20"/>
  <c r="O46" i="19"/>
  <c r="N47" i="19"/>
  <c r="W46" i="13"/>
  <c r="X45" i="13"/>
  <c r="AF44" i="13"/>
  <c r="AE45" i="13"/>
  <c r="AB45" i="32" l="1"/>
  <c r="AA46" i="32"/>
  <c r="F75" i="19"/>
  <c r="G74" i="19"/>
  <c r="F47" i="20"/>
  <c r="G46" i="20"/>
  <c r="O46" i="13"/>
  <c r="P45" i="13"/>
  <c r="V60" i="19"/>
  <c r="W59" i="19"/>
  <c r="V47" i="30"/>
  <c r="W46" i="30"/>
  <c r="AF45" i="13"/>
  <c r="AE46" i="13"/>
  <c r="K47" i="19"/>
  <c r="J48" i="19"/>
  <c r="AB46" i="30"/>
  <c r="AA47" i="30"/>
  <c r="AA47" i="19"/>
  <c r="Z48" i="19"/>
  <c r="J48" i="20"/>
  <c r="K47" i="20"/>
  <c r="AS47" i="13"/>
  <c r="AR48" i="13"/>
  <c r="S47" i="19"/>
  <c r="R48" i="19"/>
  <c r="AK45" i="13"/>
  <c r="AJ46" i="13"/>
  <c r="W47" i="13"/>
  <c r="X46" i="13"/>
  <c r="H46" i="23"/>
  <c r="G47" i="23"/>
  <c r="M46" i="23"/>
  <c r="L47" i="23"/>
  <c r="G48" i="30"/>
  <c r="H47" i="30"/>
  <c r="O47" i="19"/>
  <c r="N48" i="19"/>
  <c r="T47" i="20"/>
  <c r="S48" i="20"/>
  <c r="N47" i="20"/>
  <c r="O46" i="20"/>
  <c r="L47" i="32"/>
  <c r="M46" i="32"/>
  <c r="S45" i="23"/>
  <c r="R46" i="23"/>
  <c r="AF45" i="19"/>
  <c r="AE46" i="19"/>
  <c r="G48" i="32"/>
  <c r="H47" i="32"/>
  <c r="L47" i="30"/>
  <c r="M46" i="30"/>
  <c r="Q48" i="30"/>
  <c r="R47" i="30"/>
  <c r="H57" i="13"/>
  <c r="G58" i="13"/>
  <c r="V47" i="32"/>
  <c r="W46" i="32"/>
  <c r="AB46" i="32" l="1"/>
  <c r="AA47" i="32"/>
  <c r="V61" i="19"/>
  <c r="W60" i="19"/>
  <c r="O47" i="13"/>
  <c r="P46" i="13"/>
  <c r="G47" i="20"/>
  <c r="F48" i="20"/>
  <c r="V48" i="30"/>
  <c r="W47" i="30"/>
  <c r="F76" i="19"/>
  <c r="G75" i="19"/>
  <c r="O48" i="19"/>
  <c r="N49" i="19"/>
  <c r="L48" i="23"/>
  <c r="M47" i="23"/>
  <c r="AK46" i="13"/>
  <c r="AJ47" i="13"/>
  <c r="AA48" i="19"/>
  <c r="Z49" i="19"/>
  <c r="K48" i="19"/>
  <c r="J49" i="19"/>
  <c r="W47" i="32"/>
  <c r="V48" i="32"/>
  <c r="Q49" i="30"/>
  <c r="R48" i="30"/>
  <c r="G49" i="32"/>
  <c r="H48" i="32"/>
  <c r="L48" i="32"/>
  <c r="M47" i="32"/>
  <c r="N48" i="20"/>
  <c r="O47" i="20"/>
  <c r="G49" i="30"/>
  <c r="H48" i="30"/>
  <c r="AF46" i="19"/>
  <c r="AE47" i="19"/>
  <c r="S46" i="23"/>
  <c r="R47" i="23"/>
  <c r="T48" i="20"/>
  <c r="S49" i="20"/>
  <c r="H47" i="23"/>
  <c r="G48" i="23"/>
  <c r="S48" i="19"/>
  <c r="R49" i="19"/>
  <c r="AS48" i="13"/>
  <c r="AR49" i="13"/>
  <c r="AA48" i="30"/>
  <c r="AB47" i="30"/>
  <c r="AE47" i="13"/>
  <c r="AF46" i="13"/>
  <c r="G59" i="13"/>
  <c r="H58" i="13"/>
  <c r="L48" i="30"/>
  <c r="M47" i="30"/>
  <c r="X47" i="13"/>
  <c r="W48" i="13"/>
  <c r="J49" i="20"/>
  <c r="K48" i="20"/>
  <c r="AA48" i="32" l="1"/>
  <c r="AB47" i="32"/>
  <c r="V49" i="30"/>
  <c r="W48" i="30"/>
  <c r="G48" i="20"/>
  <c r="F49" i="20"/>
  <c r="P47" i="13"/>
  <c r="O48" i="13"/>
  <c r="F77" i="19"/>
  <c r="G76" i="19"/>
  <c r="V62" i="19"/>
  <c r="W61" i="19"/>
  <c r="X48" i="13"/>
  <c r="W49" i="13"/>
  <c r="AR50" i="13"/>
  <c r="AS49" i="13"/>
  <c r="AF47" i="19"/>
  <c r="AE48" i="19"/>
  <c r="V49" i="32"/>
  <c r="W48" i="32"/>
  <c r="AA49" i="19"/>
  <c r="Z50" i="19"/>
  <c r="AK47" i="13"/>
  <c r="AJ48" i="13"/>
  <c r="O49" i="19"/>
  <c r="N50" i="19"/>
  <c r="K49" i="20"/>
  <c r="J50" i="20"/>
  <c r="AF47" i="13"/>
  <c r="AE48" i="13"/>
  <c r="G50" i="30"/>
  <c r="H49" i="30"/>
  <c r="H49" i="32"/>
  <c r="G50" i="32"/>
  <c r="M48" i="23"/>
  <c r="L49" i="23"/>
  <c r="S49" i="19"/>
  <c r="R50" i="19"/>
  <c r="H48" i="23"/>
  <c r="G49" i="23"/>
  <c r="T49" i="20"/>
  <c r="S50" i="20"/>
  <c r="S47" i="23"/>
  <c r="R48" i="23"/>
  <c r="K49" i="19"/>
  <c r="J50" i="19"/>
  <c r="L49" i="30"/>
  <c r="M48" i="30"/>
  <c r="G60" i="13"/>
  <c r="H59" i="13"/>
  <c r="AB48" i="30"/>
  <c r="AA49" i="30"/>
  <c r="O48" i="20"/>
  <c r="N49" i="20"/>
  <c r="M48" i="32"/>
  <c r="L49" i="32"/>
  <c r="Q50" i="30"/>
  <c r="R49" i="30"/>
  <c r="AB48" i="32" l="1"/>
  <c r="AA49" i="32"/>
  <c r="F78" i="19"/>
  <c r="G77" i="19"/>
  <c r="P48" i="13"/>
  <c r="O49" i="13"/>
  <c r="G49" i="20"/>
  <c r="F50" i="20"/>
  <c r="V63" i="19"/>
  <c r="W62" i="19"/>
  <c r="V50" i="30"/>
  <c r="W49" i="30"/>
  <c r="L50" i="32"/>
  <c r="M49" i="32"/>
  <c r="K50" i="19"/>
  <c r="J51" i="19"/>
  <c r="S48" i="23"/>
  <c r="R49" i="23"/>
  <c r="S50" i="19"/>
  <c r="R51" i="19"/>
  <c r="M49" i="23"/>
  <c r="L50" i="23"/>
  <c r="AK48" i="13"/>
  <c r="AJ49" i="13"/>
  <c r="AF48" i="19"/>
  <c r="AE49" i="19"/>
  <c r="Q51" i="30"/>
  <c r="R50" i="30"/>
  <c r="G61" i="13"/>
  <c r="H60" i="13"/>
  <c r="G51" i="30"/>
  <c r="H50" i="30"/>
  <c r="V50" i="32"/>
  <c r="W49" i="32"/>
  <c r="O49" i="20"/>
  <c r="N50" i="20"/>
  <c r="AB49" i="30"/>
  <c r="AA50" i="30"/>
  <c r="T50" i="20"/>
  <c r="S51" i="20"/>
  <c r="G50" i="23"/>
  <c r="H49" i="23"/>
  <c r="G51" i="32"/>
  <c r="H50" i="32"/>
  <c r="AF48" i="13"/>
  <c r="AE49" i="13"/>
  <c r="K50" i="20"/>
  <c r="J51" i="20"/>
  <c r="O50" i="19"/>
  <c r="N51" i="19"/>
  <c r="AA50" i="19"/>
  <c r="Z51" i="19"/>
  <c r="X49" i="13"/>
  <c r="W50" i="13"/>
  <c r="L50" i="30"/>
  <c r="M49" i="30"/>
  <c r="AS50" i="13"/>
  <c r="AR51" i="13"/>
  <c r="AB49" i="32" l="1"/>
  <c r="AA50" i="32"/>
  <c r="V64" i="19"/>
  <c r="W63" i="19"/>
  <c r="F51" i="20"/>
  <c r="G50" i="20"/>
  <c r="P49" i="13"/>
  <c r="O50" i="13"/>
  <c r="V51" i="30"/>
  <c r="W50" i="30"/>
  <c r="F79" i="19"/>
  <c r="G78" i="19"/>
  <c r="AS51" i="13"/>
  <c r="AR52" i="13"/>
  <c r="AA51" i="19"/>
  <c r="Z52" i="19"/>
  <c r="J52" i="20"/>
  <c r="K51" i="20"/>
  <c r="T51" i="20"/>
  <c r="S52" i="20"/>
  <c r="AF49" i="19"/>
  <c r="AE50" i="19"/>
  <c r="S51" i="19"/>
  <c r="R52" i="19"/>
  <c r="K51" i="19"/>
  <c r="J52" i="19"/>
  <c r="L51" i="30"/>
  <c r="M50" i="30"/>
  <c r="W50" i="32"/>
  <c r="V51" i="32"/>
  <c r="G52" i="30"/>
  <c r="H51" i="30"/>
  <c r="O51" i="19"/>
  <c r="N52" i="19"/>
  <c r="AF49" i="13"/>
  <c r="AE50" i="13"/>
  <c r="AA51" i="30"/>
  <c r="AB50" i="30"/>
  <c r="N51" i="20"/>
  <c r="O50" i="20"/>
  <c r="AK49" i="13"/>
  <c r="AJ50" i="13"/>
  <c r="M50" i="23"/>
  <c r="L51" i="23"/>
  <c r="S49" i="23"/>
  <c r="R50" i="23"/>
  <c r="W51" i="13"/>
  <c r="X50" i="13"/>
  <c r="G52" i="32"/>
  <c r="H51" i="32"/>
  <c r="H50" i="23"/>
  <c r="G51" i="23"/>
  <c r="G62" i="13"/>
  <c r="H61" i="13"/>
  <c r="R51" i="30"/>
  <c r="Q52" i="30"/>
  <c r="L51" i="32"/>
  <c r="M50" i="32"/>
  <c r="AB50" i="32" l="1"/>
  <c r="AA51" i="32"/>
  <c r="V52" i="30"/>
  <c r="W51" i="30"/>
  <c r="P50" i="13"/>
  <c r="O51" i="13"/>
  <c r="G51" i="20"/>
  <c r="F52" i="20"/>
  <c r="F80" i="19"/>
  <c r="G79" i="19"/>
  <c r="V65" i="19"/>
  <c r="W64" i="19"/>
  <c r="S50" i="23"/>
  <c r="R51" i="23"/>
  <c r="AK50" i="13"/>
  <c r="AJ51" i="13"/>
  <c r="AE51" i="13"/>
  <c r="AF50" i="13"/>
  <c r="W51" i="32"/>
  <c r="V52" i="32"/>
  <c r="S52" i="19"/>
  <c r="R53" i="19"/>
  <c r="T52" i="20"/>
  <c r="S53" i="20"/>
  <c r="M51" i="32"/>
  <c r="L52" i="32"/>
  <c r="G63" i="13"/>
  <c r="H62" i="13"/>
  <c r="H52" i="32"/>
  <c r="G53" i="32"/>
  <c r="AA52" i="30"/>
  <c r="AB51" i="30"/>
  <c r="J53" i="20"/>
  <c r="K52" i="20"/>
  <c r="Q53" i="30"/>
  <c r="R52" i="30"/>
  <c r="M51" i="23"/>
  <c r="L52" i="23"/>
  <c r="O52" i="19"/>
  <c r="N53" i="19"/>
  <c r="K52" i="19"/>
  <c r="J53" i="19"/>
  <c r="AF50" i="19"/>
  <c r="AE51" i="19"/>
  <c r="AA52" i="19"/>
  <c r="Z53" i="19"/>
  <c r="AS52" i="13"/>
  <c r="AR53" i="13"/>
  <c r="G52" i="23"/>
  <c r="H51" i="23"/>
  <c r="X51" i="13"/>
  <c r="W52" i="13"/>
  <c r="N52" i="20"/>
  <c r="O51" i="20"/>
  <c r="G53" i="30"/>
  <c r="H52" i="30"/>
  <c r="L52" i="30"/>
  <c r="M51" i="30"/>
  <c r="AB51" i="32" l="1"/>
  <c r="AA52" i="32"/>
  <c r="F81" i="19"/>
  <c r="G80" i="19"/>
  <c r="G52" i="20"/>
  <c r="F53" i="20"/>
  <c r="P51" i="13"/>
  <c r="O52" i="13"/>
  <c r="V66" i="19"/>
  <c r="W65" i="19"/>
  <c r="V53" i="30"/>
  <c r="W52" i="30"/>
  <c r="AF51" i="19"/>
  <c r="AE52" i="19"/>
  <c r="V53" i="32"/>
  <c r="W52" i="32"/>
  <c r="S51" i="23"/>
  <c r="R52" i="23"/>
  <c r="AR54" i="13"/>
  <c r="AS53" i="13"/>
  <c r="K53" i="19"/>
  <c r="J54" i="19"/>
  <c r="L53" i="30"/>
  <c r="M52" i="30"/>
  <c r="O52" i="20"/>
  <c r="N53" i="20"/>
  <c r="H52" i="23"/>
  <c r="G53" i="23"/>
  <c r="Q54" i="30"/>
  <c r="R53" i="30"/>
  <c r="AB52" i="30"/>
  <c r="AA53" i="30"/>
  <c r="G64" i="13"/>
  <c r="H63" i="13"/>
  <c r="X52" i="13"/>
  <c r="W53" i="13"/>
  <c r="AA53" i="19"/>
  <c r="Z54" i="19"/>
  <c r="O53" i="19"/>
  <c r="N54" i="19"/>
  <c r="M52" i="23"/>
  <c r="L53" i="23"/>
  <c r="H53" i="32"/>
  <c r="G54" i="32"/>
  <c r="M52" i="32"/>
  <c r="L53" i="32"/>
  <c r="T53" i="20"/>
  <c r="S54" i="20"/>
  <c r="S53" i="19"/>
  <c r="R54" i="19"/>
  <c r="AK51" i="13"/>
  <c r="AJ52" i="13"/>
  <c r="G54" i="30"/>
  <c r="H53" i="30"/>
  <c r="K53" i="20"/>
  <c r="J54" i="20"/>
  <c r="AF51" i="13"/>
  <c r="AE52" i="13"/>
  <c r="AA53" i="32" l="1"/>
  <c r="AB52" i="32"/>
  <c r="P52" i="13"/>
  <c r="O53" i="13"/>
  <c r="V67" i="19"/>
  <c r="W66" i="19"/>
  <c r="G53" i="20"/>
  <c r="F54" i="20"/>
  <c r="V54" i="30"/>
  <c r="W53" i="30"/>
  <c r="F82" i="19"/>
  <c r="G81" i="19"/>
  <c r="AK52" i="13"/>
  <c r="AJ53" i="13"/>
  <c r="T54" i="20"/>
  <c r="S55" i="20"/>
  <c r="G55" i="32"/>
  <c r="H54" i="32"/>
  <c r="L54" i="23"/>
  <c r="M53" i="23"/>
  <c r="O53" i="20"/>
  <c r="N54" i="20"/>
  <c r="K54" i="19"/>
  <c r="J55" i="19"/>
  <c r="S52" i="23"/>
  <c r="R53" i="23"/>
  <c r="AF52" i="19"/>
  <c r="AE53" i="19"/>
  <c r="G55" i="30"/>
  <c r="H54" i="30"/>
  <c r="G65" i="13"/>
  <c r="H64" i="13"/>
  <c r="L54" i="30"/>
  <c r="M53" i="30"/>
  <c r="V54" i="32"/>
  <c r="W53" i="32"/>
  <c r="K54" i="20"/>
  <c r="J55" i="20"/>
  <c r="S54" i="19"/>
  <c r="R55" i="19"/>
  <c r="L54" i="32"/>
  <c r="M53" i="32"/>
  <c r="O54" i="19"/>
  <c r="N55" i="19"/>
  <c r="AA54" i="19"/>
  <c r="Z55" i="19"/>
  <c r="X53" i="13"/>
  <c r="W54" i="13"/>
  <c r="AB53" i="30"/>
  <c r="AA54" i="30"/>
  <c r="G54" i="23"/>
  <c r="H53" i="23"/>
  <c r="AF52" i="13"/>
  <c r="AE53" i="13"/>
  <c r="Q55" i="30"/>
  <c r="R54" i="30"/>
  <c r="AS54" i="13"/>
  <c r="AR55" i="13"/>
  <c r="AB53" i="32" l="1"/>
  <c r="AA54" i="32"/>
  <c r="V55" i="30"/>
  <c r="W54" i="30"/>
  <c r="F55" i="20"/>
  <c r="G54" i="20"/>
  <c r="V68" i="19"/>
  <c r="W67" i="19"/>
  <c r="P53" i="13"/>
  <c r="O54" i="13"/>
  <c r="F83" i="19"/>
  <c r="G82" i="19"/>
  <c r="AS55" i="13"/>
  <c r="AR56" i="13"/>
  <c r="AA55" i="19"/>
  <c r="Z56" i="19"/>
  <c r="S55" i="19"/>
  <c r="R56" i="19"/>
  <c r="AF53" i="19"/>
  <c r="AE54" i="19"/>
  <c r="K55" i="19"/>
  <c r="J56" i="19"/>
  <c r="N55" i="20"/>
  <c r="O54" i="20"/>
  <c r="AK53" i="13"/>
  <c r="AJ54" i="13"/>
  <c r="Q56" i="30"/>
  <c r="R55" i="30"/>
  <c r="W54" i="32"/>
  <c r="V55" i="32"/>
  <c r="G56" i="30"/>
  <c r="H55" i="30"/>
  <c r="G56" i="32"/>
  <c r="H55" i="32"/>
  <c r="AF53" i="13"/>
  <c r="AE54" i="13"/>
  <c r="AB54" i="30"/>
  <c r="AA55" i="30"/>
  <c r="W55" i="13"/>
  <c r="X54" i="13"/>
  <c r="O55" i="19"/>
  <c r="N56" i="19"/>
  <c r="J56" i="20"/>
  <c r="K55" i="20"/>
  <c r="S53" i="23"/>
  <c r="R54" i="23"/>
  <c r="T55" i="20"/>
  <c r="S56" i="20"/>
  <c r="H54" i="23"/>
  <c r="G55" i="23"/>
  <c r="L55" i="32"/>
  <c r="M54" i="32"/>
  <c r="M54" i="30"/>
  <c r="L55" i="30"/>
  <c r="H65" i="13"/>
  <c r="G66" i="13"/>
  <c r="M54" i="23"/>
  <c r="L55" i="23"/>
  <c r="AB54" i="32" l="1"/>
  <c r="AA55" i="32"/>
  <c r="O55" i="13"/>
  <c r="P54" i="13"/>
  <c r="V69" i="19"/>
  <c r="W68" i="19"/>
  <c r="G55" i="20"/>
  <c r="F56" i="20"/>
  <c r="F84" i="19"/>
  <c r="G83" i="19"/>
  <c r="V56" i="30"/>
  <c r="W55" i="30"/>
  <c r="G67" i="13"/>
  <c r="H66" i="13"/>
  <c r="L56" i="30"/>
  <c r="M55" i="30"/>
  <c r="S54" i="23"/>
  <c r="R55" i="23"/>
  <c r="W55" i="32"/>
  <c r="V56" i="32"/>
  <c r="K56" i="19"/>
  <c r="J57" i="19"/>
  <c r="S56" i="19"/>
  <c r="R57" i="19"/>
  <c r="AA56" i="19"/>
  <c r="Z57" i="19"/>
  <c r="M55" i="32"/>
  <c r="L56" i="32"/>
  <c r="X55" i="13"/>
  <c r="W56" i="13"/>
  <c r="Q57" i="30"/>
  <c r="R56" i="30"/>
  <c r="H55" i="23"/>
  <c r="G56" i="23"/>
  <c r="T56" i="20"/>
  <c r="S57" i="20"/>
  <c r="O56" i="19"/>
  <c r="N57" i="19"/>
  <c r="AA56" i="30"/>
  <c r="AB55" i="30"/>
  <c r="AE55" i="13"/>
  <c r="AF54" i="13"/>
  <c r="AK54" i="13"/>
  <c r="AJ55" i="13"/>
  <c r="AF54" i="19"/>
  <c r="AE55" i="19"/>
  <c r="AS56" i="13"/>
  <c r="AR57" i="13"/>
  <c r="L56" i="23"/>
  <c r="M55" i="23"/>
  <c r="J57" i="20"/>
  <c r="K56" i="20"/>
  <c r="H56" i="32"/>
  <c r="G57" i="32"/>
  <c r="G57" i="30"/>
  <c r="H56" i="30"/>
  <c r="N56" i="20"/>
  <c r="O55" i="20"/>
  <c r="AB55" i="32" l="1"/>
  <c r="AA56" i="32"/>
  <c r="F85" i="19"/>
  <c r="G84" i="19"/>
  <c r="G56" i="20"/>
  <c r="F57" i="20"/>
  <c r="V70" i="19"/>
  <c r="W69" i="19"/>
  <c r="W56" i="30"/>
  <c r="V57" i="30"/>
  <c r="P55" i="13"/>
  <c r="O56" i="13"/>
  <c r="AR58" i="13"/>
  <c r="AS57" i="13"/>
  <c r="AF55" i="19"/>
  <c r="AE56" i="19"/>
  <c r="O57" i="19"/>
  <c r="N58" i="19"/>
  <c r="T57" i="20"/>
  <c r="S58" i="20"/>
  <c r="H56" i="23"/>
  <c r="G57" i="23"/>
  <c r="X56" i="13"/>
  <c r="W57" i="13"/>
  <c r="M56" i="32"/>
  <c r="L57" i="32"/>
  <c r="AA57" i="19"/>
  <c r="Z58" i="19"/>
  <c r="S55" i="23"/>
  <c r="R56" i="23"/>
  <c r="G58" i="30"/>
  <c r="H57" i="30"/>
  <c r="K57" i="20"/>
  <c r="J58" i="20"/>
  <c r="M56" i="23"/>
  <c r="L57" i="23"/>
  <c r="AF55" i="13"/>
  <c r="AE56" i="13"/>
  <c r="Q58" i="30"/>
  <c r="R57" i="30"/>
  <c r="L57" i="30"/>
  <c r="M56" i="30"/>
  <c r="H57" i="32"/>
  <c r="G58" i="32"/>
  <c r="AK55" i="13"/>
  <c r="AJ56" i="13"/>
  <c r="S57" i="19"/>
  <c r="R58" i="19"/>
  <c r="K57" i="19"/>
  <c r="J58" i="19"/>
  <c r="V57" i="32"/>
  <c r="W56" i="32"/>
  <c r="O56" i="20"/>
  <c r="N57" i="20"/>
  <c r="AB56" i="30"/>
  <c r="AA57" i="30"/>
  <c r="G68" i="13"/>
  <c r="H67" i="13"/>
  <c r="AA57" i="32" l="1"/>
  <c r="AB56" i="32"/>
  <c r="V58" i="30"/>
  <c r="W57" i="30"/>
  <c r="V71" i="19"/>
  <c r="W70" i="19"/>
  <c r="F58" i="20"/>
  <c r="G57" i="20"/>
  <c r="P56" i="13"/>
  <c r="O57" i="13"/>
  <c r="F86" i="19"/>
  <c r="G85" i="19"/>
  <c r="S58" i="19"/>
  <c r="R59" i="19"/>
  <c r="G59" i="32"/>
  <c r="H58" i="32"/>
  <c r="AF56" i="13"/>
  <c r="AE57" i="13"/>
  <c r="M57" i="23"/>
  <c r="L58" i="23"/>
  <c r="K58" i="20"/>
  <c r="J59" i="20"/>
  <c r="L58" i="32"/>
  <c r="M57" i="32"/>
  <c r="X57" i="13"/>
  <c r="W58" i="13"/>
  <c r="T58" i="20"/>
  <c r="S59" i="20"/>
  <c r="AF56" i="19"/>
  <c r="AE57" i="19"/>
  <c r="G69" i="13"/>
  <c r="H68" i="13"/>
  <c r="V58" i="32"/>
  <c r="W57" i="32"/>
  <c r="AB57" i="30"/>
  <c r="AA58" i="30"/>
  <c r="O57" i="20"/>
  <c r="N58" i="20"/>
  <c r="K58" i="19"/>
  <c r="J59" i="19"/>
  <c r="AK56" i="13"/>
  <c r="AJ57" i="13"/>
  <c r="S56" i="23"/>
  <c r="R57" i="23"/>
  <c r="AA58" i="19"/>
  <c r="Z59" i="19"/>
  <c r="G58" i="23"/>
  <c r="H57" i="23"/>
  <c r="O58" i="19"/>
  <c r="N59" i="19"/>
  <c r="L58" i="30"/>
  <c r="M57" i="30"/>
  <c r="Q59" i="30"/>
  <c r="R58" i="30"/>
  <c r="G59" i="30"/>
  <c r="H58" i="30"/>
  <c r="AS58" i="13"/>
  <c r="AR59" i="13"/>
  <c r="AA58" i="32" l="1"/>
  <c r="AB57" i="32"/>
  <c r="P57" i="13"/>
  <c r="O58" i="13"/>
  <c r="F59" i="20"/>
  <c r="G58" i="20"/>
  <c r="V72" i="19"/>
  <c r="W71" i="19"/>
  <c r="F87" i="19"/>
  <c r="G86" i="19"/>
  <c r="W58" i="30"/>
  <c r="V59" i="30"/>
  <c r="O59" i="19"/>
  <c r="N60" i="19"/>
  <c r="S57" i="23"/>
  <c r="R58" i="23"/>
  <c r="AK57" i="13"/>
  <c r="AJ58" i="13"/>
  <c r="N59" i="20"/>
  <c r="O58" i="20"/>
  <c r="AA59" i="30"/>
  <c r="AB58" i="30"/>
  <c r="AF57" i="19"/>
  <c r="AE58" i="19"/>
  <c r="W59" i="13"/>
  <c r="X58" i="13"/>
  <c r="M58" i="23"/>
  <c r="L59" i="23"/>
  <c r="R59" i="30"/>
  <c r="Q60" i="30"/>
  <c r="H69" i="13"/>
  <c r="G70" i="13"/>
  <c r="G60" i="32"/>
  <c r="H59" i="32"/>
  <c r="AS59" i="13"/>
  <c r="AR60" i="13"/>
  <c r="AA59" i="19"/>
  <c r="Z60" i="19"/>
  <c r="K59" i="19"/>
  <c r="J60" i="19"/>
  <c r="T59" i="20"/>
  <c r="S60" i="20"/>
  <c r="J60" i="20"/>
  <c r="K59" i="20"/>
  <c r="AF57" i="13"/>
  <c r="AE58" i="13"/>
  <c r="S59" i="19"/>
  <c r="R60" i="19"/>
  <c r="G60" i="30"/>
  <c r="H59" i="30"/>
  <c r="L59" i="30"/>
  <c r="M58" i="30"/>
  <c r="H58" i="23"/>
  <c r="G59" i="23"/>
  <c r="W58" i="32"/>
  <c r="V59" i="32"/>
  <c r="L59" i="32"/>
  <c r="M58" i="32"/>
  <c r="AA59" i="32" l="1"/>
  <c r="AB58" i="32"/>
  <c r="F88" i="19"/>
  <c r="G87" i="19"/>
  <c r="V73" i="19"/>
  <c r="W72" i="19"/>
  <c r="F60" i="20"/>
  <c r="G59" i="20"/>
  <c r="V60" i="30"/>
  <c r="W59" i="30"/>
  <c r="O59" i="13"/>
  <c r="P58" i="13"/>
  <c r="W59" i="32"/>
  <c r="V60" i="32"/>
  <c r="G60" i="23"/>
  <c r="H59" i="23"/>
  <c r="S60" i="19"/>
  <c r="R61" i="19"/>
  <c r="AE59" i="13"/>
  <c r="AF58" i="13"/>
  <c r="K60" i="19"/>
  <c r="J61" i="19"/>
  <c r="AA60" i="19"/>
  <c r="Z61" i="19"/>
  <c r="G71" i="13"/>
  <c r="H70" i="13"/>
  <c r="M59" i="23"/>
  <c r="L60" i="23"/>
  <c r="AK58" i="13"/>
  <c r="AJ59" i="13"/>
  <c r="M59" i="32"/>
  <c r="L60" i="32"/>
  <c r="L60" i="30"/>
  <c r="M59" i="30"/>
  <c r="H60" i="32"/>
  <c r="G61" i="32"/>
  <c r="X59" i="13"/>
  <c r="W60" i="13"/>
  <c r="AA60" i="30"/>
  <c r="AB59" i="30"/>
  <c r="T60" i="20"/>
  <c r="S61" i="20"/>
  <c r="AS60" i="13"/>
  <c r="AR61" i="13"/>
  <c r="Q61" i="30"/>
  <c r="R60" i="30"/>
  <c r="AF58" i="19"/>
  <c r="AE59" i="19"/>
  <c r="S58" i="23"/>
  <c r="R59" i="23"/>
  <c r="O60" i="19"/>
  <c r="N61" i="19"/>
  <c r="G61" i="30"/>
  <c r="H60" i="30"/>
  <c r="J61" i="20"/>
  <c r="K60" i="20"/>
  <c r="N60" i="20"/>
  <c r="O59" i="20"/>
  <c r="AB59" i="32" l="1"/>
  <c r="AA60" i="32"/>
  <c r="V61" i="30"/>
  <c r="W60" i="30"/>
  <c r="F61" i="20"/>
  <c r="G60" i="20"/>
  <c r="V74" i="19"/>
  <c r="W73" i="19"/>
  <c r="P59" i="13"/>
  <c r="O60" i="13"/>
  <c r="F89" i="19"/>
  <c r="G88" i="19"/>
  <c r="S59" i="23"/>
  <c r="R60" i="23"/>
  <c r="AF59" i="19"/>
  <c r="AE60" i="19"/>
  <c r="AR62" i="13"/>
  <c r="AS61" i="13"/>
  <c r="H61" i="32"/>
  <c r="G62" i="32"/>
  <c r="M60" i="32"/>
  <c r="L61" i="32"/>
  <c r="AK59" i="13"/>
  <c r="AJ60" i="13"/>
  <c r="AA61" i="19"/>
  <c r="Z62" i="19"/>
  <c r="S61" i="19"/>
  <c r="R62" i="19"/>
  <c r="O60" i="20"/>
  <c r="N61" i="20"/>
  <c r="G62" i="30"/>
  <c r="H61" i="30"/>
  <c r="G72" i="13"/>
  <c r="H71" i="13"/>
  <c r="H60" i="23"/>
  <c r="G61" i="23"/>
  <c r="O61" i="19"/>
  <c r="N62" i="19"/>
  <c r="T61" i="20"/>
  <c r="S62" i="20"/>
  <c r="X60" i="13"/>
  <c r="W61" i="13"/>
  <c r="M60" i="23"/>
  <c r="L61" i="23"/>
  <c r="K61" i="19"/>
  <c r="J62" i="19"/>
  <c r="V61" i="32"/>
  <c r="W60" i="32"/>
  <c r="K61" i="20"/>
  <c r="J62" i="20"/>
  <c r="Q62" i="30"/>
  <c r="R61" i="30"/>
  <c r="AB60" i="30"/>
  <c r="AA61" i="30"/>
  <c r="L61" i="30"/>
  <c r="M60" i="30"/>
  <c r="AF59" i="13"/>
  <c r="AE60" i="13"/>
  <c r="AA61" i="32" l="1"/>
  <c r="AB60" i="32"/>
  <c r="V75" i="19"/>
  <c r="W74" i="19"/>
  <c r="P60" i="13"/>
  <c r="O61" i="13"/>
  <c r="F62" i="20"/>
  <c r="G61" i="20"/>
  <c r="F90" i="19"/>
  <c r="G89" i="19"/>
  <c r="V62" i="30"/>
  <c r="W61" i="30"/>
  <c r="K62" i="20"/>
  <c r="J63" i="20"/>
  <c r="K62" i="19"/>
  <c r="J63" i="19"/>
  <c r="L62" i="23"/>
  <c r="M61" i="23"/>
  <c r="X61" i="13"/>
  <c r="W62" i="13"/>
  <c r="O62" i="19"/>
  <c r="N63" i="19"/>
  <c r="AK60" i="13"/>
  <c r="AJ61" i="13"/>
  <c r="G63" i="32"/>
  <c r="H62" i="32"/>
  <c r="AF60" i="19"/>
  <c r="AE61" i="19"/>
  <c r="L62" i="30"/>
  <c r="M61" i="30"/>
  <c r="Q63" i="30"/>
  <c r="R62" i="30"/>
  <c r="V62" i="32"/>
  <c r="W61" i="32"/>
  <c r="AS62" i="13"/>
  <c r="AR63" i="13"/>
  <c r="T62" i="20"/>
  <c r="S63" i="20"/>
  <c r="G62" i="23"/>
  <c r="H61" i="23"/>
  <c r="O61" i="20"/>
  <c r="N62" i="20"/>
  <c r="S62" i="19"/>
  <c r="R63" i="19"/>
  <c r="AA62" i="19"/>
  <c r="Z63" i="19"/>
  <c r="L62" i="32"/>
  <c r="M61" i="32"/>
  <c r="S60" i="23"/>
  <c r="R61" i="23"/>
  <c r="AF60" i="13"/>
  <c r="AE61" i="13"/>
  <c r="AB61" i="30"/>
  <c r="AA62" i="30"/>
  <c r="G73" i="13"/>
  <c r="H72" i="13"/>
  <c r="G63" i="30"/>
  <c r="H62" i="30"/>
  <c r="AB61" i="32" l="1"/>
  <c r="AA62" i="32"/>
  <c r="F91" i="19"/>
  <c r="G90" i="19"/>
  <c r="F63" i="20"/>
  <c r="G62" i="20"/>
  <c r="O62" i="13"/>
  <c r="P61" i="13"/>
  <c r="V63" i="30"/>
  <c r="W62" i="30"/>
  <c r="V76" i="19"/>
  <c r="W75" i="19"/>
  <c r="AF61" i="13"/>
  <c r="AE62" i="13"/>
  <c r="AA63" i="19"/>
  <c r="Z64" i="19"/>
  <c r="N63" i="20"/>
  <c r="O62" i="20"/>
  <c r="T63" i="20"/>
  <c r="S64" i="20"/>
  <c r="W63" i="13"/>
  <c r="X62" i="13"/>
  <c r="K63" i="19"/>
  <c r="J64" i="19"/>
  <c r="G74" i="13"/>
  <c r="H73" i="13"/>
  <c r="Q64" i="30"/>
  <c r="R63" i="30"/>
  <c r="L63" i="30"/>
  <c r="M62" i="30"/>
  <c r="G64" i="32"/>
  <c r="H63" i="32"/>
  <c r="AA63" i="30"/>
  <c r="AB62" i="30"/>
  <c r="S61" i="23"/>
  <c r="R62" i="23"/>
  <c r="S63" i="19"/>
  <c r="R64" i="19"/>
  <c r="AS63" i="13"/>
  <c r="AR64" i="13"/>
  <c r="AF61" i="19"/>
  <c r="AE62" i="19"/>
  <c r="AK61" i="13"/>
  <c r="AJ62" i="13"/>
  <c r="O63" i="19"/>
  <c r="N64" i="19"/>
  <c r="J64" i="20"/>
  <c r="K63" i="20"/>
  <c r="G64" i="30"/>
  <c r="H63" i="30"/>
  <c r="L63" i="32"/>
  <c r="M62" i="32"/>
  <c r="H62" i="23"/>
  <c r="G63" i="23"/>
  <c r="W62" i="32"/>
  <c r="V63" i="32"/>
  <c r="M62" i="23"/>
  <c r="L63" i="23"/>
  <c r="AA63" i="32" l="1"/>
  <c r="AB62" i="32"/>
  <c r="V64" i="30"/>
  <c r="W63" i="30"/>
  <c r="O63" i="13"/>
  <c r="P62" i="13"/>
  <c r="G63" i="20"/>
  <c r="F64" i="20"/>
  <c r="V77" i="19"/>
  <c r="W76" i="19"/>
  <c r="F92" i="19"/>
  <c r="G91" i="19"/>
  <c r="H63" i="23"/>
  <c r="G64" i="23"/>
  <c r="O64" i="19"/>
  <c r="N65" i="19"/>
  <c r="AF62" i="19"/>
  <c r="AE63" i="19"/>
  <c r="AS64" i="13"/>
  <c r="AR65" i="13"/>
  <c r="S64" i="19"/>
  <c r="R65" i="19"/>
  <c r="T64" i="20"/>
  <c r="S65" i="20"/>
  <c r="AA64" i="19"/>
  <c r="Z65" i="19"/>
  <c r="AA64" i="30"/>
  <c r="AB63" i="30"/>
  <c r="H64" i="32"/>
  <c r="G65" i="32"/>
  <c r="L64" i="30"/>
  <c r="M63" i="30"/>
  <c r="Q65" i="30"/>
  <c r="R64" i="30"/>
  <c r="X63" i="13"/>
  <c r="W64" i="13"/>
  <c r="L64" i="23"/>
  <c r="M63" i="23"/>
  <c r="AK62" i="13"/>
  <c r="AJ63" i="13"/>
  <c r="S62" i="23"/>
  <c r="R63" i="23"/>
  <c r="K64" i="19"/>
  <c r="J65" i="19"/>
  <c r="AE63" i="13"/>
  <c r="AF62" i="13"/>
  <c r="W63" i="32"/>
  <c r="V64" i="32"/>
  <c r="M63" i="32"/>
  <c r="L64" i="32"/>
  <c r="G65" i="30"/>
  <c r="H64" i="30"/>
  <c r="J65" i="20"/>
  <c r="K64" i="20"/>
  <c r="G75" i="13"/>
  <c r="H74" i="13"/>
  <c r="N64" i="20"/>
  <c r="O63" i="20"/>
  <c r="AB63" i="32" l="1"/>
  <c r="AA64" i="32"/>
  <c r="V78" i="19"/>
  <c r="W77" i="19"/>
  <c r="F65" i="20"/>
  <c r="G64" i="20"/>
  <c r="O64" i="13"/>
  <c r="P63" i="13"/>
  <c r="F93" i="19"/>
  <c r="G92" i="19"/>
  <c r="V65" i="30"/>
  <c r="W64" i="30"/>
  <c r="S63" i="23"/>
  <c r="R64" i="23"/>
  <c r="X64" i="13"/>
  <c r="W65" i="13"/>
  <c r="T65" i="20"/>
  <c r="S66" i="20"/>
  <c r="AR66" i="13"/>
  <c r="AS65" i="13"/>
  <c r="O65" i="19"/>
  <c r="N66" i="19"/>
  <c r="M64" i="32"/>
  <c r="L65" i="32"/>
  <c r="O64" i="20"/>
  <c r="N65" i="20"/>
  <c r="K65" i="20"/>
  <c r="J66" i="20"/>
  <c r="L65" i="30"/>
  <c r="M64" i="30"/>
  <c r="AB64" i="30"/>
  <c r="AA65" i="30"/>
  <c r="V65" i="32"/>
  <c r="W64" i="32"/>
  <c r="K65" i="19"/>
  <c r="J66" i="19"/>
  <c r="AK63" i="13"/>
  <c r="AJ64" i="13"/>
  <c r="H65" i="32"/>
  <c r="G66" i="32"/>
  <c r="AA65" i="19"/>
  <c r="Z66" i="19"/>
  <c r="S65" i="19"/>
  <c r="R66" i="19"/>
  <c r="AF63" i="19"/>
  <c r="AE64" i="19"/>
  <c r="H64" i="23"/>
  <c r="G65" i="23"/>
  <c r="G76" i="13"/>
  <c r="H75" i="13"/>
  <c r="H65" i="30"/>
  <c r="G66" i="30"/>
  <c r="AF63" i="13"/>
  <c r="AE64" i="13"/>
  <c r="M64" i="23"/>
  <c r="L65" i="23"/>
  <c r="Q66" i="30"/>
  <c r="R65" i="30"/>
  <c r="AB64" i="32" l="1"/>
  <c r="AA65" i="32"/>
  <c r="F94" i="19"/>
  <c r="G93" i="19"/>
  <c r="P64" i="13"/>
  <c r="O65" i="13"/>
  <c r="F66" i="20"/>
  <c r="G65" i="20"/>
  <c r="V66" i="30"/>
  <c r="W65" i="30"/>
  <c r="V79" i="19"/>
  <c r="W78" i="19"/>
  <c r="AF64" i="13"/>
  <c r="AE65" i="13"/>
  <c r="G66" i="23"/>
  <c r="H65" i="23"/>
  <c r="S66" i="19"/>
  <c r="R67" i="19"/>
  <c r="AK64" i="13"/>
  <c r="AJ65" i="13"/>
  <c r="K66" i="19"/>
  <c r="J67" i="19"/>
  <c r="L66" i="32"/>
  <c r="M65" i="32"/>
  <c r="X65" i="13"/>
  <c r="W66" i="13"/>
  <c r="S64" i="23"/>
  <c r="R65" i="23"/>
  <c r="G77" i="13"/>
  <c r="H76" i="13"/>
  <c r="L66" i="30"/>
  <c r="M65" i="30"/>
  <c r="AS66" i="13"/>
  <c r="AR67" i="13"/>
  <c r="M65" i="23"/>
  <c r="L66" i="23"/>
  <c r="G67" i="30"/>
  <c r="H66" i="30"/>
  <c r="AF64" i="19"/>
  <c r="AE65" i="19"/>
  <c r="AA66" i="19"/>
  <c r="Z67" i="19"/>
  <c r="G67" i="32"/>
  <c r="H66" i="32"/>
  <c r="AB65" i="30"/>
  <c r="AA66" i="30"/>
  <c r="K66" i="20"/>
  <c r="J67" i="20"/>
  <c r="O65" i="20"/>
  <c r="N66" i="20"/>
  <c r="O66" i="19"/>
  <c r="N67" i="19"/>
  <c r="T66" i="20"/>
  <c r="S67" i="20"/>
  <c r="Q67" i="30"/>
  <c r="R66" i="30"/>
  <c r="V66" i="32"/>
  <c r="W65" i="32"/>
  <c r="AB65" i="32" l="1"/>
  <c r="AA66" i="32"/>
  <c r="V67" i="30"/>
  <c r="W66" i="30"/>
  <c r="G66" i="20"/>
  <c r="F67" i="20"/>
  <c r="P65" i="13"/>
  <c r="O66" i="13"/>
  <c r="V80" i="19"/>
  <c r="W79" i="19"/>
  <c r="F95" i="19"/>
  <c r="G94" i="19"/>
  <c r="N67" i="20"/>
  <c r="O66" i="20"/>
  <c r="AF65" i="19"/>
  <c r="AE66" i="19"/>
  <c r="AS67" i="13"/>
  <c r="AR68" i="13"/>
  <c r="S65" i="23"/>
  <c r="R66" i="23"/>
  <c r="AK65" i="13"/>
  <c r="AJ66" i="13"/>
  <c r="S67" i="19"/>
  <c r="R68" i="19"/>
  <c r="AF65" i="13"/>
  <c r="AE66" i="13"/>
  <c r="W66" i="32"/>
  <c r="V67" i="32"/>
  <c r="Q68" i="30"/>
  <c r="R67" i="30"/>
  <c r="G68" i="32"/>
  <c r="H67" i="32"/>
  <c r="G68" i="30"/>
  <c r="H67" i="30"/>
  <c r="T67" i="20"/>
  <c r="S68" i="20"/>
  <c r="O67" i="19"/>
  <c r="N68" i="19"/>
  <c r="J68" i="20"/>
  <c r="K67" i="20"/>
  <c r="AB66" i="30"/>
  <c r="AA67" i="30"/>
  <c r="AA67" i="19"/>
  <c r="Z68" i="19"/>
  <c r="M66" i="23"/>
  <c r="L67" i="23"/>
  <c r="W67" i="13"/>
  <c r="X66" i="13"/>
  <c r="K67" i="19"/>
  <c r="J68" i="19"/>
  <c r="L67" i="30"/>
  <c r="M66" i="30"/>
  <c r="H77" i="13"/>
  <c r="G78" i="13"/>
  <c r="L67" i="32"/>
  <c r="M66" i="32"/>
  <c r="H66" i="23"/>
  <c r="G67" i="23"/>
  <c r="AB66" i="32" l="1"/>
  <c r="AA67" i="32"/>
  <c r="O67" i="13"/>
  <c r="P66" i="13"/>
  <c r="G67" i="20"/>
  <c r="F68" i="20"/>
  <c r="V81" i="19"/>
  <c r="W80" i="19"/>
  <c r="F96" i="19"/>
  <c r="G95" i="19"/>
  <c r="W67" i="30"/>
  <c r="V68" i="30"/>
  <c r="AA68" i="19"/>
  <c r="Z69" i="19"/>
  <c r="T68" i="20"/>
  <c r="S69" i="20"/>
  <c r="W67" i="32"/>
  <c r="V68" i="32"/>
  <c r="AK66" i="13"/>
  <c r="AJ67" i="13"/>
  <c r="S66" i="23"/>
  <c r="R67" i="23"/>
  <c r="AF66" i="19"/>
  <c r="AE67" i="19"/>
  <c r="G68" i="23"/>
  <c r="H67" i="23"/>
  <c r="M67" i="32"/>
  <c r="L68" i="32"/>
  <c r="X67" i="13"/>
  <c r="W68" i="13"/>
  <c r="J69" i="20"/>
  <c r="K68" i="20"/>
  <c r="G69" i="30"/>
  <c r="H68" i="30"/>
  <c r="Q69" i="30"/>
  <c r="R68" i="30"/>
  <c r="N68" i="20"/>
  <c r="O67" i="20"/>
  <c r="G79" i="13"/>
  <c r="H78" i="13"/>
  <c r="K68" i="19"/>
  <c r="J69" i="19"/>
  <c r="M67" i="23"/>
  <c r="L68" i="23"/>
  <c r="AA68" i="30"/>
  <c r="AB67" i="30"/>
  <c r="O68" i="19"/>
  <c r="N69" i="19"/>
  <c r="AE67" i="13"/>
  <c r="AF66" i="13"/>
  <c r="S68" i="19"/>
  <c r="R69" i="19"/>
  <c r="AS68" i="13"/>
  <c r="AR69" i="13"/>
  <c r="L68" i="30"/>
  <c r="M67" i="30"/>
  <c r="H68" i="32"/>
  <c r="G69" i="32"/>
  <c r="AA68" i="32" l="1"/>
  <c r="AB67" i="32"/>
  <c r="F97" i="19"/>
  <c r="G96" i="19"/>
  <c r="V82" i="19"/>
  <c r="W81" i="19"/>
  <c r="F69" i="20"/>
  <c r="G68" i="20"/>
  <c r="W68" i="30"/>
  <c r="V69" i="30"/>
  <c r="P67" i="13"/>
  <c r="O68" i="13"/>
  <c r="S67" i="23"/>
  <c r="R68" i="23"/>
  <c r="V69" i="32"/>
  <c r="W68" i="32"/>
  <c r="AA69" i="19"/>
  <c r="Z70" i="19"/>
  <c r="AR70" i="13"/>
  <c r="AS69" i="13"/>
  <c r="L69" i="30"/>
  <c r="M68" i="30"/>
  <c r="AF67" i="13"/>
  <c r="AE68" i="13"/>
  <c r="AB68" i="30"/>
  <c r="AA69" i="30"/>
  <c r="G80" i="13"/>
  <c r="H79" i="13"/>
  <c r="Q70" i="30"/>
  <c r="R69" i="30"/>
  <c r="K69" i="20"/>
  <c r="J70" i="20"/>
  <c r="H68" i="23"/>
  <c r="G69" i="23"/>
  <c r="H69" i="32"/>
  <c r="G70" i="32"/>
  <c r="S69" i="19"/>
  <c r="R70" i="19"/>
  <c r="O69" i="19"/>
  <c r="N70" i="19"/>
  <c r="M68" i="23"/>
  <c r="L69" i="23"/>
  <c r="K69" i="19"/>
  <c r="J70" i="19"/>
  <c r="X68" i="13"/>
  <c r="W69" i="13"/>
  <c r="M68" i="32"/>
  <c r="L69" i="32"/>
  <c r="AF67" i="19"/>
  <c r="AE68" i="19"/>
  <c r="AK67" i="13"/>
  <c r="AJ68" i="13"/>
  <c r="T69" i="20"/>
  <c r="S70" i="20"/>
  <c r="O68" i="20"/>
  <c r="N69" i="20"/>
  <c r="G70" i="30"/>
  <c r="H69" i="30"/>
  <c r="AA69" i="32" l="1"/>
  <c r="AB68" i="32"/>
  <c r="V70" i="30"/>
  <c r="W69" i="30"/>
  <c r="F70" i="20"/>
  <c r="G69" i="20"/>
  <c r="V83" i="19"/>
  <c r="W82" i="19"/>
  <c r="O69" i="13"/>
  <c r="P68" i="13"/>
  <c r="G97" i="19"/>
  <c r="F98" i="19"/>
  <c r="O69" i="20"/>
  <c r="N70" i="20"/>
  <c r="AF68" i="19"/>
  <c r="AE69" i="19"/>
  <c r="K70" i="19"/>
  <c r="J71" i="19"/>
  <c r="O70" i="19"/>
  <c r="N71" i="19"/>
  <c r="S70" i="19"/>
  <c r="R71" i="19"/>
  <c r="G70" i="23"/>
  <c r="H69" i="23"/>
  <c r="K70" i="20"/>
  <c r="J71" i="20"/>
  <c r="AB69" i="30"/>
  <c r="AA70" i="30"/>
  <c r="AA70" i="19"/>
  <c r="Z71" i="19"/>
  <c r="G81" i="13"/>
  <c r="H80" i="13"/>
  <c r="AS70" i="13"/>
  <c r="AR71" i="13"/>
  <c r="V70" i="32"/>
  <c r="W69" i="32"/>
  <c r="T70" i="20"/>
  <c r="S71" i="20"/>
  <c r="AK68" i="13"/>
  <c r="AJ69" i="13"/>
  <c r="L70" i="32"/>
  <c r="M69" i="32"/>
  <c r="X69" i="13"/>
  <c r="W70" i="13"/>
  <c r="L70" i="23"/>
  <c r="M69" i="23"/>
  <c r="G71" i="32"/>
  <c r="H70" i="32"/>
  <c r="AF68" i="13"/>
  <c r="AE69" i="13"/>
  <c r="S68" i="23"/>
  <c r="R69" i="23"/>
  <c r="G71" i="30"/>
  <c r="H70" i="30"/>
  <c r="Q71" i="30"/>
  <c r="R70" i="30"/>
  <c r="L70" i="30"/>
  <c r="M69" i="30"/>
  <c r="AB69" i="32" l="1"/>
  <c r="AA70" i="32"/>
  <c r="P69" i="13"/>
  <c r="O70" i="13"/>
  <c r="G70" i="20"/>
  <c r="F71" i="20"/>
  <c r="V84" i="19"/>
  <c r="W83" i="19"/>
  <c r="G98" i="19"/>
  <c r="F99" i="19"/>
  <c r="V71" i="30"/>
  <c r="W70" i="30"/>
  <c r="T71" i="20"/>
  <c r="S72" i="20"/>
  <c r="AS71" i="13"/>
  <c r="AR72" i="13"/>
  <c r="J72" i="20"/>
  <c r="K71" i="20"/>
  <c r="S71" i="19"/>
  <c r="R72" i="19"/>
  <c r="K71" i="19"/>
  <c r="J72" i="19"/>
  <c r="AF69" i="19"/>
  <c r="AE70" i="19"/>
  <c r="Q72" i="30"/>
  <c r="R71" i="30"/>
  <c r="M70" i="23"/>
  <c r="L71" i="23"/>
  <c r="L71" i="32"/>
  <c r="M70" i="32"/>
  <c r="H81" i="13"/>
  <c r="G82" i="13"/>
  <c r="S69" i="23"/>
  <c r="R70" i="23"/>
  <c r="AF69" i="13"/>
  <c r="AE70" i="13"/>
  <c r="W71" i="13"/>
  <c r="X70" i="13"/>
  <c r="AK69" i="13"/>
  <c r="AJ70" i="13"/>
  <c r="AA71" i="19"/>
  <c r="Z72" i="19"/>
  <c r="AA71" i="30"/>
  <c r="AB70" i="30"/>
  <c r="O71" i="19"/>
  <c r="N72" i="19"/>
  <c r="N71" i="20"/>
  <c r="O70" i="20"/>
  <c r="M70" i="30"/>
  <c r="L71" i="30"/>
  <c r="G72" i="30"/>
  <c r="H71" i="30"/>
  <c r="G72" i="32"/>
  <c r="H71" i="32"/>
  <c r="W70" i="32"/>
  <c r="V71" i="32"/>
  <c r="H70" i="23"/>
  <c r="G71" i="23"/>
  <c r="AA71" i="32" l="1"/>
  <c r="AB70" i="32"/>
  <c r="G99" i="19"/>
  <c r="F100" i="19"/>
  <c r="V85" i="19"/>
  <c r="W84" i="19"/>
  <c r="G71" i="20"/>
  <c r="F72" i="20"/>
  <c r="O71" i="13"/>
  <c r="P70" i="13"/>
  <c r="V72" i="30"/>
  <c r="W71" i="30"/>
  <c r="AK70" i="13"/>
  <c r="AJ71" i="13"/>
  <c r="S70" i="23"/>
  <c r="R71" i="23"/>
  <c r="G83" i="13"/>
  <c r="H82" i="13"/>
  <c r="K72" i="19"/>
  <c r="J73" i="19"/>
  <c r="AS72" i="13"/>
  <c r="AR73" i="13"/>
  <c r="H72" i="32"/>
  <c r="G73" i="32"/>
  <c r="AA72" i="30"/>
  <c r="AB71" i="30"/>
  <c r="M71" i="32"/>
  <c r="L72" i="32"/>
  <c r="J73" i="20"/>
  <c r="K72" i="20"/>
  <c r="W71" i="32"/>
  <c r="V72" i="32"/>
  <c r="L72" i="30"/>
  <c r="M71" i="30"/>
  <c r="O72" i="19"/>
  <c r="N73" i="19"/>
  <c r="AA72" i="19"/>
  <c r="Z73" i="19"/>
  <c r="AE71" i="13"/>
  <c r="AF70" i="13"/>
  <c r="L72" i="23"/>
  <c r="M71" i="23"/>
  <c r="AF70" i="19"/>
  <c r="AE71" i="19"/>
  <c r="S72" i="19"/>
  <c r="R73" i="19"/>
  <c r="T72" i="20"/>
  <c r="S73" i="20"/>
  <c r="H71" i="23"/>
  <c r="G72" i="23"/>
  <c r="G73" i="30"/>
  <c r="H72" i="30"/>
  <c r="N72" i="20"/>
  <c r="O71" i="20"/>
  <c r="X71" i="13"/>
  <c r="W72" i="13"/>
  <c r="Q73" i="30"/>
  <c r="R72" i="30"/>
  <c r="AA72" i="32" l="1"/>
  <c r="AB71" i="32"/>
  <c r="P71" i="13"/>
  <c r="O72" i="13"/>
  <c r="F73" i="20"/>
  <c r="G72" i="20"/>
  <c r="V86" i="19"/>
  <c r="W85" i="19"/>
  <c r="G100" i="19"/>
  <c r="F101" i="19"/>
  <c r="V73" i="30"/>
  <c r="W72" i="30"/>
  <c r="H72" i="23"/>
  <c r="G73" i="23"/>
  <c r="T73" i="20"/>
  <c r="S74" i="20"/>
  <c r="AF71" i="19"/>
  <c r="AE72" i="19"/>
  <c r="AA73" i="19"/>
  <c r="Z74" i="19"/>
  <c r="V73" i="32"/>
  <c r="W72" i="32"/>
  <c r="M72" i="32"/>
  <c r="L73" i="32"/>
  <c r="H73" i="32"/>
  <c r="G74" i="32"/>
  <c r="AR74" i="13"/>
  <c r="AS73" i="13"/>
  <c r="S71" i="23"/>
  <c r="R72" i="23"/>
  <c r="X72" i="13"/>
  <c r="W73" i="13"/>
  <c r="Q74" i="30"/>
  <c r="R73" i="30"/>
  <c r="O72" i="20"/>
  <c r="N73" i="20"/>
  <c r="L73" i="30"/>
  <c r="M72" i="30"/>
  <c r="K73" i="20"/>
  <c r="J74" i="20"/>
  <c r="AB72" i="30"/>
  <c r="AA73" i="30"/>
  <c r="S73" i="19"/>
  <c r="R74" i="19"/>
  <c r="O73" i="19"/>
  <c r="N74" i="19"/>
  <c r="K73" i="19"/>
  <c r="J74" i="19"/>
  <c r="AK71" i="13"/>
  <c r="AJ72" i="13"/>
  <c r="H73" i="30"/>
  <c r="G74" i="30"/>
  <c r="M72" i="23"/>
  <c r="L73" i="23"/>
  <c r="AF71" i="13"/>
  <c r="AE72" i="13"/>
  <c r="G84" i="13"/>
  <c r="H83" i="13"/>
  <c r="AA73" i="32" l="1"/>
  <c r="AB72" i="32"/>
  <c r="F102" i="19"/>
  <c r="G101" i="19"/>
  <c r="V87" i="19"/>
  <c r="W86" i="19"/>
  <c r="G73" i="20"/>
  <c r="F74" i="20"/>
  <c r="P72" i="13"/>
  <c r="O73" i="13"/>
  <c r="V74" i="30"/>
  <c r="W73" i="30"/>
  <c r="M73" i="23"/>
  <c r="L74" i="23"/>
  <c r="K74" i="19"/>
  <c r="J75" i="19"/>
  <c r="O74" i="19"/>
  <c r="N75" i="19"/>
  <c r="S74" i="19"/>
  <c r="R75" i="19"/>
  <c r="AB73" i="30"/>
  <c r="AA74" i="30"/>
  <c r="O73" i="20"/>
  <c r="N74" i="20"/>
  <c r="X73" i="13"/>
  <c r="W74" i="13"/>
  <c r="S72" i="23"/>
  <c r="R73" i="23"/>
  <c r="L74" i="32"/>
  <c r="M73" i="32"/>
  <c r="AA74" i="19"/>
  <c r="Z75" i="19"/>
  <c r="T74" i="20"/>
  <c r="S75" i="20"/>
  <c r="G85" i="13"/>
  <c r="H84" i="13"/>
  <c r="L74" i="30"/>
  <c r="M73" i="30"/>
  <c r="Q75" i="30"/>
  <c r="R74" i="30"/>
  <c r="G75" i="30"/>
  <c r="H74" i="30"/>
  <c r="AK72" i="13"/>
  <c r="AJ73" i="13"/>
  <c r="K74" i="20"/>
  <c r="J75" i="20"/>
  <c r="G75" i="32"/>
  <c r="H74" i="32"/>
  <c r="AF72" i="19"/>
  <c r="AE73" i="19"/>
  <c r="G74" i="23"/>
  <c r="H73" i="23"/>
  <c r="AF72" i="13"/>
  <c r="AE73" i="13"/>
  <c r="AS74" i="13"/>
  <c r="AR75" i="13"/>
  <c r="V74" i="32"/>
  <c r="W73" i="32"/>
  <c r="AA74" i="32" l="1"/>
  <c r="AB73" i="32"/>
  <c r="P73" i="13"/>
  <c r="O74" i="13"/>
  <c r="G74" i="20"/>
  <c r="F75" i="20"/>
  <c r="V88" i="19"/>
  <c r="W87" i="19"/>
  <c r="V75" i="30"/>
  <c r="W74" i="30"/>
  <c r="G102" i="19"/>
  <c r="F103" i="19"/>
  <c r="AF73" i="13"/>
  <c r="AE74" i="13"/>
  <c r="AF73" i="19"/>
  <c r="AE74" i="19"/>
  <c r="J76" i="20"/>
  <c r="K75" i="20"/>
  <c r="AK73" i="13"/>
  <c r="AJ74" i="13"/>
  <c r="T75" i="20"/>
  <c r="S76" i="20"/>
  <c r="S73" i="23"/>
  <c r="R74" i="23"/>
  <c r="AB74" i="30"/>
  <c r="AA75" i="30"/>
  <c r="S75" i="19"/>
  <c r="R76" i="19"/>
  <c r="M74" i="23"/>
  <c r="L75" i="23"/>
  <c r="G76" i="32"/>
  <c r="H75" i="32"/>
  <c r="G76" i="30"/>
  <c r="H75" i="30"/>
  <c r="Q76" i="30"/>
  <c r="R75" i="30"/>
  <c r="M74" i="30"/>
  <c r="L75" i="30"/>
  <c r="L75" i="32"/>
  <c r="M74" i="32"/>
  <c r="W74" i="32"/>
  <c r="V75" i="32"/>
  <c r="AA75" i="19"/>
  <c r="Z76" i="19"/>
  <c r="W75" i="13"/>
  <c r="X74" i="13"/>
  <c r="N75" i="20"/>
  <c r="O74" i="20"/>
  <c r="O75" i="19"/>
  <c r="N76" i="19"/>
  <c r="K75" i="19"/>
  <c r="J76" i="19"/>
  <c r="AS75" i="13"/>
  <c r="AR76" i="13"/>
  <c r="H74" i="23"/>
  <c r="G75" i="23"/>
  <c r="G86" i="13"/>
  <c r="H85" i="13"/>
  <c r="AA75" i="32" l="1"/>
  <c r="AB74" i="32"/>
  <c r="V76" i="30"/>
  <c r="W75" i="30"/>
  <c r="V89" i="19"/>
  <c r="W88" i="19"/>
  <c r="G75" i="20"/>
  <c r="F76" i="20"/>
  <c r="G103" i="19"/>
  <c r="F104" i="19"/>
  <c r="O75" i="13"/>
  <c r="P74" i="13"/>
  <c r="G76" i="23"/>
  <c r="H75" i="23"/>
  <c r="K76" i="19"/>
  <c r="J77" i="19"/>
  <c r="AA76" i="19"/>
  <c r="Z77" i="19"/>
  <c r="L76" i="30"/>
  <c r="M75" i="30"/>
  <c r="S76" i="19"/>
  <c r="R77" i="19"/>
  <c r="S74" i="23"/>
  <c r="R75" i="23"/>
  <c r="AK74" i="13"/>
  <c r="AJ75" i="13"/>
  <c r="AE75" i="13"/>
  <c r="AF74" i="13"/>
  <c r="G87" i="13"/>
  <c r="H86" i="13"/>
  <c r="N76" i="20"/>
  <c r="O75" i="20"/>
  <c r="M75" i="32"/>
  <c r="L76" i="32"/>
  <c r="G77" i="30"/>
  <c r="H76" i="30"/>
  <c r="J77" i="20"/>
  <c r="K76" i="20"/>
  <c r="AS76" i="13"/>
  <c r="AR77" i="13"/>
  <c r="O76" i="19"/>
  <c r="N77" i="19"/>
  <c r="W75" i="32"/>
  <c r="V76" i="32"/>
  <c r="M75" i="23"/>
  <c r="L76" i="23"/>
  <c r="AA76" i="30"/>
  <c r="AB75" i="30"/>
  <c r="T76" i="20"/>
  <c r="S77" i="20"/>
  <c r="AF74" i="19"/>
  <c r="AE75" i="19"/>
  <c r="X75" i="13"/>
  <c r="W76" i="13"/>
  <c r="Q77" i="30"/>
  <c r="R76" i="30"/>
  <c r="H76" i="32"/>
  <c r="G77" i="32"/>
  <c r="AB75" i="32" l="1"/>
  <c r="AA76" i="32"/>
  <c r="P75" i="13"/>
  <c r="O76" i="13"/>
  <c r="V90" i="19"/>
  <c r="W89" i="19"/>
  <c r="F105" i="19"/>
  <c r="G104" i="19"/>
  <c r="G76" i="20"/>
  <c r="F77" i="20"/>
  <c r="V77" i="30"/>
  <c r="W76" i="30"/>
  <c r="AF75" i="19"/>
  <c r="AE76" i="19"/>
  <c r="G78" i="30"/>
  <c r="H77" i="30"/>
  <c r="O76" i="20"/>
  <c r="N77" i="20"/>
  <c r="G88" i="13"/>
  <c r="H87" i="13"/>
  <c r="AF75" i="13"/>
  <c r="AE76" i="13"/>
  <c r="Q78" i="30"/>
  <c r="R77" i="30"/>
  <c r="AB76" i="30"/>
  <c r="AA77" i="30"/>
  <c r="O77" i="19"/>
  <c r="N78" i="19"/>
  <c r="M76" i="32"/>
  <c r="L77" i="32"/>
  <c r="AK75" i="13"/>
  <c r="AJ76" i="13"/>
  <c r="S75" i="23"/>
  <c r="R76" i="23"/>
  <c r="AA77" i="19"/>
  <c r="Z78" i="19"/>
  <c r="H76" i="23"/>
  <c r="G77" i="23"/>
  <c r="H77" i="32"/>
  <c r="G78" i="32"/>
  <c r="X76" i="13"/>
  <c r="W77" i="13"/>
  <c r="T77" i="20"/>
  <c r="S78" i="20"/>
  <c r="M76" i="23"/>
  <c r="L77" i="23"/>
  <c r="K77" i="20"/>
  <c r="J78" i="20"/>
  <c r="L77" i="30"/>
  <c r="M76" i="30"/>
  <c r="V77" i="32"/>
  <c r="W76" i="32"/>
  <c r="AR78" i="13"/>
  <c r="AS77" i="13"/>
  <c r="S77" i="19"/>
  <c r="R78" i="19"/>
  <c r="K77" i="19"/>
  <c r="J78" i="19"/>
  <c r="AB76" i="32" l="1"/>
  <c r="AA77" i="32"/>
  <c r="F106" i="19"/>
  <c r="G105" i="19"/>
  <c r="W77" i="30"/>
  <c r="V78" i="30"/>
  <c r="V91" i="19"/>
  <c r="W90" i="19"/>
  <c r="P76" i="13"/>
  <c r="O77" i="13"/>
  <c r="F78" i="20"/>
  <c r="G77" i="20"/>
  <c r="AS78" i="13"/>
  <c r="AR79" i="13"/>
  <c r="L78" i="23"/>
  <c r="M77" i="23"/>
  <c r="G79" i="32"/>
  <c r="H78" i="32"/>
  <c r="AA78" i="19"/>
  <c r="Z79" i="19"/>
  <c r="AK76" i="13"/>
  <c r="AJ77" i="13"/>
  <c r="L78" i="32"/>
  <c r="M77" i="32"/>
  <c r="AB77" i="30"/>
  <c r="AA78" i="30"/>
  <c r="S78" i="19"/>
  <c r="R79" i="19"/>
  <c r="V78" i="32"/>
  <c r="W77" i="32"/>
  <c r="K78" i="20"/>
  <c r="J79" i="20"/>
  <c r="T78" i="20"/>
  <c r="S79" i="20"/>
  <c r="X77" i="13"/>
  <c r="W78" i="13"/>
  <c r="G78" i="23"/>
  <c r="H77" i="23"/>
  <c r="S76" i="23"/>
  <c r="R77" i="23"/>
  <c r="O78" i="19"/>
  <c r="N79" i="19"/>
  <c r="G89" i="13"/>
  <c r="H88" i="13"/>
  <c r="G79" i="30"/>
  <c r="G80" i="30" s="1"/>
  <c r="H78" i="30"/>
  <c r="AF76" i="19"/>
  <c r="AE77" i="19"/>
  <c r="K78" i="19"/>
  <c r="J79" i="19"/>
  <c r="M77" i="30"/>
  <c r="L78" i="30"/>
  <c r="Q79" i="30"/>
  <c r="R78" i="30"/>
  <c r="AF76" i="13"/>
  <c r="AE77" i="13"/>
  <c r="O77" i="20"/>
  <c r="N78" i="20"/>
  <c r="AB77" i="32" l="1"/>
  <c r="AA78" i="32"/>
  <c r="R79" i="30"/>
  <c r="Q80" i="30"/>
  <c r="H80" i="30"/>
  <c r="G81" i="30"/>
  <c r="V92" i="19"/>
  <c r="W91" i="19"/>
  <c r="V79" i="30"/>
  <c r="W78" i="30"/>
  <c r="O78" i="13"/>
  <c r="P77" i="13"/>
  <c r="G78" i="20"/>
  <c r="F79" i="20"/>
  <c r="F107" i="19"/>
  <c r="G106" i="19"/>
  <c r="N79" i="20"/>
  <c r="O78" i="20"/>
  <c r="H78" i="23"/>
  <c r="G79" i="23"/>
  <c r="AK77" i="13"/>
  <c r="AJ78" i="13"/>
  <c r="AS79" i="13"/>
  <c r="AR80" i="13"/>
  <c r="AF77" i="13"/>
  <c r="AE78" i="13"/>
  <c r="L79" i="30"/>
  <c r="L80" i="30" s="1"/>
  <c r="M78" i="30"/>
  <c r="H89" i="13"/>
  <c r="G90" i="13"/>
  <c r="K79" i="19"/>
  <c r="J80" i="19"/>
  <c r="O79" i="19"/>
  <c r="N80" i="19"/>
  <c r="S77" i="23"/>
  <c r="R78" i="23"/>
  <c r="W79" i="13"/>
  <c r="X78" i="13"/>
  <c r="J80" i="20"/>
  <c r="K79" i="20"/>
  <c r="S79" i="19"/>
  <c r="R80" i="19"/>
  <c r="G80" i="32"/>
  <c r="H79" i="32"/>
  <c r="H79" i="30"/>
  <c r="W78" i="32"/>
  <c r="V79" i="32"/>
  <c r="AA79" i="19"/>
  <c r="Z80" i="19"/>
  <c r="AF77" i="19"/>
  <c r="AE78" i="19"/>
  <c r="T79" i="20"/>
  <c r="S80" i="20"/>
  <c r="AB78" i="30"/>
  <c r="AA79" i="30"/>
  <c r="L79" i="32"/>
  <c r="M78" i="32"/>
  <c r="M78" i="23"/>
  <c r="L79" i="23"/>
  <c r="AB78" i="32" l="1"/>
  <c r="AA79" i="32"/>
  <c r="W79" i="30"/>
  <c r="V80" i="30"/>
  <c r="AB79" i="30"/>
  <c r="AA80" i="30"/>
  <c r="H81" i="30"/>
  <c r="G82" i="30"/>
  <c r="E90" i="30" s="1"/>
  <c r="M80" i="30"/>
  <c r="L81" i="30"/>
  <c r="R80" i="30"/>
  <c r="Q81" i="30"/>
  <c r="F80" i="20"/>
  <c r="G79" i="20"/>
  <c r="O79" i="13"/>
  <c r="P78" i="13"/>
  <c r="G107" i="19"/>
  <c r="F108" i="19"/>
  <c r="V93" i="19"/>
  <c r="W92" i="19"/>
  <c r="T80" i="20"/>
  <c r="S81" i="20"/>
  <c r="AF78" i="19"/>
  <c r="AE79" i="19"/>
  <c r="S80" i="19"/>
  <c r="R81" i="19"/>
  <c r="O80" i="19"/>
  <c r="N81" i="19"/>
  <c r="K80" i="19"/>
  <c r="J81" i="19"/>
  <c r="AE79" i="13"/>
  <c r="AF78" i="13"/>
  <c r="H79" i="23"/>
  <c r="G80" i="23"/>
  <c r="L80" i="23"/>
  <c r="M79" i="23"/>
  <c r="H80" i="32"/>
  <c r="G81" i="32"/>
  <c r="X79" i="13"/>
  <c r="W80" i="13"/>
  <c r="AA80" i="19"/>
  <c r="Z81" i="19"/>
  <c r="W79" i="32"/>
  <c r="V80" i="32"/>
  <c r="S78" i="23"/>
  <c r="R79" i="23"/>
  <c r="G91" i="13"/>
  <c r="H90" i="13"/>
  <c r="AS80" i="13"/>
  <c r="AR81" i="13"/>
  <c r="AK78" i="13"/>
  <c r="AJ79" i="13"/>
  <c r="M79" i="32"/>
  <c r="L80" i="32"/>
  <c r="J81" i="20"/>
  <c r="K80" i="20"/>
  <c r="M79" i="30"/>
  <c r="N80" i="20"/>
  <c r="O79" i="20"/>
  <c r="AB79" i="32" l="1"/>
  <c r="AA80" i="32"/>
  <c r="R81" i="30"/>
  <c r="Q82" i="30"/>
  <c r="M81" i="30"/>
  <c r="L82" i="30"/>
  <c r="J90" i="30" s="1"/>
  <c r="H82" i="30"/>
  <c r="E93" i="30" s="1"/>
  <c r="AB80" i="30"/>
  <c r="AA81" i="30"/>
  <c r="W80" i="30"/>
  <c r="V81" i="30"/>
  <c r="V94" i="19"/>
  <c r="W93" i="19"/>
  <c r="G108" i="19"/>
  <c r="F109" i="19"/>
  <c r="P79" i="13"/>
  <c r="O80" i="13"/>
  <c r="G80" i="20"/>
  <c r="F81" i="20"/>
  <c r="AK79" i="13"/>
  <c r="AJ80" i="13"/>
  <c r="S79" i="23"/>
  <c r="R80" i="23"/>
  <c r="AA81" i="19"/>
  <c r="Z82" i="19"/>
  <c r="X80" i="13"/>
  <c r="W81" i="13"/>
  <c r="H80" i="23"/>
  <c r="G81" i="23"/>
  <c r="O81" i="19"/>
  <c r="N82" i="19"/>
  <c r="T81" i="20"/>
  <c r="S82" i="20"/>
  <c r="G92" i="13"/>
  <c r="H91" i="13"/>
  <c r="O80" i="20"/>
  <c r="N81" i="20"/>
  <c r="M80" i="32"/>
  <c r="L81" i="32"/>
  <c r="AR82" i="13"/>
  <c r="AS81" i="13"/>
  <c r="V81" i="32"/>
  <c r="W80" i="32"/>
  <c r="H81" i="32"/>
  <c r="G82" i="32"/>
  <c r="K81" i="19"/>
  <c r="J82" i="19"/>
  <c r="S81" i="19"/>
  <c r="R82" i="19"/>
  <c r="AF79" i="19"/>
  <c r="AE80" i="19"/>
  <c r="K81" i="20"/>
  <c r="J82" i="20"/>
  <c r="M80" i="23"/>
  <c r="L81" i="23"/>
  <c r="AF79" i="13"/>
  <c r="AE80" i="13"/>
  <c r="AA81" i="32" l="1"/>
  <c r="AB80" i="32"/>
  <c r="R82" i="30"/>
  <c r="O93" i="30" s="1"/>
  <c r="O90" i="30"/>
  <c r="W81" i="30"/>
  <c r="V82" i="30"/>
  <c r="AB81" i="30"/>
  <c r="AA82" i="30"/>
  <c r="M82" i="30"/>
  <c r="J93" i="30" s="1"/>
  <c r="F82" i="20"/>
  <c r="G81" i="20"/>
  <c r="O81" i="13"/>
  <c r="P80" i="13"/>
  <c r="G109" i="19"/>
  <c r="F110" i="19"/>
  <c r="V95" i="19"/>
  <c r="W94" i="19"/>
  <c r="AF80" i="13"/>
  <c r="AE81" i="13"/>
  <c r="S82" i="19"/>
  <c r="R83" i="19"/>
  <c r="G83" i="32"/>
  <c r="H82" i="32"/>
  <c r="L82" i="32"/>
  <c r="M81" i="32"/>
  <c r="O81" i="20"/>
  <c r="N82" i="20"/>
  <c r="T82" i="20"/>
  <c r="S83" i="20"/>
  <c r="O82" i="19"/>
  <c r="N83" i="19"/>
  <c r="G82" i="23"/>
  <c r="H81" i="23"/>
  <c r="AA82" i="19"/>
  <c r="Z83" i="19"/>
  <c r="AK80" i="13"/>
  <c r="AJ81" i="13"/>
  <c r="V82" i="32"/>
  <c r="W81" i="32"/>
  <c r="M81" i="23"/>
  <c r="L82" i="23"/>
  <c r="K82" i="20"/>
  <c r="J83" i="20"/>
  <c r="AF80" i="19"/>
  <c r="AE81" i="19"/>
  <c r="K82" i="19"/>
  <c r="J83" i="19"/>
  <c r="X81" i="13"/>
  <c r="W82" i="13"/>
  <c r="S80" i="23"/>
  <c r="R81" i="23"/>
  <c r="AS82" i="13"/>
  <c r="AR83" i="13"/>
  <c r="G93" i="13"/>
  <c r="H92" i="13"/>
  <c r="AA82" i="32" l="1"/>
  <c r="AB81" i="32"/>
  <c r="W82" i="30"/>
  <c r="T93" i="30" s="1"/>
  <c r="T90" i="30"/>
  <c r="AB82" i="30"/>
  <c r="Y93" i="30" s="1"/>
  <c r="Y90" i="30"/>
  <c r="V96" i="19"/>
  <c r="W95" i="19"/>
  <c r="G110" i="19"/>
  <c r="F111" i="19"/>
  <c r="P81" i="13"/>
  <c r="O82" i="13"/>
  <c r="G82" i="20"/>
  <c r="F83" i="20"/>
  <c r="L83" i="32"/>
  <c r="M82" i="32"/>
  <c r="AS83" i="13"/>
  <c r="AR84" i="13"/>
  <c r="W83" i="13"/>
  <c r="X82" i="13"/>
  <c r="AF81" i="19"/>
  <c r="AE82" i="19"/>
  <c r="M82" i="23"/>
  <c r="L83" i="23"/>
  <c r="AA83" i="19"/>
  <c r="Z84" i="19"/>
  <c r="O83" i="19"/>
  <c r="N84" i="19"/>
  <c r="N83" i="20"/>
  <c r="O82" i="20"/>
  <c r="AF81" i="13"/>
  <c r="AE82" i="13"/>
  <c r="H93" i="13"/>
  <c r="G94" i="13"/>
  <c r="G84" i="32"/>
  <c r="H83" i="32"/>
  <c r="W82" i="32"/>
  <c r="V83" i="32"/>
  <c r="H82" i="23"/>
  <c r="G83" i="23"/>
  <c r="S81" i="23"/>
  <c r="R82" i="23"/>
  <c r="K83" i="19"/>
  <c r="J84" i="19"/>
  <c r="J84" i="20"/>
  <c r="K83" i="20"/>
  <c r="AK81" i="13"/>
  <c r="AJ82" i="13"/>
  <c r="T83" i="20"/>
  <c r="S84" i="20"/>
  <c r="S83" i="19"/>
  <c r="R84" i="19"/>
  <c r="AB82" i="32" l="1"/>
  <c r="AA83" i="32"/>
  <c r="F84" i="20"/>
  <c r="G83" i="20"/>
  <c r="P82" i="13"/>
  <c r="O83" i="13"/>
  <c r="F112" i="19"/>
  <c r="G111" i="19"/>
  <c r="W96" i="19"/>
  <c r="V97" i="19"/>
  <c r="M83" i="32"/>
  <c r="L84" i="32"/>
  <c r="T84" i="20"/>
  <c r="S85" i="20"/>
  <c r="W83" i="32"/>
  <c r="V84" i="32"/>
  <c r="AE83" i="13"/>
  <c r="AF82" i="13"/>
  <c r="AA84" i="19"/>
  <c r="Z85" i="19"/>
  <c r="M83" i="23"/>
  <c r="L84" i="23"/>
  <c r="AS84" i="13"/>
  <c r="AR85" i="13"/>
  <c r="S84" i="19"/>
  <c r="R85" i="19"/>
  <c r="AK82" i="13"/>
  <c r="AJ83" i="13"/>
  <c r="K84" i="19"/>
  <c r="J85" i="19"/>
  <c r="S82" i="23"/>
  <c r="R83" i="23"/>
  <c r="G84" i="23"/>
  <c r="H83" i="23"/>
  <c r="G95" i="13"/>
  <c r="H94" i="13"/>
  <c r="O84" i="19"/>
  <c r="N85" i="19"/>
  <c r="AF82" i="19"/>
  <c r="AE83" i="19"/>
  <c r="H84" i="32"/>
  <c r="G85" i="32"/>
  <c r="J85" i="20"/>
  <c r="K84" i="20"/>
  <c r="N84" i="20"/>
  <c r="O83" i="20"/>
  <c r="X83" i="13"/>
  <c r="W84" i="13"/>
  <c r="AA84" i="32" l="1"/>
  <c r="AB83" i="32"/>
  <c r="W97" i="19"/>
  <c r="V98" i="19"/>
  <c r="P83" i="13"/>
  <c r="O84" i="13"/>
  <c r="G112" i="19"/>
  <c r="F113" i="19"/>
  <c r="G84" i="20"/>
  <c r="F85" i="20"/>
  <c r="AF83" i="19"/>
  <c r="AE84" i="19"/>
  <c r="K85" i="19"/>
  <c r="J86" i="19"/>
  <c r="AA85" i="19"/>
  <c r="Z86" i="19"/>
  <c r="H84" i="23"/>
  <c r="G85" i="23"/>
  <c r="X84" i="13"/>
  <c r="W85" i="13"/>
  <c r="S85" i="19"/>
  <c r="R86" i="19"/>
  <c r="M84" i="32"/>
  <c r="L85" i="32"/>
  <c r="H85" i="32"/>
  <c r="G86" i="32"/>
  <c r="S83" i="23"/>
  <c r="R84" i="23"/>
  <c r="AK83" i="13"/>
  <c r="AJ84" i="13"/>
  <c r="AR86" i="13"/>
  <c r="AS85" i="13"/>
  <c r="M84" i="23"/>
  <c r="L85" i="23"/>
  <c r="V85" i="32"/>
  <c r="W84" i="32"/>
  <c r="T85" i="20"/>
  <c r="S86" i="20"/>
  <c r="O85" i="19"/>
  <c r="N86" i="19"/>
  <c r="O84" i="20"/>
  <c r="N85" i="20"/>
  <c r="K85" i="20"/>
  <c r="J86" i="20"/>
  <c r="G96" i="13"/>
  <c r="H95" i="13"/>
  <c r="AF83" i="13"/>
  <c r="AE84" i="13"/>
  <c r="AB84" i="32" l="1"/>
  <c r="AA85" i="32"/>
  <c r="F86" i="20"/>
  <c r="G85" i="20"/>
  <c r="G113" i="19"/>
  <c r="F114" i="19"/>
  <c r="O85" i="13"/>
  <c r="P84" i="13"/>
  <c r="W98" i="19"/>
  <c r="V99" i="19"/>
  <c r="O86" i="19"/>
  <c r="N87" i="19"/>
  <c r="K86" i="19"/>
  <c r="J87" i="19"/>
  <c r="G97" i="13"/>
  <c r="H96" i="13"/>
  <c r="V86" i="32"/>
  <c r="W85" i="32"/>
  <c r="AS86" i="13"/>
  <c r="AR87" i="13"/>
  <c r="AF84" i="13"/>
  <c r="AE85" i="13"/>
  <c r="L86" i="32"/>
  <c r="M85" i="32"/>
  <c r="S86" i="19"/>
  <c r="R87" i="19"/>
  <c r="AA86" i="19"/>
  <c r="Z87" i="19"/>
  <c r="O85" i="20"/>
  <c r="N86" i="20"/>
  <c r="T86" i="20"/>
  <c r="S87" i="20"/>
  <c r="L86" i="23"/>
  <c r="M85" i="23"/>
  <c r="AK84" i="13"/>
  <c r="AJ85" i="13"/>
  <c r="H86" i="32"/>
  <c r="G87" i="32"/>
  <c r="X85" i="13"/>
  <c r="W86" i="13"/>
  <c r="G86" i="23"/>
  <c r="H85" i="23"/>
  <c r="AF84" i="19"/>
  <c r="AE85" i="19"/>
  <c r="K86" i="20"/>
  <c r="J87" i="20"/>
  <c r="S84" i="23"/>
  <c r="R85" i="23"/>
  <c r="AA86" i="32" l="1"/>
  <c r="AB85" i="32"/>
  <c r="O86" i="13"/>
  <c r="P85" i="13"/>
  <c r="W99" i="19"/>
  <c r="V100" i="19"/>
  <c r="G114" i="19"/>
  <c r="F115" i="19"/>
  <c r="G86" i="20"/>
  <c r="F87" i="20"/>
  <c r="H86" i="23"/>
  <c r="G87" i="23"/>
  <c r="L87" i="32"/>
  <c r="M86" i="32"/>
  <c r="V87" i="32"/>
  <c r="W86" i="32"/>
  <c r="J88" i="20"/>
  <c r="K87" i="20"/>
  <c r="AF85" i="19"/>
  <c r="AE86" i="19"/>
  <c r="AK85" i="13"/>
  <c r="AJ86" i="13"/>
  <c r="T87" i="20"/>
  <c r="S88" i="20"/>
  <c r="AA87" i="19"/>
  <c r="Z88" i="19"/>
  <c r="K87" i="19"/>
  <c r="J88" i="19"/>
  <c r="S85" i="23"/>
  <c r="R86" i="23"/>
  <c r="W87" i="13"/>
  <c r="X86" i="13"/>
  <c r="H87" i="32"/>
  <c r="G88" i="32"/>
  <c r="N87" i="20"/>
  <c r="O86" i="20"/>
  <c r="S87" i="19"/>
  <c r="R88" i="19"/>
  <c r="AF85" i="13"/>
  <c r="AE86" i="13"/>
  <c r="AS87" i="13"/>
  <c r="AR88" i="13"/>
  <c r="O87" i="19"/>
  <c r="N88" i="19"/>
  <c r="M86" i="23"/>
  <c r="L87" i="23"/>
  <c r="G98" i="13"/>
  <c r="H97" i="13"/>
  <c r="AA87" i="32" l="1"/>
  <c r="AB86" i="32"/>
  <c r="G87" i="20"/>
  <c r="F88" i="20"/>
  <c r="G115" i="19"/>
  <c r="F116" i="19"/>
  <c r="V101" i="19"/>
  <c r="W100" i="19"/>
  <c r="O87" i="13"/>
  <c r="P86" i="13"/>
  <c r="AS88" i="13"/>
  <c r="AR89" i="13"/>
  <c r="J89" i="20"/>
  <c r="K88" i="20"/>
  <c r="S88" i="19"/>
  <c r="R89" i="19"/>
  <c r="T88" i="20"/>
  <c r="S89" i="20"/>
  <c r="H87" i="23"/>
  <c r="G88" i="23"/>
  <c r="G99" i="13"/>
  <c r="H98" i="13"/>
  <c r="L88" i="23"/>
  <c r="M87" i="23"/>
  <c r="AE87" i="13"/>
  <c r="AF86" i="13"/>
  <c r="AA88" i="19"/>
  <c r="Z89" i="19"/>
  <c r="AK86" i="13"/>
  <c r="AJ87" i="13"/>
  <c r="AF86" i="19"/>
  <c r="AE87" i="19"/>
  <c r="O88" i="19"/>
  <c r="N89" i="19"/>
  <c r="G89" i="32"/>
  <c r="H88" i="32"/>
  <c r="S86" i="23"/>
  <c r="R87" i="23"/>
  <c r="K88" i="19"/>
  <c r="J89" i="19"/>
  <c r="N88" i="20"/>
  <c r="O87" i="20"/>
  <c r="X87" i="13"/>
  <c r="W88" i="13"/>
  <c r="W87" i="32"/>
  <c r="V88" i="32"/>
  <c r="L88" i="32"/>
  <c r="M87" i="32"/>
  <c r="AB87" i="32" l="1"/>
  <c r="AA88" i="32"/>
  <c r="P87" i="13"/>
  <c r="O88" i="13"/>
  <c r="W101" i="19"/>
  <c r="V102" i="19"/>
  <c r="G116" i="19"/>
  <c r="F117" i="19"/>
  <c r="G88" i="20"/>
  <c r="F89" i="20"/>
  <c r="W88" i="32"/>
  <c r="V89" i="32"/>
  <c r="X88" i="13"/>
  <c r="W89" i="13"/>
  <c r="K89" i="19"/>
  <c r="J90" i="19"/>
  <c r="S89" i="19"/>
  <c r="R90" i="19"/>
  <c r="AF87" i="13"/>
  <c r="AE88" i="13"/>
  <c r="G100" i="13"/>
  <c r="H99" i="13"/>
  <c r="AK87" i="13"/>
  <c r="AJ88" i="13"/>
  <c r="G90" i="32"/>
  <c r="H89" i="32"/>
  <c r="S87" i="23"/>
  <c r="R88" i="23"/>
  <c r="O89" i="19"/>
  <c r="N90" i="19"/>
  <c r="AF87" i="19"/>
  <c r="AE88" i="19"/>
  <c r="AA89" i="19"/>
  <c r="Z90" i="19"/>
  <c r="H88" i="23"/>
  <c r="G89" i="23"/>
  <c r="T89" i="20"/>
  <c r="S90" i="20"/>
  <c r="AR90" i="13"/>
  <c r="AS89" i="13"/>
  <c r="M88" i="32"/>
  <c r="L89" i="32"/>
  <c r="O88" i="20"/>
  <c r="N89" i="20"/>
  <c r="M88" i="23"/>
  <c r="L89" i="23"/>
  <c r="K89" i="20"/>
  <c r="J90" i="20"/>
  <c r="AB88" i="32" l="1"/>
  <c r="AA89" i="32"/>
  <c r="F90" i="20"/>
  <c r="G89" i="20"/>
  <c r="G117" i="19"/>
  <c r="F118" i="19"/>
  <c r="W102" i="19"/>
  <c r="V103" i="19"/>
  <c r="P88" i="13"/>
  <c r="O89" i="13"/>
  <c r="K90" i="20"/>
  <c r="J91" i="20"/>
  <c r="M89" i="32"/>
  <c r="L90" i="32"/>
  <c r="AA90" i="19"/>
  <c r="Z91" i="19"/>
  <c r="O90" i="19"/>
  <c r="N91" i="19"/>
  <c r="G101" i="13"/>
  <c r="H100" i="13"/>
  <c r="O89" i="20"/>
  <c r="N90" i="20"/>
  <c r="G90" i="23"/>
  <c r="H89" i="23"/>
  <c r="X89" i="13"/>
  <c r="W90" i="13"/>
  <c r="M89" i="23"/>
  <c r="L90" i="23"/>
  <c r="T90" i="20"/>
  <c r="S91" i="20"/>
  <c r="AF88" i="19"/>
  <c r="AE89" i="19"/>
  <c r="S88" i="23"/>
  <c r="R89" i="23"/>
  <c r="AK88" i="13"/>
  <c r="AJ89" i="13"/>
  <c r="AF88" i="13"/>
  <c r="AE89" i="13"/>
  <c r="S90" i="19"/>
  <c r="R91" i="19"/>
  <c r="K90" i="19"/>
  <c r="J91" i="19"/>
  <c r="W89" i="32"/>
  <c r="V90" i="32"/>
  <c r="AS90" i="13"/>
  <c r="AR91" i="13"/>
  <c r="G91" i="32"/>
  <c r="H90" i="32"/>
  <c r="AB89" i="32" l="1"/>
  <c r="AA90" i="32"/>
  <c r="P89" i="13"/>
  <c r="O90" i="13"/>
  <c r="W103" i="19"/>
  <c r="V104" i="19"/>
  <c r="G118" i="19"/>
  <c r="F119" i="19"/>
  <c r="G90" i="20"/>
  <c r="F91" i="20"/>
  <c r="AK89" i="13"/>
  <c r="AJ90" i="13"/>
  <c r="T91" i="20"/>
  <c r="S92" i="20"/>
  <c r="AA91" i="19"/>
  <c r="Z92" i="19"/>
  <c r="M90" i="32"/>
  <c r="L91" i="32"/>
  <c r="G92" i="32"/>
  <c r="H91" i="32"/>
  <c r="H90" i="23"/>
  <c r="G91" i="23"/>
  <c r="W90" i="32"/>
  <c r="V91" i="32"/>
  <c r="AF89" i="19"/>
  <c r="AE90" i="19"/>
  <c r="M90" i="23"/>
  <c r="L91" i="23"/>
  <c r="AS91" i="13"/>
  <c r="AR92" i="13"/>
  <c r="K91" i="19"/>
  <c r="J92" i="19"/>
  <c r="S91" i="19"/>
  <c r="R92" i="19"/>
  <c r="AF89" i="13"/>
  <c r="AE90" i="13"/>
  <c r="R90" i="23"/>
  <c r="S89" i="23"/>
  <c r="W91" i="13"/>
  <c r="X90" i="13"/>
  <c r="N91" i="20"/>
  <c r="O90" i="20"/>
  <c r="O91" i="19"/>
  <c r="N92" i="19"/>
  <c r="J92" i="20"/>
  <c r="K91" i="20"/>
  <c r="G102" i="13"/>
  <c r="H101" i="13"/>
  <c r="AB90" i="32" l="1"/>
  <c r="AA91" i="32"/>
  <c r="G91" i="20"/>
  <c r="F92" i="20"/>
  <c r="G119" i="19"/>
  <c r="F120" i="19"/>
  <c r="W104" i="19"/>
  <c r="V105" i="19"/>
  <c r="O91" i="13"/>
  <c r="P90" i="13"/>
  <c r="AS92" i="13"/>
  <c r="AR93" i="13"/>
  <c r="AF90" i="19"/>
  <c r="AE91" i="19"/>
  <c r="W91" i="32"/>
  <c r="V92" i="32"/>
  <c r="G92" i="23"/>
  <c r="H91" i="23"/>
  <c r="M91" i="32"/>
  <c r="L92" i="32"/>
  <c r="T92" i="20"/>
  <c r="S93" i="20"/>
  <c r="N92" i="20"/>
  <c r="O91" i="20"/>
  <c r="S90" i="23"/>
  <c r="R91" i="23"/>
  <c r="S92" i="19"/>
  <c r="R93" i="19"/>
  <c r="G103" i="13"/>
  <c r="H102" i="13"/>
  <c r="O92" i="19"/>
  <c r="N93" i="19"/>
  <c r="AE91" i="13"/>
  <c r="AF90" i="13"/>
  <c r="K92" i="19"/>
  <c r="J93" i="19"/>
  <c r="M91" i="23"/>
  <c r="L92" i="23"/>
  <c r="AA92" i="19"/>
  <c r="Z93" i="19"/>
  <c r="AK90" i="13"/>
  <c r="AJ91" i="13"/>
  <c r="J93" i="20"/>
  <c r="K92" i="20"/>
  <c r="X91" i="13"/>
  <c r="W92" i="13"/>
  <c r="G93" i="32"/>
  <c r="H92" i="32"/>
  <c r="AB91" i="32" l="1"/>
  <c r="AA92" i="32"/>
  <c r="V106" i="19"/>
  <c r="W105" i="19"/>
  <c r="F121" i="19"/>
  <c r="G120" i="19"/>
  <c r="P91" i="13"/>
  <c r="O92" i="13"/>
  <c r="F93" i="20"/>
  <c r="G92" i="20"/>
  <c r="AK91" i="13"/>
  <c r="AJ92" i="13"/>
  <c r="K93" i="19"/>
  <c r="J94" i="19"/>
  <c r="O93" i="19"/>
  <c r="N94" i="19"/>
  <c r="G94" i="32"/>
  <c r="H93" i="32"/>
  <c r="H92" i="23"/>
  <c r="G93" i="23"/>
  <c r="AA93" i="19"/>
  <c r="Z94" i="19"/>
  <c r="T93" i="20"/>
  <c r="S94" i="20"/>
  <c r="AF91" i="19"/>
  <c r="AE92" i="19"/>
  <c r="S93" i="19"/>
  <c r="R94" i="19"/>
  <c r="S91" i="23"/>
  <c r="R92" i="23"/>
  <c r="M92" i="32"/>
  <c r="L93" i="32"/>
  <c r="W92" i="32"/>
  <c r="V93" i="32"/>
  <c r="AR94" i="13"/>
  <c r="AS93" i="13"/>
  <c r="X92" i="13"/>
  <c r="W93" i="13"/>
  <c r="M92" i="23"/>
  <c r="L93" i="23"/>
  <c r="K93" i="20"/>
  <c r="J94" i="20"/>
  <c r="AF91" i="13"/>
  <c r="AE92" i="13"/>
  <c r="G104" i="13"/>
  <c r="H103" i="13"/>
  <c r="O92" i="20"/>
  <c r="N93" i="20"/>
  <c r="AB92" i="32" l="1"/>
  <c r="AA93" i="32"/>
  <c r="F94" i="20"/>
  <c r="G93" i="20"/>
  <c r="P92" i="13"/>
  <c r="O93" i="13"/>
  <c r="G121" i="19"/>
  <c r="F122" i="19"/>
  <c r="V107" i="19"/>
  <c r="W106" i="19"/>
  <c r="W93" i="32"/>
  <c r="V94" i="32"/>
  <c r="S94" i="19"/>
  <c r="R95" i="19"/>
  <c r="T94" i="20"/>
  <c r="S95" i="20"/>
  <c r="K94" i="19"/>
  <c r="J95" i="19"/>
  <c r="AF92" i="13"/>
  <c r="AE93" i="13"/>
  <c r="X93" i="13"/>
  <c r="W94" i="13"/>
  <c r="K94" i="20"/>
  <c r="J95" i="20"/>
  <c r="L94" i="23"/>
  <c r="M93" i="23"/>
  <c r="M93" i="32"/>
  <c r="L94" i="32"/>
  <c r="S92" i="23"/>
  <c r="R93" i="23"/>
  <c r="AF92" i="19"/>
  <c r="AE93" i="19"/>
  <c r="G94" i="23"/>
  <c r="H93" i="23"/>
  <c r="O94" i="19"/>
  <c r="N95" i="19"/>
  <c r="AK92" i="13"/>
  <c r="AJ93" i="13"/>
  <c r="O93" i="20"/>
  <c r="N94" i="20"/>
  <c r="AA94" i="19"/>
  <c r="Z95" i="19"/>
  <c r="G105" i="13"/>
  <c r="H104" i="13"/>
  <c r="AS94" i="13"/>
  <c r="AR95" i="13"/>
  <c r="G95" i="32"/>
  <c r="H94" i="32"/>
  <c r="AB93" i="32" l="1"/>
  <c r="AA94" i="32"/>
  <c r="W107" i="19"/>
  <c r="V108" i="19"/>
  <c r="P93" i="13"/>
  <c r="O94" i="13"/>
  <c r="G122" i="19"/>
  <c r="F123" i="19"/>
  <c r="G94" i="20"/>
  <c r="F95" i="20"/>
  <c r="AA95" i="19"/>
  <c r="Z96" i="19"/>
  <c r="K95" i="19"/>
  <c r="J96" i="19"/>
  <c r="G106" i="13"/>
  <c r="H105" i="13"/>
  <c r="AS95" i="13"/>
  <c r="AR96" i="13"/>
  <c r="AK93" i="13"/>
  <c r="AJ94" i="13"/>
  <c r="M94" i="32"/>
  <c r="L95" i="32"/>
  <c r="J96" i="20"/>
  <c r="K95" i="20"/>
  <c r="W95" i="13"/>
  <c r="X94" i="13"/>
  <c r="W94" i="32"/>
  <c r="V95" i="32"/>
  <c r="G96" i="32"/>
  <c r="H95" i="32"/>
  <c r="N95" i="20"/>
  <c r="O94" i="20"/>
  <c r="O95" i="19"/>
  <c r="N96" i="19"/>
  <c r="AF93" i="19"/>
  <c r="AE94" i="19"/>
  <c r="S93" i="23"/>
  <c r="R94" i="23"/>
  <c r="AF93" i="13"/>
  <c r="AE94" i="13"/>
  <c r="T95" i="20"/>
  <c r="S96" i="20"/>
  <c r="S95" i="19"/>
  <c r="R96" i="19"/>
  <c r="H94" i="23"/>
  <c r="G95" i="23"/>
  <c r="M94" i="23"/>
  <c r="L95" i="23"/>
  <c r="AA95" i="32" l="1"/>
  <c r="AB94" i="32"/>
  <c r="G123" i="19"/>
  <c r="F124" i="19"/>
  <c r="O95" i="13"/>
  <c r="P94" i="13"/>
  <c r="G95" i="20"/>
  <c r="F96" i="20"/>
  <c r="V109" i="19"/>
  <c r="W108" i="19"/>
  <c r="L96" i="23"/>
  <c r="M95" i="23"/>
  <c r="T96" i="20"/>
  <c r="S97" i="20"/>
  <c r="AS96" i="13"/>
  <c r="AR97" i="13"/>
  <c r="J97" i="19"/>
  <c r="K96" i="19"/>
  <c r="N96" i="20"/>
  <c r="O95" i="20"/>
  <c r="J97" i="20"/>
  <c r="K96" i="20"/>
  <c r="AF94" i="19"/>
  <c r="AE95" i="19"/>
  <c r="W95" i="32"/>
  <c r="V96" i="32"/>
  <c r="H95" i="23"/>
  <c r="G96" i="23"/>
  <c r="R97" i="19"/>
  <c r="S96" i="19"/>
  <c r="AE95" i="13"/>
  <c r="AF94" i="13"/>
  <c r="S94" i="23"/>
  <c r="R95" i="23"/>
  <c r="O96" i="19"/>
  <c r="N97" i="19"/>
  <c r="M95" i="32"/>
  <c r="L96" i="32"/>
  <c r="AK94" i="13"/>
  <c r="AJ95" i="13"/>
  <c r="AA96" i="19"/>
  <c r="Z97" i="19"/>
  <c r="G97" i="32"/>
  <c r="H96" i="32"/>
  <c r="X95" i="13"/>
  <c r="W96" i="13"/>
  <c r="G107" i="13"/>
  <c r="H106" i="13"/>
  <c r="AB95" i="32" l="1"/>
  <c r="AA96" i="32"/>
  <c r="P95" i="13"/>
  <c r="O96" i="13"/>
  <c r="W109" i="19"/>
  <c r="V110" i="19"/>
  <c r="F125" i="19"/>
  <c r="G124" i="19"/>
  <c r="F97" i="20"/>
  <c r="G96" i="20"/>
  <c r="H96" i="23"/>
  <c r="G97" i="23"/>
  <c r="K97" i="20"/>
  <c r="J98" i="20"/>
  <c r="J98" i="19"/>
  <c r="K97" i="19"/>
  <c r="AA97" i="19"/>
  <c r="Z98" i="19"/>
  <c r="S95" i="23"/>
  <c r="R96" i="23"/>
  <c r="W96" i="32"/>
  <c r="V97" i="32"/>
  <c r="AR98" i="13"/>
  <c r="AS97" i="13"/>
  <c r="T97" i="20"/>
  <c r="S98" i="20"/>
  <c r="AK95" i="13"/>
  <c r="AJ96" i="13"/>
  <c r="O97" i="19"/>
  <c r="N98" i="19"/>
  <c r="AF95" i="19"/>
  <c r="AE96" i="19"/>
  <c r="X96" i="13"/>
  <c r="W97" i="13"/>
  <c r="M96" i="32"/>
  <c r="L97" i="32"/>
  <c r="G108" i="13"/>
  <c r="H107" i="13"/>
  <c r="G98" i="32"/>
  <c r="H97" i="32"/>
  <c r="AF95" i="13"/>
  <c r="AE96" i="13"/>
  <c r="R98" i="19"/>
  <c r="S97" i="19"/>
  <c r="O96" i="20"/>
  <c r="N97" i="20"/>
  <c r="M96" i="23"/>
  <c r="L97" i="23"/>
  <c r="AA97" i="32" l="1"/>
  <c r="AB96" i="32"/>
  <c r="W110" i="19"/>
  <c r="V111" i="19"/>
  <c r="O97" i="13"/>
  <c r="P96" i="13"/>
  <c r="F98" i="20"/>
  <c r="G97" i="20"/>
  <c r="G125" i="19"/>
  <c r="F126" i="19"/>
  <c r="O98" i="19"/>
  <c r="N99" i="19"/>
  <c r="T98" i="20"/>
  <c r="S99" i="20"/>
  <c r="Z99" i="19"/>
  <c r="AA98" i="19"/>
  <c r="K98" i="20"/>
  <c r="J99" i="20"/>
  <c r="G98" i="23"/>
  <c r="H97" i="23"/>
  <c r="M97" i="23"/>
  <c r="L98" i="23"/>
  <c r="M97" i="32"/>
  <c r="L98" i="32"/>
  <c r="W97" i="32"/>
  <c r="V98" i="32"/>
  <c r="R99" i="19"/>
  <c r="S98" i="19"/>
  <c r="H98" i="32"/>
  <c r="G99" i="32"/>
  <c r="O97" i="20"/>
  <c r="N98" i="20"/>
  <c r="AF96" i="13"/>
  <c r="AE97" i="13"/>
  <c r="X97" i="13"/>
  <c r="W98" i="13"/>
  <c r="AF96" i="19"/>
  <c r="AE97" i="19"/>
  <c r="AK96" i="13"/>
  <c r="AJ97" i="13"/>
  <c r="S96" i="23"/>
  <c r="R97" i="23"/>
  <c r="G109" i="13"/>
  <c r="H108" i="13"/>
  <c r="AS98" i="13"/>
  <c r="AR99" i="13"/>
  <c r="K98" i="19"/>
  <c r="J99" i="19"/>
  <c r="AB97" i="32" l="1"/>
  <c r="AA98" i="32"/>
  <c r="G98" i="20"/>
  <c r="F99" i="20"/>
  <c r="O98" i="13"/>
  <c r="P97" i="13"/>
  <c r="W111" i="19"/>
  <c r="V112" i="19"/>
  <c r="F127" i="19"/>
  <c r="G126" i="19"/>
  <c r="H99" i="32"/>
  <c r="G100" i="32"/>
  <c r="M98" i="23"/>
  <c r="L99" i="23"/>
  <c r="J100" i="20"/>
  <c r="K99" i="20"/>
  <c r="G110" i="13"/>
  <c r="H109" i="13"/>
  <c r="AF97" i="19"/>
  <c r="AE98" i="19"/>
  <c r="W98" i="32"/>
  <c r="V99" i="32"/>
  <c r="T99" i="20"/>
  <c r="S100" i="20"/>
  <c r="K99" i="19"/>
  <c r="J100" i="19"/>
  <c r="S97" i="23"/>
  <c r="R98" i="23"/>
  <c r="AJ98" i="13"/>
  <c r="AK97" i="13"/>
  <c r="W99" i="13"/>
  <c r="X98" i="13"/>
  <c r="AF97" i="13"/>
  <c r="AE98" i="13"/>
  <c r="N99" i="20"/>
  <c r="O98" i="20"/>
  <c r="M98" i="32"/>
  <c r="L99" i="32"/>
  <c r="N100" i="19"/>
  <c r="O99" i="19"/>
  <c r="AS99" i="13"/>
  <c r="AR100" i="13"/>
  <c r="R100" i="19"/>
  <c r="S99" i="19"/>
  <c r="H98" i="23"/>
  <c r="G99" i="23"/>
  <c r="Z100" i="19"/>
  <c r="AA99" i="19"/>
  <c r="AB98" i="32" l="1"/>
  <c r="AA99" i="32"/>
  <c r="G127" i="19"/>
  <c r="F128" i="19"/>
  <c r="W112" i="19"/>
  <c r="V113" i="19"/>
  <c r="O99" i="13"/>
  <c r="P98" i="13"/>
  <c r="G99" i="20"/>
  <c r="F100" i="20"/>
  <c r="M99" i="32"/>
  <c r="L100" i="32"/>
  <c r="AE99" i="13"/>
  <c r="AF98" i="13"/>
  <c r="K100" i="19"/>
  <c r="J101" i="19"/>
  <c r="T100" i="20"/>
  <c r="S101" i="20"/>
  <c r="W99" i="32"/>
  <c r="V100" i="32"/>
  <c r="AE99" i="19"/>
  <c r="AF98" i="19"/>
  <c r="L100" i="23"/>
  <c r="L101" i="23" s="1"/>
  <c r="M99" i="23"/>
  <c r="AA100" i="19"/>
  <c r="Z101" i="19"/>
  <c r="N101" i="19"/>
  <c r="O100" i="19"/>
  <c r="AJ99" i="13"/>
  <c r="AK98" i="13"/>
  <c r="G111" i="13"/>
  <c r="H110" i="13"/>
  <c r="R101" i="19"/>
  <c r="S100" i="19"/>
  <c r="H99" i="23"/>
  <c r="G100" i="23"/>
  <c r="AR101" i="13"/>
  <c r="AS100" i="13"/>
  <c r="S98" i="23"/>
  <c r="R99" i="23"/>
  <c r="H100" i="32"/>
  <c r="G101" i="32"/>
  <c r="G102" i="32" s="1"/>
  <c r="N100" i="20"/>
  <c r="O99" i="20"/>
  <c r="X99" i="13"/>
  <c r="W100" i="13"/>
  <c r="J101" i="20"/>
  <c r="K100" i="20"/>
  <c r="AA100" i="32" l="1"/>
  <c r="AB99" i="32"/>
  <c r="M101" i="23"/>
  <c r="L102" i="23"/>
  <c r="H102" i="32"/>
  <c r="G103" i="32"/>
  <c r="P99" i="13"/>
  <c r="O100" i="13"/>
  <c r="W113" i="19"/>
  <c r="V114" i="19"/>
  <c r="F101" i="20"/>
  <c r="G100" i="20"/>
  <c r="G128" i="19"/>
  <c r="F129" i="19"/>
  <c r="O100" i="20"/>
  <c r="N101" i="20"/>
  <c r="S99" i="23"/>
  <c r="R100" i="23"/>
  <c r="H100" i="23"/>
  <c r="E116" i="23" s="1"/>
  <c r="S102" i="20"/>
  <c r="T101" i="20"/>
  <c r="X100" i="13"/>
  <c r="W101" i="13"/>
  <c r="H101" i="32"/>
  <c r="AR102" i="13"/>
  <c r="AS101" i="13"/>
  <c r="O101" i="19"/>
  <c r="N102" i="19"/>
  <c r="AE100" i="19"/>
  <c r="AF99" i="19"/>
  <c r="AF99" i="13"/>
  <c r="AE100" i="13"/>
  <c r="W100" i="32"/>
  <c r="V101" i="32"/>
  <c r="V102" i="32" s="1"/>
  <c r="J102" i="19"/>
  <c r="K101" i="19"/>
  <c r="M100" i="32"/>
  <c r="L101" i="32"/>
  <c r="L102" i="32" s="1"/>
  <c r="AA101" i="19"/>
  <c r="Z102" i="19"/>
  <c r="K101" i="20"/>
  <c r="J102" i="20"/>
  <c r="R102" i="19"/>
  <c r="S101" i="19"/>
  <c r="G112" i="13"/>
  <c r="H111" i="13"/>
  <c r="AK99" i="13"/>
  <c r="AJ100" i="13"/>
  <c r="M100" i="23"/>
  <c r="AB100" i="32" l="1"/>
  <c r="AA101" i="32"/>
  <c r="M102" i="23"/>
  <c r="L103" i="23"/>
  <c r="W102" i="32"/>
  <c r="V103" i="32"/>
  <c r="M102" i="32"/>
  <c r="L103" i="32"/>
  <c r="H103" i="32"/>
  <c r="G104" i="32"/>
  <c r="F130" i="19"/>
  <c r="D136" i="19" s="1"/>
  <c r="G129" i="19"/>
  <c r="W114" i="19"/>
  <c r="V115" i="19"/>
  <c r="F102" i="20"/>
  <c r="G101" i="20"/>
  <c r="O101" i="13"/>
  <c r="P100" i="13"/>
  <c r="AF100" i="13"/>
  <c r="AE101" i="13"/>
  <c r="O102" i="19"/>
  <c r="N103" i="19"/>
  <c r="N102" i="20"/>
  <c r="O101" i="20"/>
  <c r="G113" i="13"/>
  <c r="H112" i="13"/>
  <c r="J103" i="20"/>
  <c r="K102" i="20"/>
  <c r="J103" i="19"/>
  <c r="K102" i="19"/>
  <c r="R101" i="23"/>
  <c r="S100" i="23"/>
  <c r="AF100" i="19"/>
  <c r="AE101" i="19"/>
  <c r="AS102" i="13"/>
  <c r="AR103" i="13"/>
  <c r="W102" i="13"/>
  <c r="X101" i="13"/>
  <c r="AK100" i="13"/>
  <c r="AJ101" i="13"/>
  <c r="R103" i="19"/>
  <c r="S102" i="19"/>
  <c r="Z103" i="19"/>
  <c r="AA102" i="19"/>
  <c r="M101" i="32"/>
  <c r="W101" i="32"/>
  <c r="T102" i="20"/>
  <c r="S103" i="20"/>
  <c r="AB101" i="32" l="1"/>
  <c r="AA102" i="32"/>
  <c r="M103" i="23"/>
  <c r="L104" i="23"/>
  <c r="H104" i="32"/>
  <c r="G105" i="32"/>
  <c r="W103" i="32"/>
  <c r="V104" i="32"/>
  <c r="M103" i="32"/>
  <c r="L104" i="32"/>
  <c r="G102" i="20"/>
  <c r="F103" i="20"/>
  <c r="W115" i="19"/>
  <c r="V116" i="19"/>
  <c r="O102" i="13"/>
  <c r="P101" i="13"/>
  <c r="G130" i="19"/>
  <c r="D139" i="19" s="1"/>
  <c r="F131" i="19"/>
  <c r="N104" i="19"/>
  <c r="O103" i="19"/>
  <c r="AJ102" i="13"/>
  <c r="AK101" i="13"/>
  <c r="AS103" i="13"/>
  <c r="AR104" i="13"/>
  <c r="K103" i="19"/>
  <c r="J104" i="19"/>
  <c r="G114" i="13"/>
  <c r="H113" i="13"/>
  <c r="R104" i="19"/>
  <c r="S103" i="19"/>
  <c r="W103" i="13"/>
  <c r="X102" i="13"/>
  <c r="S101" i="23"/>
  <c r="R102" i="23"/>
  <c r="Z104" i="19"/>
  <c r="AA103" i="19"/>
  <c r="AF101" i="13"/>
  <c r="AE102" i="13"/>
  <c r="T103" i="20"/>
  <c r="S104" i="20"/>
  <c r="AF101" i="19"/>
  <c r="AE102" i="19"/>
  <c r="J104" i="20"/>
  <c r="K103" i="20"/>
  <c r="N103" i="20"/>
  <c r="O102" i="20"/>
  <c r="AA103" i="32" l="1"/>
  <c r="AB102" i="32"/>
  <c r="M104" i="23"/>
  <c r="L105" i="23"/>
  <c r="M104" i="32"/>
  <c r="L105" i="32"/>
  <c r="H105" i="32"/>
  <c r="G106" i="32"/>
  <c r="E113" i="32" s="1"/>
  <c r="W104" i="32"/>
  <c r="V105" i="32"/>
  <c r="O103" i="13"/>
  <c r="P102" i="13"/>
  <c r="W116" i="19"/>
  <c r="V117" i="19"/>
  <c r="G131" i="19"/>
  <c r="F132" i="19"/>
  <c r="G132" i="19" s="1"/>
  <c r="G103" i="20"/>
  <c r="F104" i="20"/>
  <c r="AR105" i="13"/>
  <c r="AS104" i="13"/>
  <c r="O103" i="20"/>
  <c r="N104" i="20"/>
  <c r="AA104" i="19"/>
  <c r="Z105" i="19"/>
  <c r="R105" i="19"/>
  <c r="S104" i="19"/>
  <c r="G115" i="13"/>
  <c r="H114" i="13"/>
  <c r="AJ103" i="13"/>
  <c r="AK102" i="13"/>
  <c r="AE103" i="13"/>
  <c r="AF102" i="13"/>
  <c r="R103" i="23"/>
  <c r="S102" i="23"/>
  <c r="K104" i="19"/>
  <c r="J105" i="19"/>
  <c r="AE103" i="19"/>
  <c r="AF102" i="19"/>
  <c r="T104" i="20"/>
  <c r="S105" i="20"/>
  <c r="K104" i="20"/>
  <c r="J105" i="20"/>
  <c r="X103" i="13"/>
  <c r="W104" i="13"/>
  <c r="N105" i="19"/>
  <c r="O104" i="19"/>
  <c r="AB103" i="32" l="1"/>
  <c r="AA104" i="32"/>
  <c r="L106" i="23"/>
  <c r="M105" i="23"/>
  <c r="W105" i="32"/>
  <c r="V106" i="32"/>
  <c r="M105" i="32"/>
  <c r="L106" i="32"/>
  <c r="H106" i="32"/>
  <c r="E116" i="32" s="1"/>
  <c r="H109" i="32"/>
  <c r="F105" i="20"/>
  <c r="G104" i="20"/>
  <c r="W117" i="19"/>
  <c r="V118" i="19"/>
  <c r="O104" i="13"/>
  <c r="P103" i="13"/>
  <c r="O104" i="20"/>
  <c r="N105" i="20"/>
  <c r="AK103" i="13"/>
  <c r="AJ104" i="13"/>
  <c r="G116" i="13"/>
  <c r="H115" i="13"/>
  <c r="S106" i="20"/>
  <c r="T105" i="20"/>
  <c r="AA105" i="19"/>
  <c r="Z106" i="19"/>
  <c r="O105" i="19"/>
  <c r="N106" i="19"/>
  <c r="X104" i="13"/>
  <c r="W105" i="13"/>
  <c r="K105" i="20"/>
  <c r="J106" i="20"/>
  <c r="J106" i="19"/>
  <c r="K105" i="19"/>
  <c r="AE104" i="19"/>
  <c r="AF103" i="19"/>
  <c r="R104" i="23"/>
  <c r="S103" i="23"/>
  <c r="AF103" i="13"/>
  <c r="AE104" i="13"/>
  <c r="R106" i="19"/>
  <c r="S105" i="19"/>
  <c r="AR106" i="13"/>
  <c r="AS105" i="13"/>
  <c r="M106" i="32" l="1"/>
  <c r="J116" i="32" s="1"/>
  <c r="J113" i="32"/>
  <c r="W106" i="32"/>
  <c r="T116" i="32" s="1"/>
  <c r="T113" i="32"/>
  <c r="AB104" i="32"/>
  <c r="AA105" i="32"/>
  <c r="S104" i="23"/>
  <c r="R105" i="23"/>
  <c r="L107" i="23"/>
  <c r="M106" i="23"/>
  <c r="P104" i="13"/>
  <c r="O105" i="13"/>
  <c r="W118" i="19"/>
  <c r="V119" i="19"/>
  <c r="F106" i="20"/>
  <c r="G105" i="20"/>
  <c r="AS106" i="13"/>
  <c r="AR107" i="13"/>
  <c r="J107" i="19"/>
  <c r="K106" i="19"/>
  <c r="G117" i="13"/>
  <c r="H116" i="13"/>
  <c r="J107" i="20"/>
  <c r="K106" i="20"/>
  <c r="O106" i="19"/>
  <c r="N107" i="19"/>
  <c r="Z107" i="19"/>
  <c r="AA106" i="19"/>
  <c r="AK104" i="13"/>
  <c r="AJ105" i="13"/>
  <c r="N106" i="20"/>
  <c r="O105" i="20"/>
  <c r="W106" i="13"/>
  <c r="X105" i="13"/>
  <c r="AF104" i="13"/>
  <c r="AE105" i="13"/>
  <c r="R107" i="19"/>
  <c r="S106" i="19"/>
  <c r="AF104" i="19"/>
  <c r="AE105" i="19"/>
  <c r="T106" i="20"/>
  <c r="S107" i="20"/>
  <c r="AB105" i="32" l="1"/>
  <c r="AA106" i="32"/>
  <c r="S105" i="23"/>
  <c r="R106" i="23"/>
  <c r="M107" i="23"/>
  <c r="J116" i="23" s="1"/>
  <c r="J113" i="23"/>
  <c r="G106" i="20"/>
  <c r="F107" i="20"/>
  <c r="V120" i="19"/>
  <c r="W119" i="19"/>
  <c r="O106" i="13"/>
  <c r="P105" i="13"/>
  <c r="W107" i="13"/>
  <c r="X106" i="13"/>
  <c r="G118" i="13"/>
  <c r="H117" i="13"/>
  <c r="R108" i="19"/>
  <c r="S107" i="19"/>
  <c r="N107" i="20"/>
  <c r="O106" i="20"/>
  <c r="Z108" i="19"/>
  <c r="AA107" i="19"/>
  <c r="J108" i="20"/>
  <c r="K107" i="20"/>
  <c r="K107" i="19"/>
  <c r="J108" i="19"/>
  <c r="T107" i="20"/>
  <c r="S108" i="20"/>
  <c r="AF105" i="19"/>
  <c r="AE106" i="19"/>
  <c r="AE106" i="13"/>
  <c r="AF105" i="13"/>
  <c r="AJ106" i="13"/>
  <c r="AK105" i="13"/>
  <c r="N108" i="19"/>
  <c r="O107" i="19"/>
  <c r="AS107" i="13"/>
  <c r="AR108" i="13"/>
  <c r="AB106" i="32" l="1"/>
  <c r="Y116" i="32" s="1"/>
  <c r="Y113" i="32"/>
  <c r="S106" i="23"/>
  <c r="R107" i="23"/>
  <c r="P106" i="13"/>
  <c r="O107" i="13"/>
  <c r="W120" i="19"/>
  <c r="V121" i="19"/>
  <c r="F108" i="20"/>
  <c r="G107" i="20"/>
  <c r="AJ107" i="13"/>
  <c r="AK106" i="13"/>
  <c r="K108" i="20"/>
  <c r="J109" i="20"/>
  <c r="O107" i="20"/>
  <c r="N108" i="20"/>
  <c r="S108" i="19"/>
  <c r="R109" i="19"/>
  <c r="G119" i="13"/>
  <c r="H118" i="13"/>
  <c r="T108" i="20"/>
  <c r="S109" i="20"/>
  <c r="J109" i="19"/>
  <c r="K108" i="19"/>
  <c r="AR109" i="13"/>
  <c r="AS108" i="13"/>
  <c r="AE107" i="19"/>
  <c r="AF106" i="19"/>
  <c r="N109" i="19"/>
  <c r="O108" i="19"/>
  <c r="AE107" i="13"/>
  <c r="AF106" i="13"/>
  <c r="AA108" i="19"/>
  <c r="Z109" i="19"/>
  <c r="X107" i="13"/>
  <c r="W108" i="13"/>
  <c r="P113" i="23" l="1"/>
  <c r="S107" i="23"/>
  <c r="P116" i="23" s="1"/>
  <c r="F109" i="20"/>
  <c r="G108" i="20"/>
  <c r="W121" i="19"/>
  <c r="V122" i="19"/>
  <c r="P107" i="13"/>
  <c r="O108" i="13"/>
  <c r="AF107" i="13"/>
  <c r="AE108" i="13"/>
  <c r="AR110" i="13"/>
  <c r="AS109" i="13"/>
  <c r="AK107" i="13"/>
  <c r="AJ108" i="13"/>
  <c r="S110" i="20"/>
  <c r="T109" i="20"/>
  <c r="O108" i="20"/>
  <c r="N109" i="20"/>
  <c r="X108" i="13"/>
  <c r="W109" i="13"/>
  <c r="Z110" i="19"/>
  <c r="AA109" i="19"/>
  <c r="S109" i="19"/>
  <c r="R110" i="19"/>
  <c r="K109" i="20"/>
  <c r="J110" i="20"/>
  <c r="N110" i="19"/>
  <c r="O109" i="19"/>
  <c r="AE108" i="19"/>
  <c r="AF107" i="19"/>
  <c r="K109" i="19"/>
  <c r="J110" i="19"/>
  <c r="G120" i="13"/>
  <c r="H119" i="13"/>
  <c r="W122" i="19" l="1"/>
  <c r="V123" i="19"/>
  <c r="P108" i="13"/>
  <c r="O109" i="13"/>
  <c r="G109" i="20"/>
  <c r="F110" i="20"/>
  <c r="J111" i="19"/>
  <c r="K110" i="19"/>
  <c r="J111" i="20"/>
  <c r="K110" i="20"/>
  <c r="W110" i="13"/>
  <c r="X109" i="13"/>
  <c r="N111" i="19"/>
  <c r="O110" i="19"/>
  <c r="T110" i="20"/>
  <c r="S111" i="20"/>
  <c r="S110" i="19"/>
  <c r="R111" i="19"/>
  <c r="N110" i="20"/>
  <c r="O109" i="20"/>
  <c r="AK108" i="13"/>
  <c r="AJ109" i="13"/>
  <c r="AF108" i="13"/>
  <c r="AE109" i="13"/>
  <c r="G121" i="13"/>
  <c r="H120" i="13"/>
  <c r="AE109" i="19"/>
  <c r="AF108" i="19"/>
  <c r="AA110" i="19"/>
  <c r="Z111" i="19"/>
  <c r="AS110" i="13"/>
  <c r="AR111" i="13"/>
  <c r="G110" i="20" l="1"/>
  <c r="F111" i="20"/>
  <c r="O110" i="13"/>
  <c r="P109" i="13"/>
  <c r="W123" i="19"/>
  <c r="V124" i="19"/>
  <c r="AJ110" i="13"/>
  <c r="AK109" i="13"/>
  <c r="T111" i="20"/>
  <c r="S112" i="20"/>
  <c r="AE110" i="19"/>
  <c r="AF109" i="19"/>
  <c r="W111" i="13"/>
  <c r="X110" i="13"/>
  <c r="J112" i="20"/>
  <c r="K111" i="20"/>
  <c r="Z112" i="19"/>
  <c r="AA111" i="19"/>
  <c r="AS111" i="13"/>
  <c r="AR112" i="13"/>
  <c r="AE110" i="13"/>
  <c r="AF109" i="13"/>
  <c r="S111" i="19"/>
  <c r="R112" i="19"/>
  <c r="G122" i="13"/>
  <c r="H121" i="13"/>
  <c r="N111" i="20"/>
  <c r="O110" i="20"/>
  <c r="N112" i="19"/>
  <c r="O111" i="19"/>
  <c r="K111" i="19"/>
  <c r="J112" i="19"/>
  <c r="O111" i="13" l="1"/>
  <c r="P110" i="13"/>
  <c r="V125" i="19"/>
  <c r="W124" i="19"/>
  <c r="F112" i="20"/>
  <c r="G111" i="20"/>
  <c r="AA112" i="19"/>
  <c r="Z113" i="19"/>
  <c r="X111" i="13"/>
  <c r="W112" i="13"/>
  <c r="AE111" i="19"/>
  <c r="AF110" i="19"/>
  <c r="AR113" i="13"/>
  <c r="AS112" i="13"/>
  <c r="T112" i="20"/>
  <c r="S113" i="20"/>
  <c r="G123" i="13"/>
  <c r="H122" i="13"/>
  <c r="J113" i="19"/>
  <c r="K112" i="19"/>
  <c r="S112" i="19"/>
  <c r="R113" i="19"/>
  <c r="N113" i="19"/>
  <c r="O112" i="19"/>
  <c r="O111" i="20"/>
  <c r="N112" i="20"/>
  <c r="AE111" i="13"/>
  <c r="AF110" i="13"/>
  <c r="K112" i="20"/>
  <c r="J113" i="20"/>
  <c r="AJ111" i="13"/>
  <c r="AK110" i="13"/>
  <c r="G112" i="20" l="1"/>
  <c r="F113" i="20"/>
  <c r="W125" i="19"/>
  <c r="V126" i="19"/>
  <c r="P111" i="13"/>
  <c r="O112" i="13"/>
  <c r="O112" i="20"/>
  <c r="N113" i="20"/>
  <c r="S113" i="19"/>
  <c r="R114" i="19"/>
  <c r="X112" i="13"/>
  <c r="W113" i="13"/>
  <c r="Z114" i="19"/>
  <c r="AA113" i="19"/>
  <c r="K113" i="20"/>
  <c r="J114" i="20"/>
  <c r="S114" i="20"/>
  <c r="T113" i="20"/>
  <c r="AR114" i="13"/>
  <c r="AS113" i="13"/>
  <c r="AK111" i="13"/>
  <c r="AJ112" i="13"/>
  <c r="AF111" i="13"/>
  <c r="AE112" i="13"/>
  <c r="N114" i="19"/>
  <c r="O113" i="19"/>
  <c r="K113" i="19"/>
  <c r="J114" i="19"/>
  <c r="G124" i="13"/>
  <c r="H123" i="13"/>
  <c r="AE112" i="19"/>
  <c r="AF111" i="19"/>
  <c r="O113" i="13" l="1"/>
  <c r="P112" i="13"/>
  <c r="W126" i="19"/>
  <c r="V127" i="19"/>
  <c r="F114" i="20"/>
  <c r="G113" i="20"/>
  <c r="S114" i="19"/>
  <c r="R115" i="19"/>
  <c r="G125" i="13"/>
  <c r="H124" i="13"/>
  <c r="N115" i="19"/>
  <c r="O114" i="19"/>
  <c r="AS114" i="13"/>
  <c r="AR115" i="13"/>
  <c r="J115" i="19"/>
  <c r="K114" i="19"/>
  <c r="AF112" i="13"/>
  <c r="AE113" i="13"/>
  <c r="X113" i="13"/>
  <c r="W114" i="13"/>
  <c r="N114" i="20"/>
  <c r="O113" i="20"/>
  <c r="AK112" i="13"/>
  <c r="AJ113" i="13"/>
  <c r="J115" i="20"/>
  <c r="K114" i="20"/>
  <c r="AE113" i="19"/>
  <c r="AF112" i="19"/>
  <c r="T114" i="20"/>
  <c r="S115" i="20"/>
  <c r="AA114" i="19"/>
  <c r="Z115" i="19"/>
  <c r="W127" i="19" l="1"/>
  <c r="V128" i="19"/>
  <c r="G114" i="20"/>
  <c r="F115" i="20"/>
  <c r="O114" i="13"/>
  <c r="P113" i="13"/>
  <c r="Z116" i="19"/>
  <c r="AA115" i="19"/>
  <c r="AE114" i="13"/>
  <c r="AF113" i="13"/>
  <c r="AE114" i="19"/>
  <c r="AF113" i="19"/>
  <c r="N115" i="20"/>
  <c r="O114" i="20"/>
  <c r="N116" i="19"/>
  <c r="O115" i="19"/>
  <c r="T115" i="20"/>
  <c r="S116" i="20"/>
  <c r="AJ114" i="13"/>
  <c r="AK113" i="13"/>
  <c r="W115" i="13"/>
  <c r="X114" i="13"/>
  <c r="AS115" i="13"/>
  <c r="AR116" i="13"/>
  <c r="S115" i="19"/>
  <c r="R116" i="19"/>
  <c r="J116" i="20"/>
  <c r="K115" i="20"/>
  <c r="K115" i="19"/>
  <c r="J116" i="19"/>
  <c r="G126" i="13"/>
  <c r="H125" i="13"/>
  <c r="F116" i="20" l="1"/>
  <c r="G115" i="20"/>
  <c r="O115" i="13"/>
  <c r="P114" i="13"/>
  <c r="W128" i="19"/>
  <c r="V129" i="19"/>
  <c r="AJ115" i="13"/>
  <c r="AK114" i="13"/>
  <c r="G127" i="13"/>
  <c r="H126" i="13"/>
  <c r="T116" i="20"/>
  <c r="S117" i="20"/>
  <c r="J117" i="19"/>
  <c r="K116" i="19"/>
  <c r="S116" i="19"/>
  <c r="R117" i="19"/>
  <c r="AR117" i="13"/>
  <c r="AS116" i="13"/>
  <c r="AE115" i="19"/>
  <c r="AF114" i="19"/>
  <c r="K116" i="20"/>
  <c r="J117" i="20"/>
  <c r="X115" i="13"/>
  <c r="W116" i="13"/>
  <c r="N117" i="19"/>
  <c r="O116" i="19"/>
  <c r="O115" i="20"/>
  <c r="N116" i="20"/>
  <c r="AE115" i="13"/>
  <c r="AF114" i="13"/>
  <c r="AA116" i="19"/>
  <c r="Z117" i="19"/>
  <c r="H127" i="13" l="1"/>
  <c r="G128" i="13"/>
  <c r="W129" i="19"/>
  <c r="V130" i="19"/>
  <c r="T136" i="19" s="1"/>
  <c r="P115" i="13"/>
  <c r="O116" i="13"/>
  <c r="G116" i="20"/>
  <c r="F117" i="20"/>
  <c r="S118" i="20"/>
  <c r="T117" i="20"/>
  <c r="AF115" i="13"/>
  <c r="AE116" i="13"/>
  <c r="Z118" i="19"/>
  <c r="AA117" i="19"/>
  <c r="O116" i="20"/>
  <c r="N117" i="20"/>
  <c r="X116" i="13"/>
  <c r="W117" i="13"/>
  <c r="K117" i="20"/>
  <c r="J118" i="20"/>
  <c r="S117" i="19"/>
  <c r="R118" i="19"/>
  <c r="N118" i="19"/>
  <c r="O117" i="19"/>
  <c r="AR118" i="13"/>
  <c r="AS117" i="13"/>
  <c r="AE116" i="19"/>
  <c r="AF115" i="19"/>
  <c r="K117" i="19"/>
  <c r="J118" i="19"/>
  <c r="AK115" i="13"/>
  <c r="AJ116" i="13"/>
  <c r="H128" i="13" l="1"/>
  <c r="G129" i="13"/>
  <c r="G117" i="20"/>
  <c r="F118" i="20"/>
  <c r="P116" i="13"/>
  <c r="O117" i="13"/>
  <c r="V131" i="19"/>
  <c r="W130" i="19"/>
  <c r="T139" i="19" s="1"/>
  <c r="AA118" i="19"/>
  <c r="Z119" i="19"/>
  <c r="T118" i="20"/>
  <c r="S119" i="20"/>
  <c r="J119" i="19"/>
  <c r="K118" i="19"/>
  <c r="S118" i="19"/>
  <c r="R119" i="19"/>
  <c r="J119" i="20"/>
  <c r="K118" i="20"/>
  <c r="N118" i="20"/>
  <c r="O117" i="20"/>
  <c r="AF116" i="13"/>
  <c r="AE117" i="13"/>
  <c r="AK116" i="13"/>
  <c r="AJ117" i="13"/>
  <c r="W118" i="13"/>
  <c r="X117" i="13"/>
  <c r="AE117" i="19"/>
  <c r="AF116" i="19"/>
  <c r="N119" i="19"/>
  <c r="O118" i="19"/>
  <c r="AS118" i="13"/>
  <c r="AR119" i="13"/>
  <c r="H129" i="13" l="1"/>
  <c r="G130" i="13"/>
  <c r="W131" i="19"/>
  <c r="V132" i="19"/>
  <c r="W132" i="19" s="1"/>
  <c r="P117" i="13"/>
  <c r="O118" i="13"/>
  <c r="G118" i="20"/>
  <c r="F119" i="20"/>
  <c r="AE118" i="13"/>
  <c r="AF117" i="13"/>
  <c r="S119" i="19"/>
  <c r="R120" i="19"/>
  <c r="T119" i="20"/>
  <c r="S120" i="20"/>
  <c r="AJ118" i="13"/>
  <c r="AK117" i="13"/>
  <c r="Z120" i="19"/>
  <c r="AA119" i="19"/>
  <c r="AS119" i="13"/>
  <c r="AR120" i="13"/>
  <c r="AE118" i="19"/>
  <c r="AF117" i="19"/>
  <c r="W119" i="13"/>
  <c r="X118" i="13"/>
  <c r="N119" i="20"/>
  <c r="O118" i="20"/>
  <c r="N120" i="19"/>
  <c r="O119" i="19"/>
  <c r="J120" i="20"/>
  <c r="K119" i="20"/>
  <c r="K119" i="19"/>
  <c r="J120" i="19"/>
  <c r="H130" i="13" l="1"/>
  <c r="E148" i="13" s="1"/>
  <c r="E145" i="13"/>
  <c r="G119" i="20"/>
  <c r="F120" i="20"/>
  <c r="O119" i="13"/>
  <c r="P118" i="13"/>
  <c r="S120" i="19"/>
  <c r="R121" i="19"/>
  <c r="K120" i="20"/>
  <c r="J121" i="20"/>
  <c r="X119" i="13"/>
  <c r="W120" i="13"/>
  <c r="J121" i="19"/>
  <c r="K120" i="19"/>
  <c r="T120" i="20"/>
  <c r="S121" i="20"/>
  <c r="AR121" i="13"/>
  <c r="AS120" i="13"/>
  <c r="N121" i="19"/>
  <c r="O120" i="19"/>
  <c r="O119" i="20"/>
  <c r="N120" i="20"/>
  <c r="AE119" i="19"/>
  <c r="AF118" i="19"/>
  <c r="AA120" i="19"/>
  <c r="Z121" i="19"/>
  <c r="AJ119" i="13"/>
  <c r="AK118" i="13"/>
  <c r="AE119" i="13"/>
  <c r="AF118" i="13"/>
  <c r="O120" i="13" l="1"/>
  <c r="P119" i="13"/>
  <c r="F121" i="20"/>
  <c r="G120" i="20"/>
  <c r="Z122" i="19"/>
  <c r="AA121" i="19"/>
  <c r="O120" i="20"/>
  <c r="N121" i="20"/>
  <c r="X120" i="13"/>
  <c r="W121" i="13"/>
  <c r="AF119" i="13"/>
  <c r="AE120" i="13"/>
  <c r="AR122" i="13"/>
  <c r="AS121" i="13"/>
  <c r="S122" i="20"/>
  <c r="T121" i="20"/>
  <c r="K121" i="20"/>
  <c r="J122" i="20"/>
  <c r="S121" i="19"/>
  <c r="R122" i="19"/>
  <c r="AK119" i="13"/>
  <c r="AJ120" i="13"/>
  <c r="AE120" i="19"/>
  <c r="AF119" i="19"/>
  <c r="N122" i="19"/>
  <c r="O121" i="19"/>
  <c r="K121" i="19"/>
  <c r="J122" i="19"/>
  <c r="G121" i="20" l="1"/>
  <c r="F122" i="20"/>
  <c r="P120" i="13"/>
  <c r="O121" i="13"/>
  <c r="S122" i="19"/>
  <c r="R123" i="19"/>
  <c r="N123" i="19"/>
  <c r="O122" i="19"/>
  <c r="X121" i="13"/>
  <c r="W122" i="13"/>
  <c r="AK120" i="13"/>
  <c r="AJ121" i="13"/>
  <c r="AF120" i="13"/>
  <c r="AE121" i="13"/>
  <c r="N122" i="20"/>
  <c r="O121" i="20"/>
  <c r="T122" i="20"/>
  <c r="S123" i="20"/>
  <c r="J123" i="19"/>
  <c r="K122" i="19"/>
  <c r="J123" i="20"/>
  <c r="K122" i="20"/>
  <c r="AE121" i="19"/>
  <c r="AF120" i="19"/>
  <c r="AS122" i="13"/>
  <c r="AR123" i="13"/>
  <c r="AA122" i="19"/>
  <c r="Z123" i="19"/>
  <c r="O122" i="13" l="1"/>
  <c r="P121" i="13"/>
  <c r="G122" i="20"/>
  <c r="F123" i="20"/>
  <c r="Z124" i="19"/>
  <c r="AA123" i="19"/>
  <c r="AS123" i="13"/>
  <c r="AR124" i="13"/>
  <c r="T123" i="20"/>
  <c r="S124" i="20"/>
  <c r="AE122" i="13"/>
  <c r="AF121" i="13"/>
  <c r="W123" i="13"/>
  <c r="X122" i="13"/>
  <c r="S123" i="19"/>
  <c r="R124" i="19"/>
  <c r="AE122" i="19"/>
  <c r="AF121" i="19"/>
  <c r="N123" i="20"/>
  <c r="O122" i="20"/>
  <c r="AJ122" i="13"/>
  <c r="AK121" i="13"/>
  <c r="J124" i="20"/>
  <c r="K123" i="20"/>
  <c r="K123" i="19"/>
  <c r="J124" i="19"/>
  <c r="N124" i="19"/>
  <c r="O123" i="19"/>
  <c r="F124" i="20" l="1"/>
  <c r="G123" i="20"/>
  <c r="O123" i="13"/>
  <c r="P122" i="13"/>
  <c r="S124" i="19"/>
  <c r="R125" i="19"/>
  <c r="O123" i="20"/>
  <c r="N124" i="20"/>
  <c r="AE123" i="13"/>
  <c r="AF122" i="13"/>
  <c r="N125" i="19"/>
  <c r="O124" i="19"/>
  <c r="T124" i="20"/>
  <c r="S125" i="20"/>
  <c r="AA124" i="19"/>
  <c r="Z125" i="19"/>
  <c r="K124" i="20"/>
  <c r="J125" i="20"/>
  <c r="AJ123" i="13"/>
  <c r="AK122" i="13"/>
  <c r="AE123" i="19"/>
  <c r="AF122" i="19"/>
  <c r="X123" i="13"/>
  <c r="W124" i="13"/>
  <c r="AR125" i="13"/>
  <c r="AR126" i="13" s="1"/>
  <c r="AS124" i="13"/>
  <c r="J125" i="19"/>
  <c r="K124" i="19"/>
  <c r="AS126" i="13" l="1"/>
  <c r="AR127" i="13"/>
  <c r="P123" i="13"/>
  <c r="O124" i="13"/>
  <c r="F125" i="20"/>
  <c r="G124" i="20"/>
  <c r="N126" i="19"/>
  <c r="O125" i="19"/>
  <c r="AF123" i="13"/>
  <c r="AE124" i="13"/>
  <c r="K125" i="19"/>
  <c r="J126" i="19"/>
  <c r="K125" i="20"/>
  <c r="J126" i="20"/>
  <c r="O124" i="20"/>
  <c r="N125" i="20"/>
  <c r="S125" i="19"/>
  <c r="R126" i="19"/>
  <c r="AK123" i="13"/>
  <c r="AJ124" i="13"/>
  <c r="Z126" i="19"/>
  <c r="AA125" i="19"/>
  <c r="AS125" i="13"/>
  <c r="AE124" i="19"/>
  <c r="AF123" i="19"/>
  <c r="X124" i="13"/>
  <c r="W125" i="13"/>
  <c r="S126" i="20"/>
  <c r="T125" i="20"/>
  <c r="AS127" i="13" l="1"/>
  <c r="AR128" i="13"/>
  <c r="F126" i="20"/>
  <c r="G125" i="20"/>
  <c r="P124" i="13"/>
  <c r="O125" i="13"/>
  <c r="AA126" i="19"/>
  <c r="Z127" i="19"/>
  <c r="J127" i="19"/>
  <c r="K126" i="19"/>
  <c r="AF124" i="13"/>
  <c r="AE125" i="13"/>
  <c r="T126" i="20"/>
  <c r="S127" i="20"/>
  <c r="AK124" i="13"/>
  <c r="AJ125" i="13"/>
  <c r="S126" i="19"/>
  <c r="R127" i="19"/>
  <c r="W126" i="13"/>
  <c r="X125" i="13"/>
  <c r="AE125" i="19"/>
  <c r="AF124" i="19"/>
  <c r="J127" i="20"/>
  <c r="K126" i="20"/>
  <c r="N126" i="20"/>
  <c r="O125" i="20"/>
  <c r="N127" i="19"/>
  <c r="O126" i="19"/>
  <c r="AS128" i="13" l="1"/>
  <c r="AR129" i="13"/>
  <c r="P125" i="13"/>
  <c r="O126" i="13"/>
  <c r="F127" i="20"/>
  <c r="G126" i="20"/>
  <c r="AE126" i="19"/>
  <c r="AF125" i="19"/>
  <c r="S127" i="19"/>
  <c r="R128" i="19"/>
  <c r="T127" i="20"/>
  <c r="S128" i="20"/>
  <c r="Z128" i="19"/>
  <c r="AA127" i="19"/>
  <c r="K127" i="19"/>
  <c r="J128" i="19"/>
  <c r="J128" i="20"/>
  <c r="K127" i="20"/>
  <c r="N128" i="19"/>
  <c r="O127" i="19"/>
  <c r="N127" i="20"/>
  <c r="O126" i="20"/>
  <c r="W127" i="13"/>
  <c r="X126" i="13"/>
  <c r="AJ126" i="13"/>
  <c r="AK125" i="13"/>
  <c r="AE126" i="13"/>
  <c r="AF125" i="13"/>
  <c r="AR130" i="13" l="1"/>
  <c r="AS129" i="13"/>
  <c r="X127" i="13"/>
  <c r="W128" i="13"/>
  <c r="G127" i="20"/>
  <c r="F128" i="20"/>
  <c r="P126" i="13"/>
  <c r="O127" i="13"/>
  <c r="N129" i="19"/>
  <c r="O128" i="19"/>
  <c r="AA128" i="19"/>
  <c r="Z129" i="19"/>
  <c r="AE127" i="19"/>
  <c r="AF126" i="19"/>
  <c r="S128" i="19"/>
  <c r="R129" i="19"/>
  <c r="AK126" i="13"/>
  <c r="AJ127" i="13"/>
  <c r="J129" i="19"/>
  <c r="K128" i="19"/>
  <c r="T128" i="20"/>
  <c r="S129" i="20"/>
  <c r="AF126" i="13"/>
  <c r="AE127" i="13"/>
  <c r="O127" i="20"/>
  <c r="N128" i="20"/>
  <c r="K128" i="20"/>
  <c r="J129" i="20"/>
  <c r="AS130" i="13" l="1"/>
  <c r="AP148" i="13" s="1"/>
  <c r="AP145" i="13"/>
  <c r="P127" i="13"/>
  <c r="O128" i="13"/>
  <c r="AK127" i="13"/>
  <c r="AJ128" i="13"/>
  <c r="X128" i="13"/>
  <c r="W129" i="13"/>
  <c r="AF127" i="13"/>
  <c r="AE128" i="13"/>
  <c r="G128" i="20"/>
  <c r="F129" i="20"/>
  <c r="N130" i="19"/>
  <c r="L136" i="19" s="1"/>
  <c r="O129" i="19"/>
  <c r="K129" i="20"/>
  <c r="J130" i="20"/>
  <c r="H137" i="20" s="1"/>
  <c r="S130" i="20"/>
  <c r="Q137" i="20" s="1"/>
  <c r="T129" i="20"/>
  <c r="S129" i="19"/>
  <c r="R130" i="19"/>
  <c r="P136" i="19" s="1"/>
  <c r="Z130" i="19"/>
  <c r="X136" i="19" s="1"/>
  <c r="AA129" i="19"/>
  <c r="O128" i="20"/>
  <c r="N129" i="20"/>
  <c r="K129" i="19"/>
  <c r="J130" i="19"/>
  <c r="H136" i="19" s="1"/>
  <c r="AE128" i="19"/>
  <c r="AF127" i="19"/>
  <c r="AF128" i="13" l="1"/>
  <c r="AE129" i="13"/>
  <c r="X129" i="13"/>
  <c r="W130" i="13"/>
  <c r="AK128" i="13"/>
  <c r="AJ129" i="13"/>
  <c r="P128" i="13"/>
  <c r="O129" i="13"/>
  <c r="G129" i="20"/>
  <c r="F130" i="20"/>
  <c r="D137" i="20" s="1"/>
  <c r="J131" i="19"/>
  <c r="K130" i="19"/>
  <c r="H139" i="19" s="1"/>
  <c r="AA130" i="19"/>
  <c r="X139" i="19" s="1"/>
  <c r="Z131" i="19"/>
  <c r="T130" i="20"/>
  <c r="Q140" i="20" s="1"/>
  <c r="S131" i="20"/>
  <c r="N130" i="20"/>
  <c r="L137" i="20" s="1"/>
  <c r="O129" i="20"/>
  <c r="S130" i="19"/>
  <c r="P139" i="19" s="1"/>
  <c r="R131" i="19"/>
  <c r="J131" i="20"/>
  <c r="K130" i="20"/>
  <c r="H140" i="20" s="1"/>
  <c r="AE129" i="19"/>
  <c r="AF128" i="19"/>
  <c r="N131" i="19"/>
  <c r="O130" i="19"/>
  <c r="L139" i="19" s="1"/>
  <c r="X130" i="13" l="1"/>
  <c r="U148" i="13" s="1"/>
  <c r="U145" i="13"/>
  <c r="AK129" i="13"/>
  <c r="AJ130" i="13"/>
  <c r="P129" i="13"/>
  <c r="O130" i="13"/>
  <c r="AF129" i="13"/>
  <c r="AE130" i="13"/>
  <c r="G130" i="20"/>
  <c r="D140" i="20" s="1"/>
  <c r="F131" i="20"/>
  <c r="J132" i="20"/>
  <c r="K132" i="20" s="1"/>
  <c r="K131" i="20"/>
  <c r="N131" i="20"/>
  <c r="O130" i="20"/>
  <c r="L140" i="20" s="1"/>
  <c r="T131" i="20"/>
  <c r="S132" i="20"/>
  <c r="S131" i="19"/>
  <c r="R132" i="19"/>
  <c r="S132" i="19" s="1"/>
  <c r="Z132" i="19"/>
  <c r="AA132" i="19" s="1"/>
  <c r="AA131" i="19"/>
  <c r="N132" i="19"/>
  <c r="O132" i="19" s="1"/>
  <c r="O131" i="19"/>
  <c r="AE130" i="19"/>
  <c r="AC136" i="19" s="1"/>
  <c r="AF129" i="19"/>
  <c r="K131" i="19"/>
  <c r="J132" i="19"/>
  <c r="K132" i="19" s="1"/>
  <c r="P130" i="13" l="1"/>
  <c r="M148" i="13" s="1"/>
  <c r="M145" i="13"/>
  <c r="AK130" i="13"/>
  <c r="AH148" i="13" s="1"/>
  <c r="AH145" i="13"/>
  <c r="AF130" i="13"/>
  <c r="AC148" i="13" s="1"/>
  <c r="AC145" i="13"/>
  <c r="G131" i="20"/>
  <c r="F132" i="20"/>
  <c r="G132" i="20" s="1"/>
  <c r="S133" i="20"/>
  <c r="T133" i="20" s="1"/>
  <c r="T132" i="20"/>
  <c r="AE131" i="19"/>
  <c r="AF130" i="19"/>
  <c r="AC139" i="19" s="1"/>
  <c r="O131" i="20"/>
  <c r="N132" i="20"/>
  <c r="O132" i="20" s="1"/>
  <c r="AE132" i="19" l="1"/>
  <c r="AF131" i="19"/>
  <c r="AF132" i="19" l="1"/>
  <c r="AE133" i="19"/>
  <c r="AF133" i="19" s="1"/>
</calcChain>
</file>

<file path=xl/sharedStrings.xml><?xml version="1.0" encoding="utf-8"?>
<sst xmlns="http://schemas.openxmlformats.org/spreadsheetml/2006/main" count="4349" uniqueCount="666">
  <si>
    <t>Oro (IAU)</t>
  </si>
  <si>
    <t>RV Americana (VSIAX)</t>
  </si>
  <si>
    <t>RV Global (VHGEX)</t>
  </si>
  <si>
    <t>Feb</t>
  </si>
  <si>
    <t>Mar</t>
  </si>
  <si>
    <t>May</t>
  </si>
  <si>
    <t>Jun</t>
  </si>
  <si>
    <t>Jul</t>
  </si>
  <si>
    <t>Sep</t>
  </si>
  <si>
    <t>Oct</t>
  </si>
  <si>
    <t>Nov</t>
  </si>
  <si>
    <t>TOTAL</t>
  </si>
  <si>
    <t>RF Corto Plazo (MIXAX)</t>
  </si>
  <si>
    <t>RF Global (DODLX)</t>
  </si>
  <si>
    <t>RF Ligada Inflacion (VIPS)</t>
  </si>
  <si>
    <t>cagr</t>
  </si>
  <si>
    <t>vol</t>
  </si>
  <si>
    <t>sharpe</t>
  </si>
  <si>
    <t>max DD</t>
  </si>
  <si>
    <t>ROCA</t>
  </si>
  <si>
    <t>IMPULSO</t>
  </si>
  <si>
    <t>DD</t>
  </si>
  <si>
    <t>Fecha</t>
  </si>
  <si>
    <t>MES</t>
  </si>
  <si>
    <t>INDICES</t>
  </si>
  <si>
    <t>SECTORES</t>
  </si>
  <si>
    <t>ACCIONES USA</t>
  </si>
  <si>
    <t>ACCIONES EUROPA</t>
  </si>
  <si>
    <t>RET E</t>
  </si>
  <si>
    <t>QQQ</t>
  </si>
  <si>
    <t>XLV</t>
  </si>
  <si>
    <t>AMZN</t>
  </si>
  <si>
    <t>HO.PA</t>
  </si>
  <si>
    <t>XLP</t>
  </si>
  <si>
    <t>REC.MI</t>
  </si>
  <si>
    <t>GLD</t>
  </si>
  <si>
    <t>VNQ</t>
  </si>
  <si>
    <t>FDR.MC</t>
  </si>
  <si>
    <t>NEM</t>
  </si>
  <si>
    <t>MTS.MC</t>
  </si>
  <si>
    <t>IWM</t>
  </si>
  <si>
    <t>XLE</t>
  </si>
  <si>
    <t>NVDA</t>
  </si>
  <si>
    <t>STMPA.PA</t>
  </si>
  <si>
    <t>XLF</t>
  </si>
  <si>
    <t>MU</t>
  </si>
  <si>
    <t>BESI.AS</t>
  </si>
  <si>
    <t>HAR</t>
  </si>
  <si>
    <t>ALGN</t>
  </si>
  <si>
    <t>SLR.MC</t>
  </si>
  <si>
    <t>DBC</t>
  </si>
  <si>
    <t>XLK</t>
  </si>
  <si>
    <t>AMD</t>
  </si>
  <si>
    <t>FTNT</t>
  </si>
  <si>
    <t>XLU</t>
  </si>
  <si>
    <t>EDEN.PA</t>
  </si>
  <si>
    <t>XLRE</t>
  </si>
  <si>
    <t>CMG</t>
  </si>
  <si>
    <t>CLNX.MC</t>
  </si>
  <si>
    <t>ASM.AS</t>
  </si>
  <si>
    <t>MKTX</t>
  </si>
  <si>
    <t>ADYEN.AS</t>
  </si>
  <si>
    <t>TSLA</t>
  </si>
  <si>
    <t>MRNA</t>
  </si>
  <si>
    <t>MT.AS</t>
  </si>
  <si>
    <t>STLAP.PA</t>
  </si>
  <si>
    <t>DVN</t>
  </si>
  <si>
    <t>APA</t>
  </si>
  <si>
    <t>SHELL.AS</t>
  </si>
  <si>
    <t>FSLR</t>
  </si>
  <si>
    <t>VGK</t>
  </si>
  <si>
    <t>BC.MI</t>
  </si>
  <si>
    <t>UCG.MI</t>
  </si>
  <si>
    <t>XLC</t>
  </si>
  <si>
    <t>META</t>
  </si>
  <si>
    <t>CRWD</t>
  </si>
  <si>
    <t>LDO.MI</t>
  </si>
  <si>
    <t>RHM.DE</t>
  </si>
  <si>
    <t>ROVI.MC</t>
  </si>
  <si>
    <t>ENR.DE</t>
  </si>
  <si>
    <t>CEG</t>
  </si>
  <si>
    <t>UNI.MI</t>
  </si>
  <si>
    <t>NRG</t>
  </si>
  <si>
    <t>years</t>
  </si>
  <si>
    <t>Acc TOTAL</t>
  </si>
  <si>
    <t>YTD</t>
  </si>
  <si>
    <t>SPX</t>
  </si>
  <si>
    <t>Curve</t>
  </si>
  <si>
    <t>TOP3 MOMENTUM</t>
  </si>
  <si>
    <t>BITCOIN (POSICION DOBLE)</t>
  </si>
  <si>
    <t>ETHEREUM (POSICION DOBLE)</t>
  </si>
  <si>
    <t>REEMF</t>
  </si>
  <si>
    <t>ARRNF</t>
  </si>
  <si>
    <t>TTWO</t>
  </si>
  <si>
    <t>CVLT</t>
  </si>
  <si>
    <t>TER</t>
  </si>
  <si>
    <t>FORM</t>
  </si>
  <si>
    <t>IONQ</t>
  </si>
  <si>
    <t>IAU</t>
  </si>
  <si>
    <t>Date</t>
  </si>
  <si>
    <t>Strategy_Return</t>
  </si>
  <si>
    <t>ADA-USD</t>
  </si>
  <si>
    <t>BNB-USD</t>
  </si>
  <si>
    <t>AAVE-USD</t>
  </si>
  <si>
    <t>LINK-USD</t>
  </si>
  <si>
    <t>BCH-USD</t>
  </si>
  <si>
    <t>BTC-USD</t>
  </si>
  <si>
    <t>ATOM-USD</t>
  </si>
  <si>
    <t>ETC-USD</t>
  </si>
  <si>
    <t>FIL-USD</t>
  </si>
  <si>
    <t>FET-USD</t>
  </si>
  <si>
    <t>DOGE-USD</t>
  </si>
  <si>
    <t>AVAX-USD</t>
  </si>
  <si>
    <t>NEAR-USD</t>
  </si>
  <si>
    <t>TRX-USD</t>
  </si>
  <si>
    <t>APT21794-USD</t>
  </si>
  <si>
    <t>LTC-USD</t>
  </si>
  <si>
    <t>JITOSOL-USD</t>
  </si>
  <si>
    <t>RAY-USD</t>
  </si>
  <si>
    <t>ONDO-USD</t>
  </si>
  <si>
    <t>HBAR-USD</t>
  </si>
  <si>
    <t>ETH-USD</t>
  </si>
  <si>
    <t>USDT-USD</t>
  </si>
  <si>
    <t>USDC-USD</t>
  </si>
  <si>
    <t>SHIB-USD</t>
  </si>
  <si>
    <t>RENDER-USD</t>
  </si>
  <si>
    <t>TON11419-USD</t>
  </si>
  <si>
    <t>OP-USD</t>
  </si>
  <si>
    <t>TAO22974-USD</t>
  </si>
  <si>
    <t>SEI-USD</t>
  </si>
  <si>
    <t>PEPE24478-USD</t>
  </si>
  <si>
    <t>SUI20947-USD</t>
  </si>
  <si>
    <t>XLM-USD</t>
  </si>
  <si>
    <t>VET-USD</t>
  </si>
  <si>
    <t>WBTC-USD</t>
  </si>
  <si>
    <t>SOL-USD</t>
  </si>
  <si>
    <t>UNI7083-USD</t>
  </si>
  <si>
    <t>WLD-USD</t>
  </si>
  <si>
    <t>XRP-USD</t>
  </si>
  <si>
    <t>WBETH-USD</t>
  </si>
  <si>
    <t>GE</t>
  </si>
  <si>
    <t>XLI</t>
  </si>
  <si>
    <t>OXY</t>
  </si>
  <si>
    <t>TEN.MI</t>
  </si>
  <si>
    <t>XLY</t>
  </si>
  <si>
    <t>BPSO.MI</t>
  </si>
  <si>
    <t>SAB.MC</t>
  </si>
  <si>
    <t>RF</t>
  </si>
  <si>
    <t>RV</t>
  </si>
  <si>
    <t>LRCX</t>
  </si>
  <si>
    <t>Buentas</t>
  </si>
  <si>
    <t>-1.98% (RV)</t>
  </si>
  <si>
    <t>3.24% (RV)</t>
  </si>
  <si>
    <t>5.81% (RV)</t>
  </si>
  <si>
    <t>-0.25% (RV)</t>
  </si>
  <si>
    <t>-0.62% (RV)</t>
  </si>
  <si>
    <t>SNDK</t>
  </si>
  <si>
    <t>WDC</t>
  </si>
  <si>
    <t>2.74%</t>
  </si>
  <si>
    <t>0.00%</t>
  </si>
  <si>
    <t>NET</t>
  </si>
  <si>
    <t>PLTR</t>
  </si>
  <si>
    <t>QBTS</t>
  </si>
  <si>
    <t>-22.02%</t>
  </si>
  <si>
    <t xml:space="preserve"> BTC-USD</t>
  </si>
  <si>
    <t>-17.49%</t>
  </si>
  <si>
    <t xml:space="preserve"> ETH-USD</t>
  </si>
  <si>
    <t>-22.22%</t>
  </si>
  <si>
    <t>-1.63%</t>
  </si>
  <si>
    <t>-0.53%</t>
  </si>
  <si>
    <t>-3.19%</t>
  </si>
  <si>
    <t>-0.84%</t>
  </si>
  <si>
    <t>-15.50%</t>
  </si>
  <si>
    <t>-9.59%</t>
  </si>
  <si>
    <t>-17.56%</t>
  </si>
  <si>
    <t>-10.16%</t>
  </si>
  <si>
    <t>-17.59%</t>
  </si>
  <si>
    <t>MES:</t>
  </si>
  <si>
    <t>jan-25</t>
  </si>
  <si>
    <t>|</t>
  </si>
  <si>
    <t>5.53%</t>
  </si>
  <si>
    <t>RETORNO</t>
  </si>
  <si>
    <t>TOTAL:</t>
  </si>
  <si>
    <t>-8.41%</t>
  </si>
  <si>
    <t>apr-25</t>
  </si>
  <si>
    <t>aug-25</t>
  </si>
  <si>
    <t>-1.04%</t>
  </si>
  <si>
    <t>dec-25</t>
  </si>
  <si>
    <t>-0.25%</t>
  </si>
  <si>
    <t>jan-26</t>
  </si>
  <si>
    <t>15.95%</t>
  </si>
  <si>
    <t>13.17%</t>
  </si>
  <si>
    <t>2.28%</t>
  </si>
  <si>
    <t>---</t>
  </si>
  <si>
    <t>RESUMEN</t>
  </si>
  <si>
    <t>ANUAL</t>
  </si>
  <si>
    <t>AÑO</t>
  </si>
  <si>
    <t>Ene</t>
  </si>
  <si>
    <t>Abr</t>
  </si>
  <si>
    <t>Ago</t>
  </si>
  <si>
    <t>Dic</t>
  </si>
  <si>
    <t>-3.97%</t>
  </si>
  <si>
    <t>0.01%</t>
  </si>
  <si>
    <t>-21.56%</t>
  </si>
  <si>
    <t>9.14%</t>
  </si>
  <si>
    <t>-8.33%</t>
  </si>
  <si>
    <t>ZS</t>
  </si>
  <si>
    <t>-1.10%</t>
  </si>
  <si>
    <t>AREC</t>
  </si>
  <si>
    <t>25.00%</t>
  </si>
  <si>
    <t>-0.11%</t>
  </si>
  <si>
    <t>dec-20</t>
  </si>
  <si>
    <t>jan-21</t>
  </si>
  <si>
    <t>11.83%</t>
  </si>
  <si>
    <t>-13.86%</t>
  </si>
  <si>
    <t>apr-21</t>
  </si>
  <si>
    <t>-1.98%</t>
  </si>
  <si>
    <t>-8.55%</t>
  </si>
  <si>
    <t>12.08%</t>
  </si>
  <si>
    <t>aug-21</t>
  </si>
  <si>
    <t>7.69%</t>
  </si>
  <si>
    <t>7.40%</t>
  </si>
  <si>
    <t>8.78%</t>
  </si>
  <si>
    <t>dec-21</t>
  </si>
  <si>
    <t>jan-22</t>
  </si>
  <si>
    <t>3.53%</t>
  </si>
  <si>
    <t>apr-22</t>
  </si>
  <si>
    <t>aug-22</t>
  </si>
  <si>
    <t>-0.15%</t>
  </si>
  <si>
    <t>dec-22</t>
  </si>
  <si>
    <t>3.13%</t>
  </si>
  <si>
    <t>jan-23</t>
  </si>
  <si>
    <t>1.38%</t>
  </si>
  <si>
    <t>apr-23</t>
  </si>
  <si>
    <t>-8.02%</t>
  </si>
  <si>
    <t>-3.62%</t>
  </si>
  <si>
    <t>aug-23</t>
  </si>
  <si>
    <t>-12.50%</t>
  </si>
  <si>
    <t>-20.00%</t>
  </si>
  <si>
    <t>12.42%</t>
  </si>
  <si>
    <t>dec-23</t>
  </si>
  <si>
    <t>-1.84%</t>
  </si>
  <si>
    <t>jan-24</t>
  </si>
  <si>
    <t>apr-24</t>
  </si>
  <si>
    <t>aug-24</t>
  </si>
  <si>
    <t>-2.09%</t>
  </si>
  <si>
    <t>11.66%</t>
  </si>
  <si>
    <t>dec-24</t>
  </si>
  <si>
    <t>55.52%</t>
  </si>
  <si>
    <t>-2.41%</t>
  </si>
  <si>
    <t>-15.31%</t>
  </si>
  <si>
    <t>1.55%</t>
  </si>
  <si>
    <t>-7.43%</t>
  </si>
  <si>
    <t>14.28%</t>
  </si>
  <si>
    <t>3.15%</t>
  </si>
  <si>
    <t>-7.13%</t>
  </si>
  <si>
    <t>-5.56%</t>
  </si>
  <si>
    <t>8.59%</t>
  </si>
  <si>
    <t>35.47%</t>
  </si>
  <si>
    <t>RGTI</t>
  </si>
  <si>
    <t>-10.18%</t>
  </si>
  <si>
    <t>13.00%</t>
  </si>
  <si>
    <t>-10.79%</t>
  </si>
  <si>
    <t>-17.18%</t>
  </si>
  <si>
    <t>-17.39%</t>
  </si>
  <si>
    <t>-36.17%</t>
  </si>
  <si>
    <t>66.86%</t>
  </si>
  <si>
    <t>-17.89%</t>
  </si>
  <si>
    <t>-20.01%</t>
  </si>
  <si>
    <t>0.03%</t>
  </si>
  <si>
    <t>1.75%</t>
  </si>
  <si>
    <t>-17.25%</t>
  </si>
  <si>
    <t>-6.84%</t>
  </si>
  <si>
    <t>-15.30%</t>
  </si>
  <si>
    <t>-31.27%</t>
  </si>
  <si>
    <t>-0.39%</t>
  </si>
  <si>
    <t>10.49%</t>
  </si>
  <si>
    <t>19.14%</t>
  </si>
  <si>
    <t>57.84%</t>
  </si>
  <si>
    <t>55.56%</t>
  </si>
  <si>
    <t>-20.40%</t>
  </si>
  <si>
    <t>-20.33%</t>
  </si>
  <si>
    <t>-9.94%</t>
  </si>
  <si>
    <t>4.86%</t>
  </si>
  <si>
    <t>19.88%</t>
  </si>
  <si>
    <t>-14.96%</t>
  </si>
  <si>
    <t>-15.03%</t>
  </si>
  <si>
    <t>32.26%</t>
  </si>
  <si>
    <t>9.83%</t>
  </si>
  <si>
    <t>-35.61%</t>
  </si>
  <si>
    <t>0.05%</t>
  </si>
  <si>
    <t>30.80%</t>
  </si>
  <si>
    <t>31.31%</t>
  </si>
  <si>
    <t>48.40%</t>
  </si>
  <si>
    <t>34.16%</t>
  </si>
  <si>
    <t>-17.75%</t>
  </si>
  <si>
    <t>27.79%</t>
  </si>
  <si>
    <t>40.39%</t>
  </si>
  <si>
    <t>13.90%</t>
  </si>
  <si>
    <t>-26.76%</t>
  </si>
  <si>
    <t>12.54%</t>
  </si>
  <si>
    <t>42.41%</t>
  </si>
  <si>
    <t>59.04%</t>
  </si>
  <si>
    <t>-2.49%</t>
  </si>
  <si>
    <t>26.78%</t>
  </si>
  <si>
    <t>61.59%</t>
  </si>
  <si>
    <t>37.47%</t>
  </si>
  <si>
    <t>47.77%</t>
  </si>
  <si>
    <t>20.00%</t>
  </si>
  <si>
    <t>-19.81%</t>
  </si>
  <si>
    <t>-20.77%</t>
  </si>
  <si>
    <t>17.53%</t>
  </si>
  <si>
    <t>8.94%</t>
  </si>
  <si>
    <t>14.18%</t>
  </si>
  <si>
    <t>78.23%</t>
  </si>
  <si>
    <t>100.51%</t>
  </si>
  <si>
    <t>14.17%</t>
  </si>
  <si>
    <t>39.71%</t>
  </si>
  <si>
    <t>36.31%</t>
  </si>
  <si>
    <t>279.26%</t>
  </si>
  <si>
    <t>61.60%</t>
  </si>
  <si>
    <t>78.80%</t>
  </si>
  <si>
    <t>30.53%</t>
  </si>
  <si>
    <t>-8.78%</t>
  </si>
  <si>
    <t>19.01%</t>
  </si>
  <si>
    <t>17.58%</t>
  </si>
  <si>
    <t>44.56%</t>
  </si>
  <si>
    <t>13.34%</t>
  </si>
  <si>
    <t>529.11%</t>
  </si>
  <si>
    <t>-14.35%</t>
  </si>
  <si>
    <t>114.14%</t>
  </si>
  <si>
    <t>-35.35%</t>
  </si>
  <si>
    <t>-2.10%</t>
  </si>
  <si>
    <t>28.86%</t>
  </si>
  <si>
    <t>-43.22%</t>
  </si>
  <si>
    <t>-3.48%</t>
  </si>
  <si>
    <t>-11.06%</t>
  </si>
  <si>
    <t>-6.14%</t>
  </si>
  <si>
    <t>-16.22%</t>
  </si>
  <si>
    <t>-20.62%</t>
  </si>
  <si>
    <t>-14.40%</t>
  </si>
  <si>
    <t>-21.97%</t>
  </si>
  <si>
    <t>-15.87%</t>
  </si>
  <si>
    <t>18.79%</t>
  </si>
  <si>
    <t>11.50%</t>
  </si>
  <si>
    <t>-4.42%</t>
  </si>
  <si>
    <t>-18.06%</t>
  </si>
  <si>
    <t>3.57%</t>
  </si>
  <si>
    <t>13.31%</t>
  </si>
  <si>
    <t>35.39%</t>
  </si>
  <si>
    <t>39.24%</t>
  </si>
  <si>
    <t>33.67%</t>
  </si>
  <si>
    <t>194.57%</t>
  </si>
  <si>
    <t>63.24%</t>
  </si>
  <si>
    <t>-7.16%</t>
  </si>
  <si>
    <t>-12.58%</t>
  </si>
  <si>
    <t>-23.73%</t>
  </si>
  <si>
    <t>-26.65%</t>
  </si>
  <si>
    <t>30.04%</t>
  </si>
  <si>
    <t>40.03%</t>
  </si>
  <si>
    <t>42.86%</t>
  </si>
  <si>
    <t>-7.07%</t>
  </si>
  <si>
    <t>37.21%</t>
  </si>
  <si>
    <t>43.49%</t>
  </si>
  <si>
    <t>31.30%</t>
  </si>
  <si>
    <t>-7.03%</t>
  </si>
  <si>
    <t>8.01%</t>
  </si>
  <si>
    <t>18.75%</t>
  </si>
  <si>
    <t>-23.38%</t>
  </si>
  <si>
    <t>3.09%</t>
  </si>
  <si>
    <t>-18.77%</t>
  </si>
  <si>
    <t>-20.49%</t>
  </si>
  <si>
    <t>-9.20%</t>
  </si>
  <si>
    <t>-20.59%</t>
  </si>
  <si>
    <t>-18.39%</t>
  </si>
  <si>
    <t>-16.89%</t>
  </si>
  <si>
    <t>-27.00%</t>
  </si>
  <si>
    <t>-35.95%</t>
  </si>
  <si>
    <t>-24.13%</t>
  </si>
  <si>
    <t>-41.43%</t>
  </si>
  <si>
    <t>-29.08%</t>
  </si>
  <si>
    <t>12.24%</t>
  </si>
  <si>
    <t>20.50%</t>
  </si>
  <si>
    <t>-23.48%</t>
  </si>
  <si>
    <t>-0.22%</t>
  </si>
  <si>
    <t>5.43%</t>
  </si>
  <si>
    <t>14.92%</t>
  </si>
  <si>
    <t>9.26%</t>
  </si>
  <si>
    <t>23.25%</t>
  </si>
  <si>
    <t>13.06%</t>
  </si>
  <si>
    <t>-16.80%</t>
  </si>
  <si>
    <t>-41.14%</t>
  </si>
  <si>
    <t>-58.55%</t>
  </si>
  <si>
    <t>-30.63%</t>
  </si>
  <si>
    <t>-32.86%</t>
  </si>
  <si>
    <t>-15.70%</t>
  </si>
  <si>
    <t>-28.86%</t>
  </si>
  <si>
    <t>-53.74%</t>
  </si>
  <si>
    <t>-42.55%</t>
  </si>
  <si>
    <t>-29.77%</t>
  </si>
  <si>
    <t>-34.13%</t>
  </si>
  <si>
    <t>-37.77%</t>
  </si>
  <si>
    <t>-45.05%</t>
  </si>
  <si>
    <t>-35.85%</t>
  </si>
  <si>
    <t>-43.89%</t>
  </si>
  <si>
    <t>-0.03%</t>
  </si>
  <si>
    <t>-32.52%</t>
  </si>
  <si>
    <t>17.95%</t>
  </si>
  <si>
    <t>57.55%</t>
  </si>
  <si>
    <t>40.26%</t>
  </si>
  <si>
    <t>-0.01%</t>
  </si>
  <si>
    <t>0.15%</t>
  </si>
  <si>
    <t>23.18%</t>
  </si>
  <si>
    <t>-14.09%</t>
  </si>
  <si>
    <t>-7.60%</t>
  </si>
  <si>
    <t>0.02%</t>
  </si>
  <si>
    <t>-3.71%</t>
  </si>
  <si>
    <t>-3.08%</t>
  </si>
  <si>
    <t>-14.53%</t>
  </si>
  <si>
    <t>-18.59%</t>
  </si>
  <si>
    <t>-7.24%</t>
  </si>
  <si>
    <t>5.48%</t>
  </si>
  <si>
    <t>18.43%</t>
  </si>
  <si>
    <t>3.76%</t>
  </si>
  <si>
    <t>-16.23%</t>
  </si>
  <si>
    <t>-17.61%</t>
  </si>
  <si>
    <t>-3.31%</t>
  </si>
  <si>
    <t>-7.63%</t>
  </si>
  <si>
    <t>39.84%</t>
  </si>
  <si>
    <t>32.57%</t>
  </si>
  <si>
    <t>6.11%</t>
  </si>
  <si>
    <t>0.04%</t>
  </si>
  <si>
    <t>15.71%</t>
  </si>
  <si>
    <t>1.22%</t>
  </si>
  <si>
    <t>8.53%</t>
  </si>
  <si>
    <t>-0.02%</t>
  </si>
  <si>
    <t>1.96%</t>
  </si>
  <si>
    <t>23.03%</t>
  </si>
  <si>
    <t>13.46%</t>
  </si>
  <si>
    <t>-10.23%</t>
  </si>
  <si>
    <t>-0.00%</t>
  </si>
  <si>
    <t>2.19%</t>
  </si>
  <si>
    <t>2.78%</t>
  </si>
  <si>
    <t>3.01%</t>
  </si>
  <si>
    <t>-10.06%</t>
  </si>
  <si>
    <t>-4.86%</t>
  </si>
  <si>
    <t>-4.84%</t>
  </si>
  <si>
    <t>-2.79%</t>
  </si>
  <si>
    <t>-7.00%</t>
  </si>
  <si>
    <t>-19.93%</t>
  </si>
  <si>
    <t>-36.34%</t>
  </si>
  <si>
    <t>5.55%</t>
  </si>
  <si>
    <t>-11.58%</t>
  </si>
  <si>
    <t>11.97%</t>
  </si>
  <si>
    <t>-14.03%</t>
  </si>
  <si>
    <t>-3.86%</t>
  </si>
  <si>
    <t>-19.43%</t>
  </si>
  <si>
    <t>-4.44%</t>
  </si>
  <si>
    <t>-4.09%</t>
  </si>
  <si>
    <t>-3.98%</t>
  </si>
  <si>
    <t>21.31%</t>
  </si>
  <si>
    <t>-14.05%</t>
  </si>
  <si>
    <t>-11.29%</t>
  </si>
  <si>
    <t>-11.34%</t>
  </si>
  <si>
    <t>-16.40%</t>
  </si>
  <si>
    <t>10.53%</t>
  </si>
  <si>
    <t>-10.01%</t>
  </si>
  <si>
    <t>4.00%</t>
  </si>
  <si>
    <t>12.95%</t>
  </si>
  <si>
    <t>47.24%</t>
  </si>
  <si>
    <t>15.51%</t>
  </si>
  <si>
    <t>28.55%</t>
  </si>
  <si>
    <t>8.69%</t>
  </si>
  <si>
    <t>4.49%</t>
  </si>
  <si>
    <t>22.02%</t>
  </si>
  <si>
    <t>23.85%</t>
  </si>
  <si>
    <t>-9.51%</t>
  </si>
  <si>
    <t>43.72%</t>
  </si>
  <si>
    <t>19.38%</t>
  </si>
  <si>
    <t>15.07%</t>
  </si>
  <si>
    <t>12.07%</t>
  </si>
  <si>
    <t>11.15%</t>
  </si>
  <si>
    <t>72.35%</t>
  </si>
  <si>
    <t>30.09%</t>
  </si>
  <si>
    <t>49.48%</t>
  </si>
  <si>
    <t>35.03%</t>
  </si>
  <si>
    <t>0.75%</t>
  </si>
  <si>
    <t>-3.84%</t>
  </si>
  <si>
    <t>-4.41%</t>
  </si>
  <si>
    <t>-36.87%</t>
  </si>
  <si>
    <t>-8.86%</t>
  </si>
  <si>
    <t>46.41%</t>
  </si>
  <si>
    <t>30.27%</t>
  </si>
  <si>
    <t>32.20%</t>
  </si>
  <si>
    <t>219.31%</t>
  </si>
  <si>
    <t>74.38%</t>
  </si>
  <si>
    <t>16.56%</t>
  </si>
  <si>
    <t>9.15%</t>
  </si>
  <si>
    <t>62.47%</t>
  </si>
  <si>
    <t>-15.52%</t>
  </si>
  <si>
    <t>16.95%</t>
  </si>
  <si>
    <t>-15.00%</t>
  </si>
  <si>
    <t>-17.42%</t>
  </si>
  <si>
    <t>-37.07%</t>
  </si>
  <si>
    <t>-25.74%</t>
  </si>
  <si>
    <t>-44.76%</t>
  </si>
  <si>
    <t>-28.00%</t>
  </si>
  <si>
    <t>11.30%</t>
  </si>
  <si>
    <t>24.82%</t>
  </si>
  <si>
    <t>5.73%</t>
  </si>
  <si>
    <t>31.41%</t>
  </si>
  <si>
    <t>6.48%</t>
  </si>
  <si>
    <t>-8.70%</t>
  </si>
  <si>
    <t>-33.20%</t>
  </si>
  <si>
    <t>-49.07%</t>
  </si>
  <si>
    <t>-23.62%</t>
  </si>
  <si>
    <t>3.10%</t>
  </si>
  <si>
    <t>-5.87%</t>
  </si>
  <si>
    <t>25.16%</t>
  </si>
  <si>
    <t>-14.48%</t>
  </si>
  <si>
    <t>-0.09%</t>
  </si>
  <si>
    <t>-8.74%</t>
  </si>
  <si>
    <t>-27.27%</t>
  </si>
  <si>
    <t>-31.72%</t>
  </si>
  <si>
    <t>-29.21%</t>
  </si>
  <si>
    <t>-23.83%</t>
  </si>
  <si>
    <t>7.39%</t>
  </si>
  <si>
    <t>13.36%</t>
  </si>
  <si>
    <t>22.11%</t>
  </si>
  <si>
    <t>10.87%</t>
  </si>
  <si>
    <t>-3.35%</t>
  </si>
  <si>
    <t>11.13%</t>
  </si>
  <si>
    <t>-10.00%</t>
  </si>
  <si>
    <t>74.03%</t>
  </si>
  <si>
    <t>16.54%</t>
  </si>
  <si>
    <t>37.36%</t>
  </si>
  <si>
    <t>47.30%</t>
  </si>
  <si>
    <t>42.48%</t>
  </si>
  <si>
    <t>122.22%</t>
  </si>
  <si>
    <t>69.58%</t>
  </si>
  <si>
    <t>63.79%</t>
  </si>
  <si>
    <t>-3.13%</t>
  </si>
  <si>
    <t>-10.07%</t>
  </si>
  <si>
    <t>-10.47%</t>
  </si>
  <si>
    <t>18.20%</t>
  </si>
  <si>
    <t>9.61%</t>
  </si>
  <si>
    <t>-1.03%</t>
  </si>
  <si>
    <t>-30.00%</t>
  </si>
  <si>
    <t>44.65%</t>
  </si>
  <si>
    <t>45.92%</t>
  </si>
  <si>
    <t>13.83%</t>
  </si>
  <si>
    <t>-32.15%</t>
  </si>
  <si>
    <t>-42.86%</t>
  </si>
  <si>
    <t>-65.07%</t>
  </si>
  <si>
    <t>-29.31%</t>
  </si>
  <si>
    <t>-37.40%</t>
  </si>
  <si>
    <t>-2.16%</t>
  </si>
  <si>
    <t>-18.52%</t>
  </si>
  <si>
    <t>-31.01%</t>
  </si>
  <si>
    <t>-2.60%</t>
  </si>
  <si>
    <t>-13.36%</t>
  </si>
  <si>
    <t>14.12%</t>
  </si>
  <si>
    <t>54.55%</t>
  </si>
  <si>
    <t>14.93%</t>
  </si>
  <si>
    <t>11.07%</t>
  </si>
  <si>
    <t>40.99%</t>
  </si>
  <si>
    <t>-7.39%</t>
  </si>
  <si>
    <t>-2.58%</t>
  </si>
  <si>
    <t>-0.75%</t>
  </si>
  <si>
    <t>8.27%</t>
  </si>
  <si>
    <t>2.39%</t>
  </si>
  <si>
    <t>-1.69%</t>
  </si>
  <si>
    <t>5.26%</t>
  </si>
  <si>
    <t>2.93%</t>
  </si>
  <si>
    <t>-1.13%</t>
  </si>
  <si>
    <t>8.05%</t>
  </si>
  <si>
    <t>48.67%</t>
  </si>
  <si>
    <t>30.36%</t>
  </si>
  <si>
    <t>16.13%</t>
  </si>
  <si>
    <t>35.13%</t>
  </si>
  <si>
    <t>27.67%</t>
  </si>
  <si>
    <t>-6.50%</t>
  </si>
  <si>
    <t>4.91%</t>
  </si>
  <si>
    <t>-8.22%</t>
  </si>
  <si>
    <t>5.38%</t>
  </si>
  <si>
    <t>-5.44%</t>
  </si>
  <si>
    <t>2.53%</t>
  </si>
  <si>
    <t>-3.95%</t>
  </si>
  <si>
    <t>-7.21%</t>
  </si>
  <si>
    <t>-11.22%</t>
  </si>
  <si>
    <t>-7.08%</t>
  </si>
  <si>
    <t>-11.88%</t>
  </si>
  <si>
    <t>-8.27%</t>
  </si>
  <si>
    <t>-19.41%</t>
  </si>
  <si>
    <t>-19.00%</t>
  </si>
  <si>
    <t>10.55%</t>
  </si>
  <si>
    <t>0.87%</t>
  </si>
  <si>
    <t>-14.08%</t>
  </si>
  <si>
    <t>-17.33%</t>
  </si>
  <si>
    <t>-22.24%</t>
  </si>
  <si>
    <t>-11.32%</t>
  </si>
  <si>
    <t>-22.92%</t>
  </si>
  <si>
    <t>-1.35%</t>
  </si>
  <si>
    <t>-75.92%</t>
  </si>
  <si>
    <t>85.42%</t>
  </si>
  <si>
    <t>349.56%</t>
  </si>
  <si>
    <t>682.09%</t>
  </si>
  <si>
    <t>-74.43%</t>
  </si>
  <si>
    <t>94.45%</t>
  </si>
  <si>
    <t>94.59%</t>
  </si>
  <si>
    <t>-28.25%</t>
  </si>
  <si>
    <t>SE</t>
  </si>
  <si>
    <t>SQM</t>
  </si>
  <si>
    <t>ASTS</t>
  </si>
  <si>
    <t>UAMY</t>
  </si>
  <si>
    <t>ADS.DE</t>
  </si>
  <si>
    <t>STMMI.MI</t>
  </si>
  <si>
    <t>ARGX.BR</t>
  </si>
  <si>
    <t>IMCD.AS</t>
  </si>
  <si>
    <t>ENI.MI</t>
  </si>
  <si>
    <t>BMPS.MI</t>
  </si>
  <si>
    <t>IAG.MC</t>
  </si>
  <si>
    <t>NFLX</t>
  </si>
  <si>
    <t>TSN</t>
  </si>
  <si>
    <t>CNX</t>
  </si>
  <si>
    <t>OKE</t>
  </si>
  <si>
    <t>CSX</t>
  </si>
  <si>
    <t>AAP</t>
  </si>
  <si>
    <t>LLY</t>
  </si>
  <si>
    <t>LULU</t>
  </si>
  <si>
    <t>MELI</t>
  </si>
  <si>
    <t>TGT</t>
  </si>
  <si>
    <t>REGN</t>
  </si>
  <si>
    <t>PTON</t>
  </si>
  <si>
    <t>FCX</t>
  </si>
  <si>
    <t>NUE</t>
  </si>
  <si>
    <t>ENPH</t>
  </si>
  <si>
    <t>MPC</t>
  </si>
  <si>
    <t>PDD</t>
  </si>
  <si>
    <t>AXON</t>
  </si>
  <si>
    <t>APP</t>
  </si>
  <si>
    <t>MSTR</t>
  </si>
  <si>
    <t>PLS.AX</t>
  </si>
  <si>
    <t>LYC.AX</t>
  </si>
  <si>
    <t>TECK</t>
  </si>
  <si>
    <t>SAAB-B.ST</t>
  </si>
  <si>
    <t>MP</t>
  </si>
  <si>
    <t>NOC</t>
  </si>
  <si>
    <t>EMBRAC-B.ST</t>
  </si>
  <si>
    <t>CDR.WA</t>
  </si>
  <si>
    <t>SIE.DE</t>
  </si>
  <si>
    <t>PESO ACTUAL</t>
  </si>
  <si>
    <t>PESO TEORICO</t>
  </si>
  <si>
    <t>indice+sectores</t>
  </si>
  <si>
    <t>acciones</t>
  </si>
  <si>
    <t>CHZ-USD</t>
  </si>
  <si>
    <t>DASH-USD</t>
  </si>
  <si>
    <t>ZEC-USD</t>
  </si>
  <si>
    <t>PEOPLE-USD</t>
  </si>
  <si>
    <t>INTC</t>
  </si>
  <si>
    <t>ASML.AS</t>
  </si>
  <si>
    <t>LITE</t>
  </si>
  <si>
    <t>4 SECTORES</t>
  </si>
  <si>
    <t>simulado</t>
  </si>
  <si>
    <t>real</t>
  </si>
  <si>
    <t>real/simulado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</si>
</sst>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#,##0\ &quot;€&quot;"/>
    <numFmt numFmtId="167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8"/>
      <color rgb="FF00206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0">
    <xf numFmtId="0" fontId="0" fillId="0" borderId="0" xfId="0"/>
    <xf numFmtId="17" fontId="4" fillId="2" borderId="14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10" fontId="4" fillId="2" borderId="8" xfId="1" applyNumberFormat="1" applyFont="1" applyFill="1" applyBorder="1" applyAlignment="1">
      <alignment horizontal="center" vertical="center"/>
    </xf>
    <xf numFmtId="10" fontId="5" fillId="3" borderId="20" xfId="1" applyNumberFormat="1" applyFont="1" applyFill="1" applyBorder="1" applyAlignment="1">
      <alignment horizontal="center" vertical="center"/>
    </xf>
    <xf numFmtId="10" fontId="4" fillId="2" borderId="21" xfId="1" applyNumberFormat="1" applyFont="1" applyFill="1" applyBorder="1" applyAlignment="1">
      <alignment horizontal="center" vertical="center"/>
    </xf>
    <xf numFmtId="10" fontId="4" fillId="2" borderId="20" xfId="1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/>
    </xf>
    <xf numFmtId="10" fontId="6" fillId="2" borderId="14" xfId="0" applyNumberFormat="1" applyFont="1" applyFill="1" applyBorder="1" applyAlignment="1">
      <alignment horizontal="left" vertical="center"/>
    </xf>
    <xf numFmtId="10" fontId="5" fillId="3" borderId="4" xfId="1" applyNumberFormat="1" applyFont="1" applyFill="1" applyBorder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10" fontId="4" fillId="2" borderId="7" xfId="1" applyNumberFormat="1" applyFont="1" applyFill="1" applyBorder="1" applyAlignment="1">
      <alignment horizontal="center" vertical="center"/>
    </xf>
    <xf numFmtId="10" fontId="5" fillId="3" borderId="11" xfId="1" applyNumberFormat="1" applyFont="1" applyFill="1" applyBorder="1" applyAlignment="1">
      <alignment horizontal="center" vertical="center"/>
    </xf>
    <xf numFmtId="10" fontId="4" fillId="2" borderId="12" xfId="1" applyNumberFormat="1" applyFont="1" applyFill="1" applyBorder="1" applyAlignment="1">
      <alignment horizontal="center" vertical="center"/>
    </xf>
    <xf numFmtId="10" fontId="4" fillId="2" borderId="11" xfId="1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/>
    </xf>
    <xf numFmtId="10" fontId="6" fillId="2" borderId="0" xfId="0" applyNumberFormat="1" applyFont="1" applyFill="1" applyAlignment="1">
      <alignment horizontal="left"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17" fontId="5" fillId="4" borderId="24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10" fontId="5" fillId="4" borderId="26" xfId="1" applyNumberFormat="1" applyFont="1" applyFill="1" applyBorder="1" applyAlignment="1">
      <alignment horizontal="center" vertical="center"/>
    </xf>
    <xf numFmtId="10" fontId="5" fillId="4" borderId="27" xfId="1" applyNumberFormat="1" applyFont="1" applyFill="1" applyBorder="1" applyAlignment="1">
      <alignment horizontal="center" vertical="center"/>
    </xf>
    <xf numFmtId="10" fontId="5" fillId="4" borderId="9" xfId="1" applyNumberFormat="1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vertical="center"/>
    </xf>
    <xf numFmtId="10" fontId="5" fillId="4" borderId="27" xfId="0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27" xfId="0" applyFont="1" applyFill="1" applyBorder="1" applyAlignment="1">
      <alignment horizontal="center" vertical="center"/>
    </xf>
    <xf numFmtId="10" fontId="5" fillId="4" borderId="24" xfId="0" applyNumberFormat="1" applyFont="1" applyFill="1" applyBorder="1" applyAlignment="1">
      <alignment horizontal="center" vertical="center"/>
    </xf>
    <xf numFmtId="10" fontId="5" fillId="4" borderId="6" xfId="1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17" fontId="3" fillId="5" borderId="10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10" fontId="3" fillId="5" borderId="11" xfId="1" applyNumberFormat="1" applyFont="1" applyFill="1" applyBorder="1" applyAlignment="1">
      <alignment horizontal="center" vertical="center"/>
    </xf>
    <xf numFmtId="10" fontId="3" fillId="5" borderId="12" xfId="1" applyNumberFormat="1" applyFont="1" applyFill="1" applyBorder="1" applyAlignment="1">
      <alignment horizontal="center" vertical="center"/>
    </xf>
    <xf numFmtId="10" fontId="3" fillId="5" borderId="7" xfId="1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0" fontId="3" fillId="5" borderId="1" xfId="1" applyNumberFormat="1" applyFont="1" applyFill="1" applyBorder="1" applyAlignment="1">
      <alignment horizontal="center" vertical="center"/>
    </xf>
    <xf numFmtId="166" fontId="3" fillId="5" borderId="7" xfId="1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center" vertical="center"/>
    </xf>
    <xf numFmtId="14" fontId="4" fillId="2" borderId="13" xfId="0" applyNumberFormat="1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/>
    </xf>
    <xf numFmtId="166" fontId="4" fillId="2" borderId="8" xfId="1" applyNumberFormat="1" applyFont="1" applyFill="1" applyBorder="1" applyAlignment="1">
      <alignment horizontal="center" vertical="center"/>
    </xf>
    <xf numFmtId="17" fontId="5" fillId="2" borderId="14" xfId="0" applyNumberFormat="1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/>
    </xf>
    <xf numFmtId="14" fontId="4" fillId="2" borderId="17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166" fontId="4" fillId="2" borderId="7" xfId="1" applyNumberFormat="1" applyFont="1" applyFill="1" applyBorder="1" applyAlignment="1">
      <alignment horizontal="center" vertical="center"/>
    </xf>
    <xf numFmtId="17" fontId="5" fillId="2" borderId="0" xfId="0" applyNumberFormat="1" applyFont="1" applyFill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4" fontId="4" fillId="2" borderId="0" xfId="0" applyNumberFormat="1" applyFont="1" applyFill="1" applyAlignment="1">
      <alignment vertical="center"/>
    </xf>
    <xf numFmtId="14" fontId="5" fillId="4" borderId="23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left" vertical="center"/>
    </xf>
    <xf numFmtId="166" fontId="5" fillId="4" borderId="9" xfId="1" applyNumberFormat="1" applyFont="1" applyFill="1" applyBorder="1" applyAlignment="1">
      <alignment horizontal="center" vertical="center"/>
    </xf>
    <xf numFmtId="3" fontId="5" fillId="4" borderId="9" xfId="0" applyNumberFormat="1" applyFont="1" applyFill="1" applyBorder="1" applyAlignment="1">
      <alignment horizontal="center" vertical="center"/>
    </xf>
    <xf numFmtId="4" fontId="5" fillId="4" borderId="24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0" fontId="4" fillId="3" borderId="0" xfId="1" applyNumberFormat="1" applyFont="1" applyFill="1" applyBorder="1" applyAlignment="1">
      <alignment horizontal="center" vertical="center"/>
    </xf>
    <xf numFmtId="10" fontId="4" fillId="0" borderId="0" xfId="1" applyNumberFormat="1" applyFont="1" applyBorder="1" applyAlignment="1">
      <alignment horizontal="center" vertical="center"/>
    </xf>
    <xf numFmtId="10" fontId="4" fillId="0" borderId="18" xfId="1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10" fontId="4" fillId="3" borderId="17" xfId="1" applyNumberFormat="1" applyFont="1" applyFill="1" applyBorder="1" applyAlignment="1">
      <alignment horizontal="center" vertical="center"/>
    </xf>
    <xf numFmtId="166" fontId="4" fillId="0" borderId="18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3" fontId="4" fillId="0" borderId="18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7" fontId="5" fillId="0" borderId="0" xfId="0" applyNumberFormat="1" applyFont="1" applyAlignment="1">
      <alignment horizontal="right" vertical="center"/>
    </xf>
    <xf numFmtId="0" fontId="5" fillId="0" borderId="17" xfId="0" applyFont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0" fontId="4" fillId="0" borderId="0" xfId="1" applyNumberFormat="1" applyFont="1" applyBorder="1" applyAlignment="1">
      <alignment horizontal="left" vertical="center"/>
    </xf>
    <xf numFmtId="10" fontId="5" fillId="0" borderId="0" xfId="1" applyNumberFormat="1" applyFont="1" applyBorder="1" applyAlignment="1">
      <alignment horizontal="center" vertical="center"/>
    </xf>
    <xf numFmtId="10" fontId="5" fillId="0" borderId="18" xfId="1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3" borderId="17" xfId="0" applyNumberFormat="1" applyFont="1" applyFill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left" vertical="center"/>
    </xf>
    <xf numFmtId="164" fontId="5" fillId="3" borderId="17" xfId="1" applyNumberFormat="1" applyFont="1" applyFill="1" applyBorder="1" applyAlignment="1">
      <alignment horizontal="center" vertical="center"/>
    </xf>
    <xf numFmtId="164" fontId="5" fillId="0" borderId="17" xfId="1" applyNumberFormat="1" applyFont="1" applyBorder="1" applyAlignment="1">
      <alignment horizontal="center" vertical="center"/>
    </xf>
    <xf numFmtId="3" fontId="5" fillId="0" borderId="18" xfId="1" applyNumberFormat="1" applyFont="1" applyBorder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left" vertical="center"/>
    </xf>
    <xf numFmtId="2" fontId="5" fillId="3" borderId="17" xfId="0" applyNumberFormat="1" applyFont="1" applyFill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9" fontId="5" fillId="3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9" fontId="5" fillId="3" borderId="17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0" fontId="3" fillId="5" borderId="1" xfId="1" applyNumberFormat="1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/>
    </xf>
    <xf numFmtId="10" fontId="4" fillId="3" borderId="1" xfId="1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166" fontId="4" fillId="0" borderId="18" xfId="1" applyNumberFormat="1" applyFont="1" applyBorder="1" applyAlignment="1">
      <alignment horizontal="left" vertical="center"/>
    </xf>
    <xf numFmtId="17" fontId="4" fillId="2" borderId="15" xfId="0" applyNumberFormat="1" applyFont="1" applyFill="1" applyBorder="1" applyAlignment="1">
      <alignment horizontal="center" vertical="center"/>
    </xf>
    <xf numFmtId="17" fontId="4" fillId="2" borderId="18" xfId="0" applyNumberFormat="1" applyFont="1" applyFill="1" applyBorder="1" applyAlignment="1">
      <alignment horizontal="center" vertical="center"/>
    </xf>
    <xf numFmtId="17" fontId="5" fillId="4" borderId="28" xfId="0" applyNumberFormat="1" applyFont="1" applyFill="1" applyBorder="1" applyAlignment="1">
      <alignment horizontal="center" vertical="center"/>
    </xf>
    <xf numFmtId="17" fontId="4" fillId="0" borderId="18" xfId="0" applyNumberFormat="1" applyFont="1" applyBorder="1" applyAlignment="1">
      <alignment horizontal="center" vertical="center"/>
    </xf>
    <xf numFmtId="17" fontId="4" fillId="0" borderId="29" xfId="0" applyNumberFormat="1" applyFont="1" applyBorder="1" applyAlignment="1">
      <alignment horizontal="center" vertical="center"/>
    </xf>
    <xf numFmtId="17" fontId="5" fillId="0" borderId="29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17" fontId="3" fillId="5" borderId="5" xfId="0" applyNumberFormat="1" applyFont="1" applyFill="1" applyBorder="1" applyAlignment="1">
      <alignment horizontal="center" vertical="center" wrapText="1"/>
    </xf>
    <xf numFmtId="10" fontId="3" fillId="5" borderId="4" xfId="1" applyNumberFormat="1" applyFont="1" applyFill="1" applyBorder="1" applyAlignment="1">
      <alignment horizontal="center" vertical="center" wrapText="1"/>
    </xf>
    <xf numFmtId="10" fontId="3" fillId="5" borderId="21" xfId="1" applyNumberFormat="1" applyFont="1" applyFill="1" applyBorder="1" applyAlignment="1">
      <alignment horizontal="center" vertical="center" wrapText="1"/>
    </xf>
    <xf numFmtId="10" fontId="3" fillId="5" borderId="8" xfId="1" applyNumberFormat="1" applyFont="1" applyFill="1" applyBorder="1" applyAlignment="1">
      <alignment horizontal="center" vertical="center" wrapText="1"/>
    </xf>
    <xf numFmtId="17" fontId="3" fillId="0" borderId="3" xfId="0" applyNumberFormat="1" applyFont="1" applyBorder="1" applyAlignment="1">
      <alignment horizontal="center" vertical="center" wrapText="1"/>
    </xf>
    <xf numFmtId="10" fontId="3" fillId="5" borderId="12" xfId="1" applyNumberFormat="1" applyFont="1" applyFill="1" applyBorder="1" applyAlignment="1">
      <alignment horizontal="center" vertical="center" wrapText="1"/>
    </xf>
    <xf numFmtId="166" fontId="3" fillId="5" borderId="7" xfId="1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 wrapText="1"/>
    </xf>
    <xf numFmtId="17" fontId="3" fillId="0" borderId="30" xfId="0" applyNumberFormat="1" applyFont="1" applyBorder="1" applyAlignment="1">
      <alignment horizontal="center" vertical="center" wrapText="1"/>
    </xf>
    <xf numFmtId="17" fontId="3" fillId="0" borderId="31" xfId="0" applyNumberFormat="1" applyFont="1" applyBorder="1" applyAlignment="1">
      <alignment horizontal="center" vertical="center" wrapText="1"/>
    </xf>
    <xf numFmtId="17" fontId="4" fillId="0" borderId="17" xfId="0" applyNumberFormat="1" applyFont="1" applyBorder="1" applyAlignment="1">
      <alignment horizontal="center" vertical="center"/>
    </xf>
    <xf numFmtId="17" fontId="5" fillId="0" borderId="17" xfId="0" applyNumberFormat="1" applyFont="1" applyBorder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0" fontId="5" fillId="4" borderId="24" xfId="0" applyNumberFormat="1" applyFont="1" applyFill="1" applyBorder="1" applyAlignment="1">
      <alignment vertical="center"/>
    </xf>
    <xf numFmtId="10" fontId="5" fillId="4" borderId="27" xfId="0" applyNumberFormat="1" applyFont="1" applyFill="1" applyBorder="1" applyAlignment="1">
      <alignment horizontal="left" vertical="center"/>
    </xf>
    <xf numFmtId="10" fontId="5" fillId="4" borderId="26" xfId="0" applyNumberFormat="1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17" fontId="3" fillId="5" borderId="21" xfId="0" applyNumberFormat="1" applyFont="1" applyFill="1" applyBorder="1" applyAlignment="1">
      <alignment horizontal="center" vertical="center" wrapText="1"/>
    </xf>
    <xf numFmtId="17" fontId="3" fillId="0" borderId="17" xfId="0" applyNumberFormat="1" applyFont="1" applyBorder="1" applyAlignment="1">
      <alignment horizontal="center" vertical="center" wrapText="1"/>
    </xf>
    <xf numFmtId="2" fontId="5" fillId="4" borderId="2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0" fontId="7" fillId="5" borderId="4" xfId="1" applyNumberFormat="1" applyFont="1" applyFill="1" applyBorder="1" applyAlignment="1">
      <alignment horizontal="center" vertical="center" wrapText="1"/>
    </xf>
    <xf numFmtId="10" fontId="4" fillId="0" borderId="18" xfId="1" applyNumberFormat="1" applyFont="1" applyBorder="1" applyAlignment="1">
      <alignment horizontal="left" vertical="center"/>
    </xf>
    <xf numFmtId="17" fontId="4" fillId="0" borderId="29" xfId="0" applyNumberFormat="1" applyFont="1" applyBorder="1" applyAlignment="1">
      <alignment horizontal="left" vertical="center"/>
    </xf>
    <xf numFmtId="17" fontId="4" fillId="0" borderId="17" xfId="0" applyNumberFormat="1" applyFont="1" applyBorder="1" applyAlignment="1">
      <alignment horizontal="left" vertical="center"/>
    </xf>
    <xf numFmtId="164" fontId="5" fillId="3" borderId="17" xfId="1" applyNumberFormat="1" applyFont="1" applyFill="1" applyBorder="1" applyAlignment="1">
      <alignment horizontal="left" vertical="center"/>
    </xf>
    <xf numFmtId="167" fontId="4" fillId="2" borderId="0" xfId="0" applyNumberFormat="1" applyFont="1" applyFill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left" vertical="center"/>
    </xf>
    <xf numFmtId="167" fontId="5" fillId="4" borderId="24" xfId="0" applyNumberFormat="1" applyFont="1" applyFill="1" applyBorder="1" applyAlignment="1">
      <alignment horizontal="center" vertical="center"/>
    </xf>
    <xf numFmtId="167" fontId="4" fillId="2" borderId="14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0" fontId="4" fillId="0" borderId="0" xfId="1" applyNumberFormat="1" applyFont="1" applyFill="1" applyBorder="1" applyAlignment="1">
      <alignment horizontal="center" vertical="center"/>
    </xf>
    <xf numFmtId="10" fontId="4" fillId="0" borderId="18" xfId="1" applyNumberFormat="1" applyFont="1" applyFill="1" applyBorder="1" applyAlignment="1">
      <alignment horizontal="center" vertical="center"/>
    </xf>
    <xf numFmtId="10" fontId="4" fillId="0" borderId="17" xfId="1" applyNumberFormat="1" applyFont="1" applyFill="1" applyBorder="1" applyAlignment="1">
      <alignment horizontal="center" vertical="center"/>
    </xf>
    <xf numFmtId="166" fontId="4" fillId="0" borderId="18" xfId="1" applyNumberFormat="1" applyFont="1" applyFill="1" applyBorder="1" applyAlignment="1">
      <alignment horizontal="center" vertical="center"/>
    </xf>
    <xf numFmtId="17" fontId="4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vertical="center"/>
    </xf>
    <xf numFmtId="0" fontId="4" fillId="0" borderId="12" xfId="0" applyFont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3300"/>
      <color rgb="FFFF99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outlinePr summaryRight="0"/>
  </sheetPr>
  <dimension ref="A1:AD125"/>
  <sheetViews>
    <sheetView showGridLines="0" tabSelected="1" zoomScaleNormal="100" workbookViewId="0">
      <pane xSplit="3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44140625" defaultRowHeight="14.4" outlineLevelRow="1" x14ac:dyDescent="0.3"/>
  <cols>
    <col min="1" max="1" width="11.44140625" style="81"/>
    <col min="2" max="2" width="10.44140625" style="71" bestFit="1" customWidth="1"/>
    <col min="3" max="3" width="10.44140625" style="123" customWidth="1"/>
    <col min="4" max="4" width="10.6640625" style="70" customWidth="1"/>
    <col min="5" max="5" width="8.44140625" style="76" bestFit="1" customWidth="1"/>
    <col min="6" max="6" width="8.44140625" style="73" customWidth="1"/>
    <col min="7" max="7" width="10.5546875" style="73" customWidth="1"/>
    <col min="8" max="8" width="8.44140625" style="74" customWidth="1"/>
    <col min="9" max="9" width="11.33203125" style="70" customWidth="1"/>
    <col min="10" max="10" width="8.44140625" style="76" bestFit="1" customWidth="1"/>
    <col min="11" max="11" width="8.44140625" style="73" customWidth="1"/>
    <col min="12" max="12" width="10.5546875" style="73" customWidth="1"/>
    <col min="13" max="13" width="8.44140625" style="74" customWidth="1"/>
    <col min="14" max="14" width="6.33203125" style="124" customWidth="1"/>
    <col min="15" max="15" width="6.33203125" style="137" customWidth="1"/>
    <col min="16" max="16" width="8.44140625" style="76" bestFit="1" customWidth="1"/>
    <col min="17" max="17" width="8.5546875" style="73" customWidth="1"/>
    <col min="18" max="18" width="10.5546875" style="73" customWidth="1"/>
    <col min="19" max="19" width="8.44140625" style="73" customWidth="1"/>
    <col min="20" max="20" width="7.6640625" style="77" customWidth="1"/>
    <col min="21" max="21" width="6.33203125" style="137" customWidth="1"/>
    <col min="22" max="28" width="6.33203125" style="70" customWidth="1"/>
    <col min="29" max="16384" width="11.44140625" style="81"/>
  </cols>
  <sheetData>
    <row r="1" spans="1:30" s="134" customFormat="1" ht="30" customHeight="1" x14ac:dyDescent="0.3">
      <c r="A1" s="35" t="s">
        <v>665</v>
      </c>
      <c r="B1" s="126" t="s">
        <v>22</v>
      </c>
      <c r="C1" s="127" t="s">
        <v>99</v>
      </c>
      <c r="D1" s="145"/>
      <c r="E1" s="128" t="s">
        <v>147</v>
      </c>
      <c r="F1" s="129">
        <v>0.4</v>
      </c>
      <c r="G1" s="129" t="s">
        <v>84</v>
      </c>
      <c r="H1" s="130" t="s">
        <v>21</v>
      </c>
      <c r="I1" s="145"/>
      <c r="J1" s="128" t="s">
        <v>148</v>
      </c>
      <c r="K1" s="129">
        <v>0.3</v>
      </c>
      <c r="L1" s="129" t="s">
        <v>84</v>
      </c>
      <c r="M1" s="130" t="s">
        <v>21</v>
      </c>
      <c r="N1" s="131"/>
      <c r="O1" s="146"/>
      <c r="P1" s="128" t="s">
        <v>100</v>
      </c>
      <c r="Q1" s="132" t="s">
        <v>85</v>
      </c>
      <c r="R1" s="132" t="s">
        <v>84</v>
      </c>
      <c r="S1" s="132" t="s">
        <v>21</v>
      </c>
      <c r="T1" s="133" t="s">
        <v>87</v>
      </c>
      <c r="U1" s="135"/>
      <c r="V1" s="136"/>
      <c r="W1" s="136"/>
      <c r="X1" s="136"/>
      <c r="Y1" s="136"/>
      <c r="Z1" s="136"/>
      <c r="AA1" s="136"/>
      <c r="AB1" s="136"/>
      <c r="AC1" s="140"/>
      <c r="AD1" s="140"/>
    </row>
    <row r="2" spans="1:30" s="27" customFormat="1" ht="15" thickBot="1" x14ac:dyDescent="0.35">
      <c r="B2" s="63"/>
      <c r="C2" s="122"/>
      <c r="D2" s="147">
        <v>2.037659883499146</v>
      </c>
      <c r="E2" s="32"/>
      <c r="F2" s="25"/>
      <c r="G2" s="25"/>
      <c r="H2" s="26"/>
      <c r="I2" s="147">
        <v>12.03069972991943</v>
      </c>
      <c r="J2" s="32"/>
      <c r="K2" s="25"/>
      <c r="L2" s="25"/>
      <c r="M2" s="26"/>
      <c r="N2" s="125"/>
      <c r="O2" s="138"/>
      <c r="P2" s="32"/>
      <c r="Q2" s="25"/>
      <c r="R2" s="25"/>
      <c r="S2" s="25"/>
      <c r="T2" s="66"/>
      <c r="U2" s="138"/>
      <c r="V2" s="139"/>
      <c r="W2" s="139"/>
      <c r="X2" s="139"/>
      <c r="Y2" s="139"/>
      <c r="Z2" s="139"/>
      <c r="AA2" s="139"/>
      <c r="AB2" s="139"/>
      <c r="AC2" s="78"/>
      <c r="AD2" s="78"/>
    </row>
    <row r="3" spans="1:30" s="54" customFormat="1" outlineLevel="1" x14ac:dyDescent="0.3">
      <c r="A3" s="54" t="s">
        <v>663</v>
      </c>
      <c r="B3" s="48" t="str">
        <f t="shared" ref="B3:B42" si="0">YEAR(C3)&amp;"-"&amp;MONTH(C3)</f>
        <v>2018-1</v>
      </c>
      <c r="C3" s="120">
        <v>43101</v>
      </c>
      <c r="D3" s="148">
        <v>2.038009881973267</v>
      </c>
      <c r="E3" s="10">
        <f>D3/D2-1</f>
        <v>1.7176491374026881E-4</v>
      </c>
      <c r="F3" s="5">
        <f>+E3</f>
        <v>1.7176491374026881E-4</v>
      </c>
      <c r="G3" s="5">
        <f>+E3</f>
        <v>1.7176491374026881E-4</v>
      </c>
      <c r="H3" s="3">
        <f>(1+G3)/(1+MAX(G$3:G3))-1</f>
        <v>0</v>
      </c>
      <c r="I3" s="148">
        <v>12.27530002593994</v>
      </c>
      <c r="J3" s="10">
        <f>I3/I2-1</f>
        <v>2.0331344103968307E-2</v>
      </c>
      <c r="K3" s="5">
        <f>+J3</f>
        <v>2.0331344103968307E-2</v>
      </c>
      <c r="L3" s="5">
        <f>+J3</f>
        <v>2.0331344103968307E-2</v>
      </c>
      <c r="M3" s="3">
        <f>(1+L3)/(1+MAX(L$3:L3))-1</f>
        <v>0</v>
      </c>
      <c r="N3" s="124"/>
      <c r="O3" s="150">
        <v>1</v>
      </c>
      <c r="P3" s="10">
        <f>IF(O3=1,J3,E3)</f>
        <v>2.0331344103968307E-2</v>
      </c>
      <c r="Q3" s="5">
        <f>+P3</f>
        <v>2.0331344103968307E-2</v>
      </c>
      <c r="R3" s="5">
        <f>+P3</f>
        <v>2.0331344103968307E-2</v>
      </c>
      <c r="S3" s="5">
        <f>(1+R3)/(1+MAX(R$3:R3))-1</f>
        <v>0</v>
      </c>
      <c r="T3" s="51">
        <f>1000*(1+P3)</f>
        <v>1020.3313441039683</v>
      </c>
      <c r="U3" s="137"/>
      <c r="V3" s="70"/>
      <c r="W3" s="70"/>
      <c r="X3" s="70"/>
      <c r="Y3" s="70"/>
      <c r="Z3" s="70"/>
      <c r="AA3" s="70"/>
      <c r="AB3" s="70"/>
      <c r="AC3" s="81"/>
      <c r="AD3" s="81"/>
    </row>
    <row r="4" spans="1:30" s="61" customFormat="1" outlineLevel="1" x14ac:dyDescent="0.3">
      <c r="A4" s="61" t="s">
        <v>663</v>
      </c>
      <c r="B4" s="55" t="str">
        <f t="shared" si="0"/>
        <v>2018-2</v>
      </c>
      <c r="C4" s="121">
        <v>43132</v>
      </c>
      <c r="D4" s="149">
        <v>2.0356500148773189</v>
      </c>
      <c r="E4" s="20">
        <f t="shared" ref="E4:E67" si="1">D4/D3-1</f>
        <v>-1.1579272096871041E-3</v>
      </c>
      <c r="F4" s="15">
        <f t="shared" ref="F4:F14" si="2">+(1+E4)*(1+F3)-1</f>
        <v>-9.8636118721417976E-4</v>
      </c>
      <c r="G4" s="15">
        <f t="shared" ref="G4:G43" si="3">+(1+E4)*(1+G3)-1</f>
        <v>-9.8636118721417976E-4</v>
      </c>
      <c r="H4" s="13">
        <f>(1+G4)/(1+MAX(G$3:G4))-1</f>
        <v>-1.1579272096871041E-3</v>
      </c>
      <c r="I4" s="149">
        <v>12.152500152587891</v>
      </c>
      <c r="J4" s="20">
        <f t="shared" ref="J4:J67" si="4">I4/I3-1</f>
        <v>-1.000381848855425E-2</v>
      </c>
      <c r="K4" s="15">
        <f t="shared" ref="K4:K14" si="5">+(1+J4)*(1+K3)-1</f>
        <v>1.0124134539369667E-2</v>
      </c>
      <c r="L4" s="15">
        <f t="shared" ref="L4:L43" si="6">+(1+J4)*(1+L3)-1</f>
        <v>1.0124134539369667E-2</v>
      </c>
      <c r="M4" s="13">
        <f>(1+L4)/(1+MAX(L$3:L4))-1</f>
        <v>-1.000381848855425E-2</v>
      </c>
      <c r="N4" s="124"/>
      <c r="O4" s="150">
        <v>1</v>
      </c>
      <c r="P4" s="20">
        <f t="shared" ref="P4:P67" si="7">IF(O4=1,J4,E4)</f>
        <v>-1.000381848855425E-2</v>
      </c>
      <c r="Q4" s="15">
        <f t="shared" ref="Q4:Q14" si="8">+(1+P4)*(1+Q3)-1</f>
        <v>1.0124134539369667E-2</v>
      </c>
      <c r="R4" s="15">
        <f t="shared" ref="R4:R43" si="9">+(1+P4)*(1+R3)-1</f>
        <v>1.0124134539369667E-2</v>
      </c>
      <c r="S4" s="15">
        <f>(1+R4)/(1+MAX(R$3:R4))-1</f>
        <v>-1.000381848855425E-2</v>
      </c>
      <c r="T4" s="58">
        <f t="shared" ref="T4:T44" si="10">T3*(1+P4)</f>
        <v>1010.1241345393696</v>
      </c>
      <c r="U4" s="137"/>
      <c r="V4" s="70"/>
      <c r="W4" s="70"/>
      <c r="X4" s="70"/>
      <c r="Y4" s="70"/>
      <c r="Z4" s="70"/>
      <c r="AA4" s="70"/>
      <c r="AB4" s="70"/>
      <c r="AC4" s="81"/>
      <c r="AD4" s="81"/>
    </row>
    <row r="5" spans="1:30" s="61" customFormat="1" outlineLevel="1" x14ac:dyDescent="0.3">
      <c r="A5" s="61" t="s">
        <v>663</v>
      </c>
      <c r="B5" s="55" t="str">
        <f t="shared" si="0"/>
        <v>2018-3</v>
      </c>
      <c r="C5" s="121">
        <v>43160</v>
      </c>
      <c r="D5" s="149">
        <v>2.0470700263977051</v>
      </c>
      <c r="E5" s="20">
        <f t="shared" si="1"/>
        <v>5.6100073376681436E-3</v>
      </c>
      <c r="F5" s="15">
        <f t="shared" si="2"/>
        <v>4.6181126569559972E-3</v>
      </c>
      <c r="G5" s="15">
        <f t="shared" si="3"/>
        <v>4.6181126569559972E-3</v>
      </c>
      <c r="H5" s="13">
        <f>(1+G5)/(1+MAX(G$3:G5))-1</f>
        <v>0</v>
      </c>
      <c r="I5" s="149">
        <v>11.56779956817627</v>
      </c>
      <c r="J5" s="20">
        <f t="shared" si="4"/>
        <v>-4.8113604367008289E-2</v>
      </c>
      <c r="K5" s="15">
        <f t="shared" si="5"/>
        <v>-3.8476578431424269E-2</v>
      </c>
      <c r="L5" s="15">
        <f t="shared" si="6"/>
        <v>-3.8476578431424269E-2</v>
      </c>
      <c r="M5" s="13">
        <f>(1+L5)/(1+MAX(L$3:L5))-1</f>
        <v>-5.763610309064493E-2</v>
      </c>
      <c r="N5" s="124"/>
      <c r="O5" s="150">
        <v>1</v>
      </c>
      <c r="P5" s="20">
        <f t="shared" si="7"/>
        <v>-4.8113604367008289E-2</v>
      </c>
      <c r="Q5" s="15">
        <f t="shared" si="8"/>
        <v>-3.8476578431424269E-2</v>
      </c>
      <c r="R5" s="15">
        <f t="shared" si="9"/>
        <v>-3.8476578431424269E-2</v>
      </c>
      <c r="S5" s="15">
        <f>(1+R5)/(1+MAX(R$3:R5))-1</f>
        <v>-5.763610309064493E-2</v>
      </c>
      <c r="T5" s="58">
        <f t="shared" si="10"/>
        <v>961.52342156857571</v>
      </c>
      <c r="U5" s="137"/>
      <c r="V5" s="70"/>
      <c r="W5" s="70"/>
      <c r="X5" s="70"/>
      <c r="Y5" s="70"/>
      <c r="Z5" s="70"/>
      <c r="AA5" s="70"/>
      <c r="AB5" s="70"/>
      <c r="AC5" s="81"/>
      <c r="AD5" s="81"/>
    </row>
    <row r="6" spans="1:30" s="61" customFormat="1" outlineLevel="1" x14ac:dyDescent="0.3">
      <c r="A6" s="61" t="s">
        <v>663</v>
      </c>
      <c r="B6" s="55" t="str">
        <f t="shared" si="0"/>
        <v>2018-4</v>
      </c>
      <c r="C6" s="121">
        <v>43191</v>
      </c>
      <c r="D6" s="149">
        <v>2.0441300868988042</v>
      </c>
      <c r="E6" s="20">
        <f t="shared" si="1"/>
        <v>-1.4361694817418558E-3</v>
      </c>
      <c r="F6" s="15">
        <f t="shared" si="2"/>
        <v>3.1753107827530158E-3</v>
      </c>
      <c r="G6" s="15">
        <f t="shared" si="3"/>
        <v>3.1753107827530158E-3</v>
      </c>
      <c r="H6" s="13">
        <f>(1+G6)/(1+MAX(G$3:G6))-1</f>
        <v>-1.4361694817418558E-3</v>
      </c>
      <c r="I6" s="149">
        <v>11.94400024414062</v>
      </c>
      <c r="J6" s="20">
        <f t="shared" si="4"/>
        <v>3.252136880027745E-2</v>
      </c>
      <c r="K6" s="15">
        <f t="shared" si="5"/>
        <v>-7.2065206284879224E-3</v>
      </c>
      <c r="L6" s="15">
        <f t="shared" si="6"/>
        <v>-7.2065206284879224E-3</v>
      </c>
      <c r="M6" s="13">
        <f>(1+L6)/(1+MAX(L$3:L6))-1</f>
        <v>-2.6989139255189087E-2</v>
      </c>
      <c r="N6" s="124"/>
      <c r="O6" s="150">
        <v>0</v>
      </c>
      <c r="P6" s="20">
        <f t="shared" si="7"/>
        <v>-1.4361694817418558E-3</v>
      </c>
      <c r="Q6" s="15">
        <f t="shared" si="8"/>
        <v>-3.9857489025461046E-2</v>
      </c>
      <c r="R6" s="15">
        <f t="shared" si="9"/>
        <v>-3.9857489025461046E-2</v>
      </c>
      <c r="S6" s="15">
        <f>(1+R6)/(1+MAX(R$3:R6))-1</f>
        <v>-5.8989497360081411E-2</v>
      </c>
      <c r="T6" s="58">
        <f t="shared" si="10"/>
        <v>960.14251097453894</v>
      </c>
      <c r="U6" s="137"/>
      <c r="V6" s="70"/>
      <c r="W6" s="70"/>
      <c r="X6" s="70"/>
      <c r="Y6" s="70"/>
      <c r="Z6" s="70"/>
      <c r="AA6" s="70"/>
      <c r="AB6" s="70"/>
      <c r="AC6" s="81"/>
      <c r="AD6" s="81"/>
    </row>
    <row r="7" spans="1:30" s="61" customFormat="1" outlineLevel="1" x14ac:dyDescent="0.3">
      <c r="A7" s="61" t="s">
        <v>663</v>
      </c>
      <c r="B7" s="55" t="str">
        <f t="shared" si="0"/>
        <v>2018-5</v>
      </c>
      <c r="C7" s="121">
        <v>43221</v>
      </c>
      <c r="D7" s="149">
        <v>2.023760080337524</v>
      </c>
      <c r="E7" s="20">
        <f t="shared" si="1"/>
        <v>-9.9651224214325484E-3</v>
      </c>
      <c r="F7" s="15">
        <f t="shared" si="2"/>
        <v>-6.8214539993557421E-3</v>
      </c>
      <c r="G7" s="15">
        <f t="shared" si="3"/>
        <v>-6.8214539993557421E-3</v>
      </c>
      <c r="H7" s="13">
        <f>(1+G7)/(1+MAX(G$3:G7))-1</f>
        <v>-1.138698029847085E-2</v>
      </c>
      <c r="I7" s="149">
        <v>12.51500034332275</v>
      </c>
      <c r="J7" s="20">
        <f t="shared" si="4"/>
        <v>4.7806437333442586E-2</v>
      </c>
      <c r="K7" s="15">
        <f t="shared" si="5"/>
        <v>4.0255398628136652E-2</v>
      </c>
      <c r="L7" s="15">
        <f t="shared" si="6"/>
        <v>4.0255398628136652E-2</v>
      </c>
      <c r="M7" s="13">
        <f>(1+L7)/(1+MAX(L$3:L7))-1</f>
        <v>0</v>
      </c>
      <c r="N7" s="124"/>
      <c r="O7" s="150">
        <v>0</v>
      </c>
      <c r="P7" s="20">
        <f t="shared" si="7"/>
        <v>-9.9651224214325484E-3</v>
      </c>
      <c r="Q7" s="15">
        <f t="shared" si="8"/>
        <v>-4.9425426689344021E-2</v>
      </c>
      <c r="R7" s="15">
        <f t="shared" si="9"/>
        <v>-4.9425426689344021E-2</v>
      </c>
      <c r="S7" s="15">
        <f>(1+R7)/(1+MAX(R$3:R7))-1</f>
        <v>-6.8366782218742039E-2</v>
      </c>
      <c r="T7" s="58">
        <f t="shared" si="10"/>
        <v>950.57457331065598</v>
      </c>
      <c r="U7" s="137"/>
      <c r="V7" s="70"/>
      <c r="W7" s="70"/>
      <c r="X7" s="70"/>
      <c r="Y7" s="70"/>
      <c r="Z7" s="70"/>
      <c r="AA7" s="70"/>
      <c r="AB7" s="70"/>
      <c r="AC7" s="81"/>
      <c r="AD7" s="81"/>
    </row>
    <row r="8" spans="1:30" s="61" customFormat="1" outlineLevel="1" x14ac:dyDescent="0.3">
      <c r="A8" s="61" t="s">
        <v>663</v>
      </c>
      <c r="B8" s="55" t="str">
        <f t="shared" si="0"/>
        <v>2018-6</v>
      </c>
      <c r="C8" s="121">
        <v>43252</v>
      </c>
      <c r="D8" s="149">
        <v>2.038599967956543</v>
      </c>
      <c r="E8" s="20">
        <f t="shared" si="1"/>
        <v>7.3328295004928545E-3</v>
      </c>
      <c r="F8" s="15">
        <f t="shared" si="2"/>
        <v>4.6135494201449134E-4</v>
      </c>
      <c r="G8" s="15">
        <f t="shared" si="3"/>
        <v>4.6135494201449134E-4</v>
      </c>
      <c r="H8" s="13">
        <f>(1+G8)/(1+MAX(G$3:G8))-1</f>
        <v>-4.1376495830320881E-3</v>
      </c>
      <c r="I8" s="149">
        <v>12.63469982147217</v>
      </c>
      <c r="J8" s="20">
        <f t="shared" si="4"/>
        <v>9.5644806125221304E-3</v>
      </c>
      <c r="K8" s="15">
        <f t="shared" si="5"/>
        <v>5.0204901220386899E-2</v>
      </c>
      <c r="L8" s="15">
        <f t="shared" si="6"/>
        <v>5.0204901220386899E-2</v>
      </c>
      <c r="M8" s="13">
        <f>(1+L8)/(1+MAX(L$3:L8))-1</f>
        <v>0</v>
      </c>
      <c r="N8" s="124"/>
      <c r="O8" s="150">
        <v>1</v>
      </c>
      <c r="P8" s="20">
        <f t="shared" si="7"/>
        <v>9.5644806125221304E-3</v>
      </c>
      <c r="Q8" s="15">
        <f t="shared" si="8"/>
        <v>-4.0333674612157755E-2</v>
      </c>
      <c r="R8" s="15">
        <f t="shared" si="9"/>
        <v>-4.0333674612157755E-2</v>
      </c>
      <c r="S8" s="15">
        <f>(1+R8)/(1+MAX(R$3:R8))-1</f>
        <v>-5.9456194369291615E-2</v>
      </c>
      <c r="T8" s="58">
        <f t="shared" si="10"/>
        <v>959.66632538784222</v>
      </c>
      <c r="U8" s="137"/>
      <c r="V8" s="70"/>
      <c r="W8" s="70"/>
      <c r="X8" s="70"/>
      <c r="Y8" s="70"/>
      <c r="Z8" s="70"/>
      <c r="AA8" s="70"/>
      <c r="AB8" s="70"/>
      <c r="AC8" s="81"/>
      <c r="AD8" s="81"/>
    </row>
    <row r="9" spans="1:30" s="61" customFormat="1" outlineLevel="1" x14ac:dyDescent="0.3">
      <c r="A9" s="61" t="s">
        <v>663</v>
      </c>
      <c r="B9" s="55" t="str">
        <f t="shared" si="0"/>
        <v>2018-7</v>
      </c>
      <c r="C9" s="121">
        <v>43282</v>
      </c>
      <c r="D9" s="149">
        <v>2.039119958877563</v>
      </c>
      <c r="E9" s="20">
        <f t="shared" si="1"/>
        <v>2.5507256410950419E-4</v>
      </c>
      <c r="F9" s="15">
        <f t="shared" si="2"/>
        <v>7.1654518511210519E-4</v>
      </c>
      <c r="G9" s="15">
        <f t="shared" si="3"/>
        <v>7.1654518511210519E-4</v>
      </c>
      <c r="H9" s="13">
        <f>(1+G9)/(1+MAX(G$3:G9))-1</f>
        <v>-3.883632419811045E-3</v>
      </c>
      <c r="I9" s="149">
        <v>12.961299896240231</v>
      </c>
      <c r="J9" s="20">
        <f t="shared" si="4"/>
        <v>2.584945264888816E-2</v>
      </c>
      <c r="K9" s="15">
        <f t="shared" si="5"/>
        <v>7.7352123086113611E-2</v>
      </c>
      <c r="L9" s="15">
        <f t="shared" si="6"/>
        <v>7.7352123086113611E-2</v>
      </c>
      <c r="M9" s="13">
        <f>(1+L9)/(1+MAX(L$3:L9))-1</f>
        <v>0</v>
      </c>
      <c r="N9" s="124"/>
      <c r="O9" s="150">
        <v>1</v>
      </c>
      <c r="P9" s="20">
        <f t="shared" si="7"/>
        <v>2.584945264888816E-2</v>
      </c>
      <c r="Q9" s="15">
        <f t="shared" si="8"/>
        <v>-1.5526825375312248E-2</v>
      </c>
      <c r="R9" s="15">
        <f t="shared" si="9"/>
        <v>-1.5526825375312248E-2</v>
      </c>
      <c r="S9" s="15">
        <f>(1+R9)/(1+MAX(R$3:R9))-1</f>
        <v>-3.5143651801435527E-2</v>
      </c>
      <c r="T9" s="58">
        <f t="shared" si="10"/>
        <v>984.47317462468777</v>
      </c>
      <c r="U9" s="137"/>
      <c r="V9" s="70"/>
      <c r="W9" s="70"/>
      <c r="X9" s="70"/>
      <c r="Y9" s="70"/>
      <c r="Z9" s="70"/>
      <c r="AA9" s="70"/>
      <c r="AB9" s="70"/>
      <c r="AC9" s="81"/>
      <c r="AD9" s="81"/>
    </row>
    <row r="10" spans="1:30" s="61" customFormat="1" outlineLevel="1" x14ac:dyDescent="0.3">
      <c r="A10" s="61" t="s">
        <v>663</v>
      </c>
      <c r="B10" s="55" t="str">
        <f t="shared" si="0"/>
        <v>2018-8</v>
      </c>
      <c r="C10" s="121">
        <v>43313</v>
      </c>
      <c r="D10" s="149">
        <v>2.032059907913208</v>
      </c>
      <c r="E10" s="20">
        <f t="shared" si="1"/>
        <v>-3.462302908476822E-3</v>
      </c>
      <c r="F10" s="15">
        <f t="shared" si="2"/>
        <v>-2.7482386198431907E-3</v>
      </c>
      <c r="G10" s="15">
        <f t="shared" si="3"/>
        <v>-2.7482386198431907E-3</v>
      </c>
      <c r="H10" s="13">
        <f>(1+G10)/(1+MAX(G$3:G10))-1</f>
        <v>-7.3324890164652157E-3</v>
      </c>
      <c r="I10" s="149">
        <v>13.43780040740967</v>
      </c>
      <c r="J10" s="20">
        <f t="shared" si="4"/>
        <v>3.6763327365618714E-2</v>
      </c>
      <c r="K10" s="15">
        <f t="shared" si="5"/>
        <v>0.1169591718751728</v>
      </c>
      <c r="L10" s="15">
        <f t="shared" si="6"/>
        <v>0.1169591718751728</v>
      </c>
      <c r="M10" s="13">
        <f>(1+L10)/(1+MAX(L$3:L10))-1</f>
        <v>0</v>
      </c>
      <c r="N10" s="124"/>
      <c r="O10" s="150">
        <v>1</v>
      </c>
      <c r="P10" s="20">
        <f t="shared" si="7"/>
        <v>3.6763327365618714E-2</v>
      </c>
      <c r="Q10" s="15">
        <f t="shared" si="8"/>
        <v>2.0665684226085057E-2</v>
      </c>
      <c r="R10" s="15">
        <f t="shared" si="9"/>
        <v>2.0665684226085057E-2</v>
      </c>
      <c r="S10" s="15">
        <f>(1+R10)/(1+MAX(R$3:R10))-1</f>
        <v>0</v>
      </c>
      <c r="T10" s="58">
        <f t="shared" si="10"/>
        <v>1020.6656842260851</v>
      </c>
      <c r="U10" s="137"/>
      <c r="V10" s="70"/>
      <c r="W10" s="70"/>
      <c r="X10" s="70"/>
      <c r="Y10" s="70"/>
      <c r="Z10" s="70"/>
      <c r="AA10" s="70"/>
      <c r="AB10" s="70"/>
      <c r="AC10" s="81"/>
      <c r="AD10" s="81"/>
    </row>
    <row r="11" spans="1:30" s="61" customFormat="1" outlineLevel="1" x14ac:dyDescent="0.3">
      <c r="A11" s="61" t="s">
        <v>663</v>
      </c>
      <c r="B11" s="55" t="str">
        <f t="shared" si="0"/>
        <v>2018-9</v>
      </c>
      <c r="C11" s="121">
        <v>43344</v>
      </c>
      <c r="D11" s="149">
        <v>2.028000116348267</v>
      </c>
      <c r="E11" s="20">
        <f t="shared" si="1"/>
        <v>-1.997870018069503E-3</v>
      </c>
      <c r="F11" s="15">
        <f t="shared" si="2"/>
        <v>-4.7406180143716448E-3</v>
      </c>
      <c r="G11" s="15">
        <f t="shared" si="3"/>
        <v>-4.7406180143716448E-3</v>
      </c>
      <c r="H11" s="13">
        <f>(1+G11)/(1+MAX(G$3:G11))-1</f>
        <v>-9.31570967457096E-3</v>
      </c>
      <c r="I11" s="149">
        <v>13.52180004119873</v>
      </c>
      <c r="J11" s="20">
        <f t="shared" si="4"/>
        <v>6.2509957911520697E-3</v>
      </c>
      <c r="K11" s="15">
        <f t="shared" si="5"/>
        <v>0.12394127895745322</v>
      </c>
      <c r="L11" s="15">
        <f t="shared" si="6"/>
        <v>0.12394127895745322</v>
      </c>
      <c r="M11" s="13">
        <f>(1+L11)/(1+MAX(L$3:L11))-1</f>
        <v>0</v>
      </c>
      <c r="N11" s="124"/>
      <c r="O11" s="150">
        <v>1</v>
      </c>
      <c r="P11" s="20">
        <f t="shared" si="7"/>
        <v>6.2509957911520697E-3</v>
      </c>
      <c r="Q11" s="15">
        <f t="shared" si="8"/>
        <v>2.704586112235563E-2</v>
      </c>
      <c r="R11" s="15">
        <f t="shared" si="9"/>
        <v>2.704586112235563E-2</v>
      </c>
      <c r="S11" s="15">
        <f>(1+R11)/(1+MAX(R$3:R11))-1</f>
        <v>0</v>
      </c>
      <c r="T11" s="58">
        <f t="shared" si="10"/>
        <v>1027.0458611223557</v>
      </c>
      <c r="U11" s="137"/>
      <c r="V11" s="70"/>
      <c r="W11" s="70"/>
      <c r="X11" s="70"/>
      <c r="Y11" s="70"/>
      <c r="Z11" s="70"/>
      <c r="AA11" s="70"/>
      <c r="AB11" s="70"/>
      <c r="AC11" s="81"/>
      <c r="AD11" s="81"/>
    </row>
    <row r="12" spans="1:30" s="61" customFormat="1" outlineLevel="1" x14ac:dyDescent="0.3">
      <c r="A12" s="61" t="s">
        <v>663</v>
      </c>
      <c r="B12" s="55" t="str">
        <f t="shared" si="0"/>
        <v>2018-10</v>
      </c>
      <c r="C12" s="121">
        <v>43374</v>
      </c>
      <c r="D12" s="149">
        <v>2.025860071182251</v>
      </c>
      <c r="E12" s="20">
        <f t="shared" si="1"/>
        <v>-1.055249035127992E-3</v>
      </c>
      <c r="F12" s="15">
        <f t="shared" si="2"/>
        <v>-5.7908645169140183E-3</v>
      </c>
      <c r="G12" s="15">
        <f t="shared" si="3"/>
        <v>-5.7908645169140183E-3</v>
      </c>
      <c r="H12" s="13">
        <f>(1+G12)/(1+MAX(G$3:G12))-1</f>
        <v>-1.0361128316053292E-2</v>
      </c>
      <c r="I12" s="149">
        <v>12.92500019073486</v>
      </c>
      <c r="J12" s="20">
        <f t="shared" si="4"/>
        <v>-4.4136124528207699E-2</v>
      </c>
      <c r="K12" s="15">
        <f t="shared" si="5"/>
        <v>7.4334866706994074E-2</v>
      </c>
      <c r="L12" s="15">
        <f t="shared" si="6"/>
        <v>7.4334866706994074E-2</v>
      </c>
      <c r="M12" s="13">
        <f>(1+L12)/(1+MAX(L$3:L12))-1</f>
        <v>-4.4136124528207699E-2</v>
      </c>
      <c r="N12" s="124"/>
      <c r="O12" s="150">
        <v>1</v>
      </c>
      <c r="P12" s="20">
        <f t="shared" si="7"/>
        <v>-4.4136124528207699E-2</v>
      </c>
      <c r="Q12" s="15">
        <f t="shared" si="8"/>
        <v>-1.8283962900320971E-2</v>
      </c>
      <c r="R12" s="15">
        <f t="shared" si="9"/>
        <v>-1.8283962900320971E-2</v>
      </c>
      <c r="S12" s="15">
        <f>(1+R12)/(1+MAX(R$3:R12))-1</f>
        <v>-4.4136124528207699E-2</v>
      </c>
      <c r="T12" s="58">
        <f t="shared" si="10"/>
        <v>981.71603709967917</v>
      </c>
      <c r="U12" s="137"/>
      <c r="V12" s="70"/>
      <c r="W12" s="70"/>
      <c r="X12" s="70"/>
      <c r="Y12" s="70"/>
      <c r="Z12" s="70"/>
      <c r="AA12" s="70"/>
      <c r="AB12" s="70"/>
      <c r="AC12" s="81"/>
      <c r="AD12" s="81"/>
    </row>
    <row r="13" spans="1:30" s="61" customFormat="1" outlineLevel="1" x14ac:dyDescent="0.3">
      <c r="A13" s="61" t="s">
        <v>663</v>
      </c>
      <c r="B13" s="55" t="str">
        <f t="shared" si="0"/>
        <v>2018-11</v>
      </c>
      <c r="C13" s="121">
        <v>43405</v>
      </c>
      <c r="D13" s="149">
        <v>2.0293500423431401</v>
      </c>
      <c r="E13" s="20">
        <f t="shared" si="1"/>
        <v>1.7227108676129976E-3</v>
      </c>
      <c r="F13" s="15">
        <f t="shared" si="2"/>
        <v>-4.078129634537131E-3</v>
      </c>
      <c r="G13" s="15">
        <f t="shared" si="3"/>
        <v>-4.078129634537131E-3</v>
      </c>
      <c r="H13" s="13">
        <f>(1+G13)/(1+MAX(G$3:G13))-1</f>
        <v>-8.6562666767910912E-3</v>
      </c>
      <c r="I13" s="149">
        <v>13.03600025177002</v>
      </c>
      <c r="J13" s="20">
        <f t="shared" si="4"/>
        <v>8.5880123324661994E-3</v>
      </c>
      <c r="K13" s="15">
        <f t="shared" si="5"/>
        <v>8.3561267791472105E-2</v>
      </c>
      <c r="L13" s="15">
        <f t="shared" si="6"/>
        <v>8.3561267791472105E-2</v>
      </c>
      <c r="M13" s="13">
        <f>(1+L13)/(1+MAX(L$3:L13))-1</f>
        <v>-3.5927153777497001E-2</v>
      </c>
      <c r="N13" s="124"/>
      <c r="O13" s="150">
        <v>0</v>
      </c>
      <c r="P13" s="20">
        <f t="shared" si="7"/>
        <v>1.7227108676129976E-3</v>
      </c>
      <c r="Q13" s="15">
        <f t="shared" si="8"/>
        <v>-1.6592750014299384E-2</v>
      </c>
      <c r="R13" s="15">
        <f t="shared" si="9"/>
        <v>-1.6592750014299384E-2</v>
      </c>
      <c r="S13" s="15">
        <f>(1+R13)/(1+MAX(R$3:R13))-1</f>
        <v>-4.2489447441973804E-2</v>
      </c>
      <c r="T13" s="58">
        <f t="shared" si="10"/>
        <v>983.40724998570079</v>
      </c>
      <c r="U13" s="137"/>
      <c r="V13" s="70"/>
      <c r="W13" s="70"/>
      <c r="X13" s="70"/>
      <c r="Y13" s="70"/>
      <c r="Z13" s="70"/>
      <c r="AA13" s="70"/>
      <c r="AB13" s="70"/>
      <c r="AC13" s="81"/>
      <c r="AD13" s="81"/>
    </row>
    <row r="14" spans="1:30" s="27" customFormat="1" ht="15" thickBot="1" x14ac:dyDescent="0.35">
      <c r="A14" s="27" t="s">
        <v>663</v>
      </c>
      <c r="B14" s="63" t="str">
        <f t="shared" si="0"/>
        <v>2018-12</v>
      </c>
      <c r="C14" s="122">
        <v>43435</v>
      </c>
      <c r="D14" s="147">
        <v>2.0347399711608891</v>
      </c>
      <c r="E14" s="32">
        <f t="shared" si="1"/>
        <v>2.6559877326661763E-3</v>
      </c>
      <c r="F14" s="25">
        <f t="shared" si="2"/>
        <v>-1.43297336415249E-3</v>
      </c>
      <c r="G14" s="25">
        <f t="shared" si="3"/>
        <v>-1.43297336415249E-3</v>
      </c>
      <c r="H14" s="26">
        <f>(1+G14)/(1+MAX(G$3:G14))-1</f>
        <v>-6.0232698822291209E-3</v>
      </c>
      <c r="I14" s="147">
        <v>11.760499954223629</v>
      </c>
      <c r="J14" s="32">
        <f t="shared" si="4"/>
        <v>-9.7844451742259198E-2</v>
      </c>
      <c r="K14" s="25">
        <f t="shared" si="5"/>
        <v>-2.2459190384731764E-2</v>
      </c>
      <c r="L14" s="25">
        <f t="shared" si="6"/>
        <v>-2.2459190384731764E-2</v>
      </c>
      <c r="M14" s="26">
        <f>(1+L14)/(1+MAX(L$3:L14))-1</f>
        <v>-0.13025633285573723</v>
      </c>
      <c r="N14" s="125"/>
      <c r="O14" s="151">
        <v>0</v>
      </c>
      <c r="P14" s="32">
        <f t="shared" si="7"/>
        <v>2.6559877326661763E-3</v>
      </c>
      <c r="Q14" s="25">
        <f t="shared" si="8"/>
        <v>-1.3980832422122336E-2</v>
      </c>
      <c r="R14" s="25">
        <f t="shared" si="9"/>
        <v>-1.3980832422122336E-2</v>
      </c>
      <c r="S14" s="25">
        <f>(1+R14)/(1+MAX(R$3:R14))-1</f>
        <v>-3.9946311160481196E-2</v>
      </c>
      <c r="T14" s="66">
        <f t="shared" si="10"/>
        <v>986.01916757787774</v>
      </c>
      <c r="U14" s="138"/>
      <c r="V14" s="139"/>
      <c r="W14" s="139"/>
      <c r="X14" s="139"/>
      <c r="Y14" s="139"/>
      <c r="Z14" s="139"/>
      <c r="AA14" s="139"/>
      <c r="AB14" s="139"/>
      <c r="AC14" s="78"/>
      <c r="AD14" s="78"/>
    </row>
    <row r="15" spans="1:30" s="54" customFormat="1" outlineLevel="1" x14ac:dyDescent="0.3">
      <c r="A15" s="54" t="s">
        <v>663</v>
      </c>
      <c r="B15" s="48" t="str">
        <f t="shared" si="0"/>
        <v>2019-1</v>
      </c>
      <c r="C15" s="120">
        <v>43466</v>
      </c>
      <c r="D15" s="148">
        <v>2.04367995262146</v>
      </c>
      <c r="E15" s="10">
        <f t="shared" si="1"/>
        <v>4.3936726988609287E-3</v>
      </c>
      <c r="F15" s="5">
        <f>+E15</f>
        <v>4.3936726988609287E-3</v>
      </c>
      <c r="G15" s="5">
        <f t="shared" si="3"/>
        <v>2.9544033187600682E-3</v>
      </c>
      <c r="H15" s="3">
        <f>(1+G15)/(1+MAX(G$3:G15))-1</f>
        <v>-1.6560614598076784E-3</v>
      </c>
      <c r="I15" s="148">
        <v>12.711330413818359</v>
      </c>
      <c r="J15" s="10">
        <f t="shared" si="4"/>
        <v>8.0849493073910761E-2</v>
      </c>
      <c r="K15" s="5">
        <f>+J15</f>
        <v>8.0849493073910761E-2</v>
      </c>
      <c r="L15" s="5">
        <f t="shared" si="6"/>
        <v>5.6574488531722977E-2</v>
      </c>
      <c r="M15" s="3">
        <f>(1+L15)/(1+MAX(L$3:L15))-1</f>
        <v>-5.9937998262879377E-2</v>
      </c>
      <c r="N15" s="124"/>
      <c r="O15" s="150">
        <v>0</v>
      </c>
      <c r="P15" s="10">
        <f t="shared" si="7"/>
        <v>4.3936726988609287E-3</v>
      </c>
      <c r="Q15" s="5">
        <f>+P15</f>
        <v>4.3936726988609287E-3</v>
      </c>
      <c r="R15" s="5">
        <f t="shared" si="9"/>
        <v>-9.6485869249818279E-3</v>
      </c>
      <c r="S15" s="5">
        <f>(1+R15)/(1+MAX(R$3:R15))-1</f>
        <v>-3.5728149478386206E-2</v>
      </c>
      <c r="T15" s="51">
        <f t="shared" si="10"/>
        <v>990.35141307501829</v>
      </c>
      <c r="U15" s="137"/>
      <c r="V15" s="70"/>
      <c r="W15" s="70"/>
      <c r="X15" s="70"/>
      <c r="Y15" s="70"/>
      <c r="Z15" s="70"/>
      <c r="AA15" s="70"/>
      <c r="AB15" s="70"/>
      <c r="AC15" s="81"/>
      <c r="AD15" s="81"/>
    </row>
    <row r="16" spans="1:30" s="61" customFormat="1" outlineLevel="1" x14ac:dyDescent="0.3">
      <c r="A16" s="61" t="s">
        <v>663</v>
      </c>
      <c r="B16" s="55" t="str">
        <f t="shared" si="0"/>
        <v>2019-2</v>
      </c>
      <c r="C16" s="121">
        <v>43497</v>
      </c>
      <c r="D16" s="149">
        <v>2.0440599918365479</v>
      </c>
      <c r="E16" s="20">
        <f t="shared" si="1"/>
        <v>1.8595828304746043E-4</v>
      </c>
      <c r="F16" s="15">
        <f t="shared" ref="F16:F26" si="11">+(1+E16)*(1+F15)-1</f>
        <v>4.5804480217397359E-3</v>
      </c>
      <c r="G16" s="15">
        <f t="shared" si="3"/>
        <v>3.1409109975761851E-3</v>
      </c>
      <c r="H16" s="13">
        <f>(1+G16)/(1+MAX(G$3:G16))-1</f>
        <v>-1.4704111351058202E-3</v>
      </c>
      <c r="I16" s="149">
        <v>13.218179702758791</v>
      </c>
      <c r="J16" s="20">
        <f t="shared" si="4"/>
        <v>3.9873819060626481E-2</v>
      </c>
      <c r="K16" s="15">
        <f t="shared" ref="K16:K26" si="12">+(1+J16)*(1+K15)-1</f>
        <v>0.12394709019250971</v>
      </c>
      <c r="L16" s="15">
        <f t="shared" si="6"/>
        <v>9.870414851151077E-2</v>
      </c>
      <c r="M16" s="13">
        <f>(1+L16)/(1+MAX(L$3:L16))-1</f>
        <v>-2.2454136099843147E-2</v>
      </c>
      <c r="N16" s="124"/>
      <c r="O16" s="150">
        <v>1</v>
      </c>
      <c r="P16" s="20">
        <f t="shared" si="7"/>
        <v>3.9873819060626481E-2</v>
      </c>
      <c r="Q16" s="15">
        <f t="shared" ref="Q16:Q26" si="13">+(1+P16)*(1+Q15)-1</f>
        <v>4.4442684269693444E-2</v>
      </c>
      <c r="R16" s="15">
        <f t="shared" si="9"/>
        <v>2.9840506126407096E-2</v>
      </c>
      <c r="S16" s="15">
        <f>(1+R16)/(1+MAX(R$3:R16))-1</f>
        <v>0</v>
      </c>
      <c r="T16" s="58">
        <f t="shared" si="10"/>
        <v>1029.8405061264073</v>
      </c>
      <c r="U16" s="137"/>
      <c r="V16" s="70"/>
      <c r="W16" s="70"/>
      <c r="X16" s="70"/>
      <c r="Y16" s="70"/>
      <c r="Z16" s="70"/>
      <c r="AA16" s="70"/>
      <c r="AB16" s="70"/>
      <c r="AC16" s="81"/>
      <c r="AD16" s="81"/>
    </row>
    <row r="17" spans="1:30" s="61" customFormat="1" outlineLevel="1" x14ac:dyDescent="0.3">
      <c r="A17" s="61" t="s">
        <v>663</v>
      </c>
      <c r="B17" s="55" t="str">
        <f t="shared" si="0"/>
        <v>2019-3</v>
      </c>
      <c r="C17" s="121">
        <v>43525</v>
      </c>
      <c r="D17" s="149">
        <v>2.0543699264526372</v>
      </c>
      <c r="E17" s="20">
        <f t="shared" si="1"/>
        <v>5.0438512848274275E-3</v>
      </c>
      <c r="F17" s="15">
        <f t="shared" si="11"/>
        <v>9.6474024052066731E-3</v>
      </c>
      <c r="G17" s="15">
        <f t="shared" si="3"/>
        <v>8.2006045703741925E-3</v>
      </c>
      <c r="H17" s="13">
        <f>(1+G17)/(1+MAX(G$3:G17))-1</f>
        <v>0</v>
      </c>
      <c r="I17" s="149">
        <v>13.5799503326416</v>
      </c>
      <c r="J17" s="20">
        <f t="shared" si="4"/>
        <v>2.7369171702765094E-2</v>
      </c>
      <c r="K17" s="15">
        <f t="shared" si="12"/>
        <v>0.15470859108881174</v>
      </c>
      <c r="L17" s="15">
        <f t="shared" si="6"/>
        <v>0.12877477100266255</v>
      </c>
      <c r="M17" s="13">
        <f>(1+L17)/(1+MAX(L$3:L17))-1</f>
        <v>0</v>
      </c>
      <c r="N17" s="124"/>
      <c r="O17" s="150">
        <v>1</v>
      </c>
      <c r="P17" s="20">
        <f t="shared" si="7"/>
        <v>2.7369171702765094E-2</v>
      </c>
      <c r="Q17" s="15">
        <f t="shared" si="13"/>
        <v>7.3028215429167487E-2</v>
      </c>
      <c r="R17" s="15">
        <f t="shared" si="9"/>
        <v>5.8026387765043319E-2</v>
      </c>
      <c r="S17" s="15">
        <f>(1+R17)/(1+MAX(R$3:R17))-1</f>
        <v>0</v>
      </c>
      <c r="T17" s="58">
        <f t="shared" si="10"/>
        <v>1058.0263877650434</v>
      </c>
      <c r="U17" s="137"/>
      <c r="V17" s="70"/>
      <c r="W17" s="70"/>
      <c r="X17" s="70"/>
      <c r="Y17" s="70"/>
      <c r="Z17" s="70"/>
      <c r="AA17" s="70"/>
      <c r="AB17" s="70"/>
      <c r="AC17" s="81"/>
      <c r="AD17" s="81"/>
    </row>
    <row r="18" spans="1:30" s="61" customFormat="1" outlineLevel="1" x14ac:dyDescent="0.3">
      <c r="A18" s="61" t="s">
        <v>663</v>
      </c>
      <c r="B18" s="55" t="str">
        <f t="shared" si="0"/>
        <v>2019-4</v>
      </c>
      <c r="C18" s="121">
        <v>43556</v>
      </c>
      <c r="D18" s="149">
        <v>2.0609900951385498</v>
      </c>
      <c r="E18" s="20">
        <f t="shared" si="1"/>
        <v>3.2224813071246583E-3</v>
      </c>
      <c r="F18" s="15">
        <f t="shared" si="11"/>
        <v>1.2900972286244317E-2</v>
      </c>
      <c r="G18" s="15">
        <f t="shared" si="3"/>
        <v>1.1449512172434062E-2</v>
      </c>
      <c r="H18" s="13">
        <f>(1+G18)/(1+MAX(G$3:G18))-1</f>
        <v>0</v>
      </c>
      <c r="I18" s="149">
        <v>14.07089996337891</v>
      </c>
      <c r="J18" s="20">
        <f t="shared" si="4"/>
        <v>3.6152535076452663E-2</v>
      </c>
      <c r="K18" s="15">
        <f t="shared" si="12"/>
        <v>0.19645423393123118</v>
      </c>
      <c r="L18" s="15">
        <f t="shared" si="6"/>
        <v>0.16958284050475103</v>
      </c>
      <c r="M18" s="13">
        <f>(1+L18)/(1+MAX(L$3:L18))-1</f>
        <v>0</v>
      </c>
      <c r="N18" s="124"/>
      <c r="O18" s="150">
        <v>1</v>
      </c>
      <c r="P18" s="20">
        <f t="shared" si="7"/>
        <v>3.6152535076452663E-2</v>
      </c>
      <c r="Q18" s="15">
        <f t="shared" si="13"/>
        <v>0.11182090562549396</v>
      </c>
      <c r="R18" s="15">
        <f t="shared" si="9"/>
        <v>9.6276723860531543E-2</v>
      </c>
      <c r="S18" s="15">
        <f>(1+R18)/(1+MAX(R$3:R18))-1</f>
        <v>0</v>
      </c>
      <c r="T18" s="58">
        <f t="shared" si="10"/>
        <v>1096.2767238605315</v>
      </c>
      <c r="U18" s="137"/>
      <c r="V18" s="70"/>
      <c r="W18" s="70"/>
      <c r="X18" s="70"/>
      <c r="Y18" s="70"/>
      <c r="Z18" s="70"/>
      <c r="AA18" s="70"/>
      <c r="AB18" s="70"/>
      <c r="AC18" s="81"/>
      <c r="AD18" s="81"/>
    </row>
    <row r="19" spans="1:30" s="61" customFormat="1" outlineLevel="1" x14ac:dyDescent="0.3">
      <c r="A19" s="61" t="s">
        <v>663</v>
      </c>
      <c r="B19" s="55" t="str">
        <f t="shared" si="0"/>
        <v>2019-5</v>
      </c>
      <c r="C19" s="121">
        <v>43586</v>
      </c>
      <c r="D19" s="149">
        <v>2.0770800113677979</v>
      </c>
      <c r="E19" s="20">
        <f t="shared" si="1"/>
        <v>7.8068867323530799E-3</v>
      </c>
      <c r="F19" s="15">
        <f t="shared" si="11"/>
        <v>2.0808575447973432E-2</v>
      </c>
      <c r="G19" s="15">
        <f t="shared" si="3"/>
        <v>1.9345783949457962E-2</v>
      </c>
      <c r="H19" s="13">
        <f>(1+G19)/(1+MAX(G$3:G19))-1</f>
        <v>0</v>
      </c>
      <c r="I19" s="149">
        <v>13.36011981964111</v>
      </c>
      <c r="J19" s="20">
        <f t="shared" si="4"/>
        <v>-5.0514192097711241E-2</v>
      </c>
      <c r="K19" s="15">
        <f t="shared" si="12"/>
        <v>0.13601631492230903</v>
      </c>
      <c r="L19" s="15">
        <f t="shared" si="6"/>
        <v>0.11050230822530738</v>
      </c>
      <c r="M19" s="13">
        <f>(1+L19)/(1+MAX(L$3:L19))-1</f>
        <v>-5.051419209771113E-2</v>
      </c>
      <c r="N19" s="124"/>
      <c r="O19" s="150">
        <v>1</v>
      </c>
      <c r="P19" s="20">
        <f t="shared" si="7"/>
        <v>-5.0514192097711241E-2</v>
      </c>
      <c r="Q19" s="15">
        <f t="shared" si="13"/>
        <v>5.5658170820476416E-2</v>
      </c>
      <c r="R19" s="15">
        <f t="shared" si="9"/>
        <v>4.0899190839191135E-2</v>
      </c>
      <c r="S19" s="15">
        <f>(1+R19)/(1+MAX(R$3:R19))-1</f>
        <v>-5.0514192097711241E-2</v>
      </c>
      <c r="T19" s="58">
        <f t="shared" si="10"/>
        <v>1040.8991908391911</v>
      </c>
      <c r="U19" s="137"/>
      <c r="V19" s="70"/>
      <c r="W19" s="70"/>
      <c r="X19" s="70"/>
      <c r="Y19" s="70"/>
      <c r="Z19" s="70"/>
      <c r="AA19" s="70"/>
      <c r="AB19" s="70"/>
      <c r="AC19" s="81"/>
      <c r="AD19" s="81"/>
    </row>
    <row r="20" spans="1:30" s="61" customFormat="1" outlineLevel="1" x14ac:dyDescent="0.3">
      <c r="A20" s="61" t="s">
        <v>663</v>
      </c>
      <c r="B20" s="55" t="str">
        <f t="shared" si="0"/>
        <v>2019-6</v>
      </c>
      <c r="C20" s="121">
        <v>43617</v>
      </c>
      <c r="D20" s="149">
        <v>2.09672999382019</v>
      </c>
      <c r="E20" s="20">
        <f t="shared" si="1"/>
        <v>9.4603878256245277E-3</v>
      </c>
      <c r="F20" s="15">
        <f t="shared" si="11"/>
        <v>3.0465820467434623E-2</v>
      </c>
      <c r="G20" s="15">
        <f t="shared" si="3"/>
        <v>2.8989190394035136E-2</v>
      </c>
      <c r="H20" s="13">
        <f>(1+G20)/(1+MAX(G$3:G20))-1</f>
        <v>0</v>
      </c>
      <c r="I20" s="149">
        <v>13.90832042694092</v>
      </c>
      <c r="J20" s="20">
        <f t="shared" si="4"/>
        <v>4.1032611585854584E-2</v>
      </c>
      <c r="K20" s="15">
        <f t="shared" si="12"/>
        <v>0.18263003112771004</v>
      </c>
      <c r="L20" s="15">
        <f t="shared" si="6"/>
        <v>0.15606911810391133</v>
      </c>
      <c r="M20" s="13">
        <f>(1+L20)/(1+MAX(L$3:L20))-1</f>
        <v>-1.1554309735775203E-2</v>
      </c>
      <c r="N20" s="124"/>
      <c r="O20" s="150">
        <v>0</v>
      </c>
      <c r="P20" s="20">
        <f t="shared" si="7"/>
        <v>9.4603878256245277E-3</v>
      </c>
      <c r="Q20" s="15">
        <f t="shared" si="13"/>
        <v>6.5645106527727481E-2</v>
      </c>
      <c r="R20" s="15">
        <f t="shared" si="9"/>
        <v>5.0746500871908573E-2</v>
      </c>
      <c r="S20" s="15">
        <f>(1+R20)/(1+MAX(R$3:R20))-1</f>
        <v>-4.1531688120029164E-2</v>
      </c>
      <c r="T20" s="58">
        <f t="shared" si="10"/>
        <v>1050.7465008719087</v>
      </c>
      <c r="U20" s="137"/>
      <c r="V20" s="70"/>
      <c r="W20" s="70"/>
      <c r="X20" s="70"/>
      <c r="Y20" s="70"/>
      <c r="Z20" s="70"/>
      <c r="AA20" s="70"/>
      <c r="AB20" s="70"/>
      <c r="AC20" s="81"/>
      <c r="AD20" s="81"/>
    </row>
    <row r="21" spans="1:30" s="61" customFormat="1" outlineLevel="1" x14ac:dyDescent="0.3">
      <c r="A21" s="61" t="s">
        <v>663</v>
      </c>
      <c r="B21" s="55" t="str">
        <f t="shared" si="0"/>
        <v>2019-7</v>
      </c>
      <c r="C21" s="121">
        <v>43647</v>
      </c>
      <c r="D21" s="149">
        <v>2.1078000068664551</v>
      </c>
      <c r="E21" s="20">
        <f t="shared" si="1"/>
        <v>5.2796559780670105E-3</v>
      </c>
      <c r="F21" s="15">
        <f t="shared" si="11"/>
        <v>3.5906325496659175E-2</v>
      </c>
      <c r="G21" s="15">
        <f t="shared" si="3"/>
        <v>3.4421899324465377E-2</v>
      </c>
      <c r="H21" s="13">
        <f>(1+G21)/(1+MAX(G$3:G21))-1</f>
        <v>0</v>
      </c>
      <c r="I21" s="149">
        <v>14.643039703369141</v>
      </c>
      <c r="J21" s="20">
        <f t="shared" si="4"/>
        <v>5.2825880758760935E-2</v>
      </c>
      <c r="K21" s="15">
        <f t="shared" si="12"/>
        <v>0.24510350413379212</v>
      </c>
      <c r="L21" s="15">
        <f t="shared" si="6"/>
        <v>0.2171394874857544</v>
      </c>
      <c r="M21" s="13">
        <f>(1+L21)/(1+MAX(L$3:L21))-1</f>
        <v>0</v>
      </c>
      <c r="N21" s="124"/>
      <c r="O21" s="150">
        <v>1</v>
      </c>
      <c r="P21" s="20">
        <f t="shared" si="7"/>
        <v>5.2825880758760935E-2</v>
      </c>
      <c r="Q21" s="15">
        <f t="shared" si="13"/>
        <v>0.12193874785631831</v>
      </c>
      <c r="R21" s="15">
        <f t="shared" si="9"/>
        <v>0.10625311023465334</v>
      </c>
      <c r="S21" s="15">
        <f>(1+R21)/(1+MAX(R$3:R21))-1</f>
        <v>0</v>
      </c>
      <c r="T21" s="58">
        <f t="shared" si="10"/>
        <v>1106.2531102346534</v>
      </c>
      <c r="U21" s="137"/>
      <c r="V21" s="70"/>
      <c r="W21" s="70"/>
      <c r="X21" s="70"/>
      <c r="Y21" s="70"/>
      <c r="Z21" s="70"/>
      <c r="AA21" s="70"/>
      <c r="AB21" s="70"/>
      <c r="AC21" s="81"/>
      <c r="AD21" s="81"/>
    </row>
    <row r="22" spans="1:30" s="61" customFormat="1" outlineLevel="1" x14ac:dyDescent="0.3">
      <c r="A22" s="61" t="s">
        <v>663</v>
      </c>
      <c r="B22" s="55" t="str">
        <f t="shared" si="0"/>
        <v>2019-8</v>
      </c>
      <c r="C22" s="121">
        <v>43678</v>
      </c>
      <c r="D22" s="149">
        <v>2.119669914245605</v>
      </c>
      <c r="E22" s="20">
        <f t="shared" si="1"/>
        <v>5.6314201254776819E-3</v>
      </c>
      <c r="F22" s="15">
        <f t="shared" si="11"/>
        <v>4.1739949226170747E-2</v>
      </c>
      <c r="G22" s="15">
        <f t="shared" si="3"/>
        <v>4.0247163626556004E-2</v>
      </c>
      <c r="H22" s="13">
        <f>(1+G22)/(1+MAX(G$3:G22))-1</f>
        <v>0</v>
      </c>
      <c r="I22" s="149">
        <v>14.330929756164551</v>
      </c>
      <c r="J22" s="20">
        <f t="shared" si="4"/>
        <v>-2.1314559922471443E-2</v>
      </c>
      <c r="K22" s="15">
        <f t="shared" si="12"/>
        <v>0.21856467088525333</v>
      </c>
      <c r="L22" s="15">
        <f t="shared" si="6"/>
        <v>0.1911966949457331</v>
      </c>
      <c r="M22" s="13">
        <f>(1+L22)/(1+MAX(L$3:L22))-1</f>
        <v>-2.1314559922471443E-2</v>
      </c>
      <c r="N22" s="124"/>
      <c r="O22" s="150">
        <v>1</v>
      </c>
      <c r="P22" s="20">
        <f t="shared" si="7"/>
        <v>-2.1314559922471443E-2</v>
      </c>
      <c r="Q22" s="15">
        <f t="shared" si="13"/>
        <v>9.802511718579221E-2</v>
      </c>
      <c r="R22" s="15">
        <f t="shared" si="9"/>
        <v>8.2673812027136417E-2</v>
      </c>
      <c r="S22" s="15">
        <f>(1+R22)/(1+MAX(R$3:R22))-1</f>
        <v>-2.1314559922471443E-2</v>
      </c>
      <c r="T22" s="58">
        <f t="shared" si="10"/>
        <v>1082.6738120271364</v>
      </c>
      <c r="U22" s="137"/>
      <c r="V22" s="70"/>
      <c r="W22" s="70"/>
      <c r="X22" s="70"/>
      <c r="Y22" s="70"/>
      <c r="Z22" s="70"/>
      <c r="AA22" s="70"/>
      <c r="AB22" s="70"/>
      <c r="AC22" s="81"/>
      <c r="AD22" s="81"/>
    </row>
    <row r="23" spans="1:30" s="61" customFormat="1" outlineLevel="1" x14ac:dyDescent="0.3">
      <c r="A23" s="61" t="s">
        <v>663</v>
      </c>
      <c r="B23" s="55" t="str">
        <f t="shared" si="0"/>
        <v>2019-9</v>
      </c>
      <c r="C23" s="121">
        <v>43709</v>
      </c>
      <c r="D23" s="149">
        <v>2.112430095672607</v>
      </c>
      <c r="E23" s="20">
        <f t="shared" si="1"/>
        <v>-3.415540563340369E-3</v>
      </c>
      <c r="F23" s="15">
        <f t="shared" si="11"/>
        <v>3.8181844173136525E-2</v>
      </c>
      <c r="G23" s="15">
        <f t="shared" si="3"/>
        <v>3.6694157243289727E-2</v>
      </c>
      <c r="H23" s="13">
        <f>(1+G23)/(1+MAX(G$3:G23))-1</f>
        <v>-3.415540563340369E-3</v>
      </c>
      <c r="I23" s="149">
        <v>14.717490196228029</v>
      </c>
      <c r="J23" s="20">
        <f t="shared" si="4"/>
        <v>2.6973856312232369E-2</v>
      </c>
      <c r="K23" s="15">
        <f t="shared" si="12"/>
        <v>0.25143405922487494</v>
      </c>
      <c r="L23" s="15">
        <f t="shared" si="6"/>
        <v>0.22332786343480548</v>
      </c>
      <c r="M23" s="13">
        <f>(1+L23)/(1+MAX(L$3:L23))-1</f>
        <v>0</v>
      </c>
      <c r="N23" s="124"/>
      <c r="O23" s="150">
        <v>1</v>
      </c>
      <c r="P23" s="20">
        <f t="shared" si="7"/>
        <v>2.6973856312232369E-2</v>
      </c>
      <c r="Q23" s="15">
        <f t="shared" si="13"/>
        <v>0.12764308892398391</v>
      </c>
      <c r="R23" s="15">
        <f t="shared" si="9"/>
        <v>0.11187769986577334</v>
      </c>
      <c r="S23" s="15">
        <f>(1+R23)/(1+MAX(R$3:R23))-1</f>
        <v>0</v>
      </c>
      <c r="T23" s="58">
        <f t="shared" si="10"/>
        <v>1111.8776998657731</v>
      </c>
      <c r="U23" s="137"/>
      <c r="V23" s="70"/>
      <c r="W23" s="70"/>
      <c r="X23" s="70"/>
      <c r="Y23" s="70"/>
      <c r="Z23" s="70"/>
      <c r="AA23" s="70"/>
      <c r="AB23" s="70"/>
      <c r="AC23" s="81"/>
      <c r="AD23" s="81"/>
    </row>
    <row r="24" spans="1:30" s="61" customFormat="1" outlineLevel="1" x14ac:dyDescent="0.3">
      <c r="A24" s="61" t="s">
        <v>663</v>
      </c>
      <c r="B24" s="55" t="str">
        <f t="shared" si="0"/>
        <v>2019-10</v>
      </c>
      <c r="C24" s="121">
        <v>43739</v>
      </c>
      <c r="D24" s="149">
        <v>2.102180004119873</v>
      </c>
      <c r="E24" s="20">
        <f t="shared" si="1"/>
        <v>-4.8522749101764795E-3</v>
      </c>
      <c r="F24" s="15">
        <f t="shared" si="11"/>
        <v>3.3144300458454401E-2</v>
      </c>
      <c r="G24" s="15">
        <f t="shared" si="3"/>
        <v>3.1663832194571473E-2</v>
      </c>
      <c r="H24" s="13">
        <f>(1+G24)/(1+MAX(G$3:G24))-1</f>
        <v>-8.2512423317367967E-3</v>
      </c>
      <c r="I24" s="149">
        <v>14.63033962249756</v>
      </c>
      <c r="J24" s="20">
        <f t="shared" si="4"/>
        <v>-5.92156492503082E-3</v>
      </c>
      <c r="K24" s="15">
        <f t="shared" si="12"/>
        <v>0.24402361119377991</v>
      </c>
      <c r="L24" s="15">
        <f t="shared" si="6"/>
        <v>0.21608384806687697</v>
      </c>
      <c r="M24" s="13">
        <f>(1+L24)/(1+MAX(L$3:L24))-1</f>
        <v>-5.921564925030931E-3</v>
      </c>
      <c r="N24" s="124"/>
      <c r="O24" s="150">
        <v>1</v>
      </c>
      <c r="P24" s="20">
        <f t="shared" si="7"/>
        <v>-5.92156492503082E-3</v>
      </c>
      <c r="Q24" s="15">
        <f t="shared" si="13"/>
        <v>0.1209656771606582</v>
      </c>
      <c r="R24" s="15">
        <f t="shared" si="9"/>
        <v>0.10529364387732421</v>
      </c>
      <c r="S24" s="15">
        <f>(1+R24)/(1+MAX(R$3:R24))-1</f>
        <v>-5.92156492503082E-3</v>
      </c>
      <c r="T24" s="58">
        <f t="shared" si="10"/>
        <v>1105.293643877324</v>
      </c>
      <c r="U24" s="137"/>
      <c r="V24" s="70"/>
      <c r="W24" s="70"/>
      <c r="X24" s="70"/>
      <c r="Y24" s="70"/>
      <c r="Z24" s="70"/>
      <c r="AA24" s="70"/>
      <c r="AB24" s="70"/>
      <c r="AC24" s="81"/>
      <c r="AD24" s="81"/>
    </row>
    <row r="25" spans="1:30" s="61" customFormat="1" outlineLevel="1" x14ac:dyDescent="0.3">
      <c r="A25" s="61" t="s">
        <v>663</v>
      </c>
      <c r="B25" s="55" t="str">
        <f t="shared" si="0"/>
        <v>2019-11</v>
      </c>
      <c r="C25" s="121">
        <v>43770</v>
      </c>
      <c r="D25" s="149">
        <v>2.085920095443726</v>
      </c>
      <c r="E25" s="20">
        <f t="shared" si="1"/>
        <v>-7.7347841974905185E-3</v>
      </c>
      <c r="F25" s="15">
        <f t="shared" si="11"/>
        <v>2.5153152249540955E-2</v>
      </c>
      <c r="G25" s="15">
        <f t="shared" si="3"/>
        <v>2.368413508819045E-2</v>
      </c>
      <c r="H25" s="13">
        <f>(1+G25)/(1+MAX(G$3:G25))-1</f>
        <v>-1.5922204950430063E-2</v>
      </c>
      <c r="I25" s="149">
        <v>15.371049880981451</v>
      </c>
      <c r="J25" s="20">
        <f t="shared" si="4"/>
        <v>5.0628370741638618E-2</v>
      </c>
      <c r="K25" s="15">
        <f t="shared" si="12"/>
        <v>0.30700649979265071</v>
      </c>
      <c r="L25" s="15">
        <f t="shared" si="6"/>
        <v>0.27765219197972524</v>
      </c>
      <c r="M25" s="13">
        <f>(1+L25)/(1+MAX(L$3:L25))-1</f>
        <v>0</v>
      </c>
      <c r="N25" s="124"/>
      <c r="O25" s="150">
        <v>1</v>
      </c>
      <c r="P25" s="20">
        <f t="shared" si="7"/>
        <v>5.0628370741638618E-2</v>
      </c>
      <c r="Q25" s="15">
        <f t="shared" si="13"/>
        <v>0.17771834305259993</v>
      </c>
      <c r="R25" s="15">
        <f t="shared" si="9"/>
        <v>0.16125286025792196</v>
      </c>
      <c r="S25" s="15">
        <f>(1+R25)/(1+MAX(R$3:R25))-1</f>
        <v>0</v>
      </c>
      <c r="T25" s="58">
        <f t="shared" si="10"/>
        <v>1161.2528602579218</v>
      </c>
      <c r="U25" s="137"/>
      <c r="V25" s="70"/>
      <c r="W25" s="70"/>
      <c r="X25" s="70"/>
      <c r="Y25" s="70"/>
      <c r="Z25" s="70"/>
      <c r="AA25" s="70"/>
      <c r="AB25" s="70"/>
      <c r="AC25" s="81"/>
      <c r="AD25" s="81"/>
    </row>
    <row r="26" spans="1:30" s="27" customFormat="1" ht="15" thickBot="1" x14ac:dyDescent="0.35">
      <c r="A26" s="27" t="s">
        <v>663</v>
      </c>
      <c r="B26" s="63" t="str">
        <f t="shared" si="0"/>
        <v>2019-12</v>
      </c>
      <c r="C26" s="122">
        <v>43800</v>
      </c>
      <c r="D26" s="147">
        <v>2.0814299583435059</v>
      </c>
      <c r="E26" s="32">
        <f t="shared" si="1"/>
        <v>-2.1525930499581847E-3</v>
      </c>
      <c r="F26" s="25">
        <f t="shared" si="11"/>
        <v>2.2946414698865825E-2</v>
      </c>
      <c r="G26" s="25">
        <f t="shared" si="3"/>
        <v>2.1480559733647153E-2</v>
      </c>
      <c r="H26" s="26">
        <f>(1+G26)/(1+MAX(G$3:G26))-1</f>
        <v>-1.8040523972671862E-2</v>
      </c>
      <c r="I26" s="147">
        <v>15.491350173950201</v>
      </c>
      <c r="J26" s="32">
        <f t="shared" si="4"/>
        <v>7.826420049394045E-3</v>
      </c>
      <c r="K26" s="25">
        <f t="shared" si="12"/>
        <v>0.3172356816673163</v>
      </c>
      <c r="L26" s="25">
        <f t="shared" si="6"/>
        <v>0.28765163471118771</v>
      </c>
      <c r="M26" s="26">
        <f>(1+L26)/(1+MAX(L$3:L26))-1</f>
        <v>0</v>
      </c>
      <c r="N26" s="125"/>
      <c r="O26" s="151">
        <v>1</v>
      </c>
      <c r="P26" s="32">
        <f t="shared" si="7"/>
        <v>7.826420049394045E-3</v>
      </c>
      <c r="Q26" s="25">
        <f t="shared" si="13"/>
        <v>0.18693566150520602</v>
      </c>
      <c r="R26" s="25">
        <f t="shared" si="9"/>
        <v>0.17034131292586063</v>
      </c>
      <c r="S26" s="25">
        <f>(1+R26)/(1+MAX(R$3:R26))-1</f>
        <v>0</v>
      </c>
      <c r="T26" s="66">
        <f t="shared" si="10"/>
        <v>1170.3413129258606</v>
      </c>
      <c r="U26" s="138"/>
      <c r="V26" s="139"/>
      <c r="W26" s="139"/>
      <c r="X26" s="139"/>
      <c r="Y26" s="139"/>
      <c r="Z26" s="139"/>
      <c r="AA26" s="139"/>
      <c r="AB26" s="139"/>
      <c r="AC26" s="78"/>
      <c r="AD26" s="78"/>
    </row>
    <row r="27" spans="1:30" s="54" customFormat="1" outlineLevel="1" x14ac:dyDescent="0.3">
      <c r="A27" s="54" t="s">
        <v>664</v>
      </c>
      <c r="B27" s="48" t="str">
        <f t="shared" si="0"/>
        <v>2020-1</v>
      </c>
      <c r="C27" s="120">
        <v>43831</v>
      </c>
      <c r="D27" s="148">
        <v>2.0999000072479248</v>
      </c>
      <c r="E27" s="10">
        <f t="shared" si="1"/>
        <v>8.8737306919124403E-3</v>
      </c>
      <c r="F27" s="5">
        <f>+E27</f>
        <v>8.8737306919124403E-3</v>
      </c>
      <c r="G27" s="5">
        <f t="shared" si="3"/>
        <v>3.0544903127747602E-2</v>
      </c>
      <c r="H27" s="3">
        <f>(1+G27)/(1+MAX(G$3:G27))-1</f>
        <v>-9.3268800320338574E-3</v>
      </c>
      <c r="I27" s="148">
        <v>15.72157001495361</v>
      </c>
      <c r="J27" s="10">
        <f t="shared" si="4"/>
        <v>1.4861186301923457E-2</v>
      </c>
      <c r="K27" s="5">
        <f>+J27</f>
        <v>1.4861186301923457E-2</v>
      </c>
      <c r="L27" s="5">
        <f t="shared" si="6"/>
        <v>0.30678766554660686</v>
      </c>
      <c r="M27" s="3">
        <f>(1+L27)/(1+MAX(L$3:L27))-1</f>
        <v>0</v>
      </c>
      <c r="N27" s="124"/>
      <c r="O27" s="150">
        <v>1</v>
      </c>
      <c r="P27" s="10">
        <f t="shared" si="7"/>
        <v>1.4861186301923457E-2</v>
      </c>
      <c r="Q27" s="5">
        <f>+P27</f>
        <v>1.4861186301923457E-2</v>
      </c>
      <c r="R27" s="5">
        <f t="shared" si="9"/>
        <v>0.18773397321408947</v>
      </c>
      <c r="S27" s="5">
        <f>(1+R27)/(1+MAX(R$3:R27))-1</f>
        <v>0</v>
      </c>
      <c r="T27" s="51">
        <f t="shared" si="10"/>
        <v>1187.7339732140895</v>
      </c>
      <c r="U27" s="137"/>
      <c r="V27" s="70"/>
      <c r="W27" s="70"/>
      <c r="X27" s="70"/>
      <c r="Y27" s="70"/>
      <c r="Z27" s="70"/>
      <c r="AA27" s="70"/>
      <c r="AB27" s="70"/>
      <c r="AC27" s="81"/>
      <c r="AD27" s="81"/>
    </row>
    <row r="28" spans="1:30" s="61" customFormat="1" outlineLevel="1" x14ac:dyDescent="0.3">
      <c r="A28" s="61" t="s">
        <v>664</v>
      </c>
      <c r="B28" s="55" t="str">
        <f t="shared" si="0"/>
        <v>2020-2</v>
      </c>
      <c r="C28" s="121">
        <v>43862</v>
      </c>
      <c r="D28" s="149">
        <v>2.0951499938964839</v>
      </c>
      <c r="E28" s="20">
        <f t="shared" si="1"/>
        <v>-2.2620188271088582E-3</v>
      </c>
      <c r="F28" s="15">
        <f t="shared" ref="F28:F38" si="14">+(1+E28)*(1+F27)-1</f>
        <v>6.5916393189118239E-3</v>
      </c>
      <c r="G28" s="15">
        <f t="shared" si="3"/>
        <v>2.8213791154691581E-2</v>
      </c>
      <c r="H28" s="13">
        <f>(1+G28)/(1+MAX(G$3:G28))-1</f>
        <v>-1.156780128091206E-2</v>
      </c>
      <c r="I28" s="149">
        <v>14.25387001037598</v>
      </c>
      <c r="J28" s="20">
        <f t="shared" si="4"/>
        <v>-9.3355816447188378E-2</v>
      </c>
      <c r="K28" s="15">
        <f t="shared" ref="K28:K38" si="15">+(1+J28)*(1+K27)-1</f>
        <v>-7.9882008325854792E-2</v>
      </c>
      <c r="L28" s="15">
        <f t="shared" si="6"/>
        <v>0.18479143610638804</v>
      </c>
      <c r="M28" s="13">
        <f>(1+L28)/(1+MAX(L$3:L28))-1</f>
        <v>-9.3355816447188378E-2</v>
      </c>
      <c r="N28" s="124"/>
      <c r="O28" s="150">
        <v>1</v>
      </c>
      <c r="P28" s="20">
        <f t="shared" si="7"/>
        <v>-9.3355816447188378E-2</v>
      </c>
      <c r="Q28" s="15">
        <f t="shared" ref="Q28:Q38" si="16">+(1+P28)*(1+Q27)-1</f>
        <v>-7.9882008325854792E-2</v>
      </c>
      <c r="R28" s="15">
        <f t="shared" si="9"/>
        <v>7.6852098422625081E-2</v>
      </c>
      <c r="S28" s="15">
        <f>(1+R28)/(1+MAX(R$3:R28))-1</f>
        <v>-9.3355816447188489E-2</v>
      </c>
      <c r="T28" s="58">
        <f t="shared" si="10"/>
        <v>1076.8520984226252</v>
      </c>
      <c r="U28" s="137"/>
      <c r="V28" s="70"/>
      <c r="W28" s="70"/>
      <c r="X28" s="70"/>
      <c r="Y28" s="70"/>
      <c r="Z28" s="70"/>
      <c r="AA28" s="70"/>
      <c r="AB28" s="70"/>
      <c r="AC28" s="81"/>
      <c r="AD28" s="81"/>
    </row>
    <row r="29" spans="1:30" s="61" customFormat="1" outlineLevel="1" x14ac:dyDescent="0.3">
      <c r="A29" s="61" t="s">
        <v>664</v>
      </c>
      <c r="B29" s="55" t="str">
        <f t="shared" si="0"/>
        <v>2020-3</v>
      </c>
      <c r="C29" s="121">
        <v>43891</v>
      </c>
      <c r="D29" s="149">
        <v>2.059999942779541</v>
      </c>
      <c r="E29" s="20">
        <f t="shared" si="1"/>
        <v>-1.6776866200196028E-2</v>
      </c>
      <c r="F29" s="15">
        <f t="shared" si="14"/>
        <v>-1.0295813932177489E-2</v>
      </c>
      <c r="G29" s="15">
        <f t="shared" si="3"/>
        <v>1.0963585955293009E-2</v>
      </c>
      <c r="H29" s="13">
        <f>(1+G29)/(1+MAX(G$3:G29))-1</f>
        <v>-2.8150596026787822E-2</v>
      </c>
      <c r="I29" s="149">
        <v>12.900070190429689</v>
      </c>
      <c r="J29" s="20">
        <f t="shared" si="4"/>
        <v>-9.4977702123058783E-2</v>
      </c>
      <c r="K29" s="15">
        <f t="shared" si="15"/>
        <v>-0.16727270085714885</v>
      </c>
      <c r="L29" s="15">
        <f t="shared" si="6"/>
        <v>7.2262668009924536E-2</v>
      </c>
      <c r="M29" s="13">
        <f>(1+L29)/(1+MAX(L$3:L29))-1</f>
        <v>-0.17946679764427109</v>
      </c>
      <c r="N29" s="124"/>
      <c r="O29" s="150">
        <v>0</v>
      </c>
      <c r="P29" s="20">
        <f t="shared" si="7"/>
        <v>-1.6776866200196028E-2</v>
      </c>
      <c r="Q29" s="15">
        <f t="shared" si="16"/>
        <v>-9.5318704760565032E-2</v>
      </c>
      <c r="R29" s="15">
        <f t="shared" si="9"/>
        <v>5.8785894849988418E-2</v>
      </c>
      <c r="S29" s="15">
        <f>(1+R29)/(1+MAX(R$3:R29))-1</f>
        <v>-0.10856646460583985</v>
      </c>
      <c r="T29" s="58">
        <f t="shared" si="10"/>
        <v>1058.7858948499886</v>
      </c>
      <c r="U29" s="137"/>
      <c r="V29" s="70"/>
      <c r="W29" s="70"/>
      <c r="X29" s="70"/>
      <c r="Y29" s="70"/>
      <c r="Z29" s="70"/>
      <c r="AA29" s="70"/>
      <c r="AB29" s="70"/>
      <c r="AC29" s="81"/>
      <c r="AD29" s="81"/>
    </row>
    <row r="30" spans="1:30" s="61" customFormat="1" outlineLevel="1" x14ac:dyDescent="0.3">
      <c r="A30" s="61" t="s">
        <v>664</v>
      </c>
      <c r="B30" s="55" t="str">
        <f t="shared" si="0"/>
        <v>2020-4</v>
      </c>
      <c r="C30" s="121">
        <v>43922</v>
      </c>
      <c r="D30" s="149">
        <v>2.0617399215698242</v>
      </c>
      <c r="E30" s="20">
        <f t="shared" si="1"/>
        <v>8.4464992165744768E-4</v>
      </c>
      <c r="F30" s="15">
        <f t="shared" si="14"/>
        <v>-9.4598603689513006E-3</v>
      </c>
      <c r="G30" s="15">
        <f t="shared" si="3"/>
        <v>1.1817496268968775E-2</v>
      </c>
      <c r="H30" s="13">
        <f>(1+G30)/(1+MAX(G$3:G30))-1</f>
        <v>-2.7329723503858872E-2</v>
      </c>
      <c r="I30" s="149">
        <v>14.287599563598629</v>
      </c>
      <c r="J30" s="20">
        <f t="shared" si="4"/>
        <v>0.10755983127892743</v>
      </c>
      <c r="K30" s="15">
        <f t="shared" si="15"/>
        <v>-7.770469305998684E-2</v>
      </c>
      <c r="L30" s="15">
        <f t="shared" si="6"/>
        <v>0.18759505966776469</v>
      </c>
      <c r="M30" s="13">
        <f>(1+L30)/(1+MAX(L$3:L30))-1</f>
        <v>-9.1210384840130776E-2</v>
      </c>
      <c r="N30" s="124"/>
      <c r="O30" s="150">
        <v>0</v>
      </c>
      <c r="P30" s="20">
        <f t="shared" si="7"/>
        <v>8.4464992165744768E-4</v>
      </c>
      <c r="Q30" s="15">
        <f t="shared" si="16"/>
        <v>-9.45545657754161E-2</v>
      </c>
      <c r="R30" s="15">
        <f t="shared" si="9"/>
        <v>5.9680198273125429E-2</v>
      </c>
      <c r="S30" s="15">
        <f>(1+R30)/(1+MAX(R$3:R30))-1</f>
        <v>-0.10781351534000649</v>
      </c>
      <c r="T30" s="58">
        <f t="shared" si="10"/>
        <v>1059.6801982731256</v>
      </c>
      <c r="U30" s="137"/>
      <c r="V30" s="70"/>
      <c r="W30" s="70"/>
      <c r="X30" s="70"/>
      <c r="Y30" s="70"/>
      <c r="Z30" s="70"/>
      <c r="AA30" s="70"/>
      <c r="AB30" s="70"/>
      <c r="AC30" s="81"/>
      <c r="AD30" s="81"/>
    </row>
    <row r="31" spans="1:30" s="61" customFormat="1" outlineLevel="1" x14ac:dyDescent="0.3">
      <c r="A31" s="61" t="s">
        <v>664</v>
      </c>
      <c r="B31" s="55" t="str">
        <f t="shared" si="0"/>
        <v>2020-5</v>
      </c>
      <c r="C31" s="121">
        <v>43952</v>
      </c>
      <c r="D31" s="149">
        <v>2.0804300308227539</v>
      </c>
      <c r="E31" s="20">
        <f t="shared" si="1"/>
        <v>9.0652118908862711E-3</v>
      </c>
      <c r="F31" s="15">
        <f t="shared" si="14"/>
        <v>-4.8040411676775197E-4</v>
      </c>
      <c r="G31" s="15">
        <f t="shared" si="3"/>
        <v>2.0989836267552908E-2</v>
      </c>
      <c r="H31" s="13">
        <f>(1+G31)/(1+MAX(G$3:G31))-1</f>
        <v>-1.8512261347454539E-2</v>
      </c>
      <c r="I31" s="149">
        <v>14.573530197143549</v>
      </c>
      <c r="J31" s="20">
        <f t="shared" si="4"/>
        <v>2.0012503309051466E-2</v>
      </c>
      <c r="K31" s="15">
        <f t="shared" si="15"/>
        <v>-5.9247255177927172E-2</v>
      </c>
      <c r="L31" s="15">
        <f t="shared" si="6"/>
        <v>0.21136180972917895</v>
      </c>
      <c r="M31" s="13">
        <f>(1+L31)/(1+MAX(L$3:L31))-1</f>
        <v>-7.3023229659512356E-2</v>
      </c>
      <c r="N31" s="124"/>
      <c r="O31" s="150">
        <v>0</v>
      </c>
      <c r="P31" s="20">
        <f t="shared" si="7"/>
        <v>9.0652118908862711E-3</v>
      </c>
      <c r="Q31" s="15">
        <f t="shared" si="16"/>
        <v>-8.6346511058534747E-2</v>
      </c>
      <c r="R31" s="15">
        <f t="shared" si="9"/>
        <v>6.9286423807047637E-2</v>
      </c>
      <c r="S31" s="15">
        <f>(1+R31)/(1+MAX(R$3:R31))-1</f>
        <v>-9.9725655810378733E-2</v>
      </c>
      <c r="T31" s="58">
        <f t="shared" si="10"/>
        <v>1069.2864238070479</v>
      </c>
      <c r="U31" s="137"/>
      <c r="V31" s="70"/>
      <c r="W31" s="70"/>
      <c r="X31" s="70"/>
      <c r="Y31" s="70"/>
      <c r="Z31" s="70"/>
      <c r="AA31" s="70"/>
      <c r="AB31" s="70"/>
      <c r="AC31" s="81"/>
      <c r="AD31" s="81"/>
    </row>
    <row r="32" spans="1:30" s="61" customFormat="1" outlineLevel="1" x14ac:dyDescent="0.3">
      <c r="A32" s="61" t="s">
        <v>664</v>
      </c>
      <c r="B32" s="55" t="str">
        <f t="shared" si="0"/>
        <v>2020-6</v>
      </c>
      <c r="C32" s="121">
        <v>43983</v>
      </c>
      <c r="D32" s="149">
        <v>2.087709903717041</v>
      </c>
      <c r="E32" s="20">
        <f t="shared" si="1"/>
        <v>3.4992154441302326E-3</v>
      </c>
      <c r="F32" s="15">
        <f t="shared" si="14"/>
        <v>3.0171302898576169E-3</v>
      </c>
      <c r="G32" s="15">
        <f t="shared" si="3"/>
        <v>2.456249967092039E-2</v>
      </c>
      <c r="H32" s="13">
        <f>(1+G32)/(1+MAX(G$3:G32))-1</f>
        <v>-1.5077824294137065E-2</v>
      </c>
      <c r="I32" s="149">
        <v>14.68696975708008</v>
      </c>
      <c r="J32" s="20">
        <f t="shared" si="4"/>
        <v>7.7839451664747372E-3</v>
      </c>
      <c r="K32" s="15">
        <f t="shared" si="15"/>
        <v>-5.1924487397021601E-2</v>
      </c>
      <c r="L32" s="15">
        <f t="shared" si="6"/>
        <v>0.22079098363287253</v>
      </c>
      <c r="M32" s="13">
        <f>(1+L32)/(1+MAX(L$3:L32))-1</f>
        <v>-6.5807693308586157E-2</v>
      </c>
      <c r="N32" s="124"/>
      <c r="O32" s="150">
        <v>1</v>
      </c>
      <c r="P32" s="20">
        <f t="shared" si="7"/>
        <v>7.7839451664747372E-3</v>
      </c>
      <c r="Q32" s="15">
        <f t="shared" si="16"/>
        <v>-7.923468239945608E-2</v>
      </c>
      <c r="R32" s="15">
        <f t="shared" si="9"/>
        <v>7.7609690697217459E-2</v>
      </c>
      <c r="S32" s="15">
        <f>(1+R32)/(1+MAX(R$3:R32))-1</f>
        <v>-9.2717969680422785E-2</v>
      </c>
      <c r="T32" s="58">
        <f t="shared" si="10"/>
        <v>1077.6096906972177</v>
      </c>
      <c r="U32" s="137"/>
      <c r="V32" s="70"/>
      <c r="W32" s="70"/>
      <c r="X32" s="70"/>
      <c r="Y32" s="70"/>
      <c r="Z32" s="70"/>
      <c r="AA32" s="70"/>
      <c r="AB32" s="70"/>
      <c r="AC32" s="81"/>
      <c r="AD32" s="81"/>
    </row>
    <row r="33" spans="1:30" s="61" customFormat="1" outlineLevel="1" x14ac:dyDescent="0.3">
      <c r="A33" s="61" t="s">
        <v>664</v>
      </c>
      <c r="B33" s="55" t="str">
        <f t="shared" si="0"/>
        <v>2020-7</v>
      </c>
      <c r="C33" s="121">
        <v>44013</v>
      </c>
      <c r="D33" s="149">
        <v>2.096460103988647</v>
      </c>
      <c r="E33" s="20">
        <f t="shared" si="1"/>
        <v>4.1912912593971008E-3</v>
      </c>
      <c r="F33" s="15">
        <f t="shared" si="14"/>
        <v>7.221067221067079E-3</v>
      </c>
      <c r="G33" s="15">
        <f t="shared" si="3"/>
        <v>2.8856739520497054E-2</v>
      </c>
      <c r="H33" s="13">
        <f>(1+G33)/(1+MAX(G$3:G33))-1</f>
        <v>-1.0949728587914764E-2</v>
      </c>
      <c r="I33" s="149">
        <v>14.737709999084471</v>
      </c>
      <c r="J33" s="20">
        <f t="shared" si="4"/>
        <v>3.4547794979922219E-3</v>
      </c>
      <c r="K33" s="15">
        <f t="shared" si="15"/>
        <v>-4.8649095553532362E-2</v>
      </c>
      <c r="L33" s="15">
        <f t="shared" si="6"/>
        <v>0.22500854729446118</v>
      </c>
      <c r="M33" s="13">
        <f>(1+L33)/(1+MAX(L$3:L33))-1</f>
        <v>-6.2580264880246483E-2</v>
      </c>
      <c r="N33" s="124"/>
      <c r="O33" s="150">
        <v>1</v>
      </c>
      <c r="P33" s="20">
        <f t="shared" si="7"/>
        <v>3.4547794979922219E-3</v>
      </c>
      <c r="Q33" s="15">
        <f t="shared" si="16"/>
        <v>-7.6053641257747384E-2</v>
      </c>
      <c r="R33" s="15">
        <f t="shared" si="9"/>
        <v>8.1332594563475968E-2</v>
      </c>
      <c r="S33" s="15">
        <f>(1+R33)/(1+MAX(R$3:R33))-1</f>
        <v>-8.9583510323177906E-2</v>
      </c>
      <c r="T33" s="58">
        <f t="shared" si="10"/>
        <v>1081.3325945634763</v>
      </c>
      <c r="U33" s="137"/>
      <c r="V33" s="70"/>
      <c r="W33" s="70"/>
      <c r="X33" s="70"/>
      <c r="Y33" s="70"/>
      <c r="Z33" s="70"/>
      <c r="AA33" s="70"/>
      <c r="AB33" s="70"/>
      <c r="AC33" s="81"/>
      <c r="AD33" s="81"/>
    </row>
    <row r="34" spans="1:30" s="61" customFormat="1" outlineLevel="1" x14ac:dyDescent="0.3">
      <c r="A34" s="61" t="s">
        <v>664</v>
      </c>
      <c r="B34" s="55" t="str">
        <f t="shared" si="0"/>
        <v>2020-8</v>
      </c>
      <c r="C34" s="121">
        <v>44044</v>
      </c>
      <c r="D34" s="149">
        <v>2.0907399654388432</v>
      </c>
      <c r="E34" s="20">
        <f t="shared" si="1"/>
        <v>-2.7284747937348364E-3</v>
      </c>
      <c r="F34" s="15">
        <f t="shared" si="14"/>
        <v>4.4728899274357747E-3</v>
      </c>
      <c r="G34" s="15">
        <f t="shared" si="3"/>
        <v>2.6049529840351138E-2</v>
      </c>
      <c r="H34" s="13">
        <f>(1+G34)/(1+MAX(G$3:G34))-1</f>
        <v>-1.3648327323199316E-2</v>
      </c>
      <c r="I34" s="149">
        <v>15.61168956756592</v>
      </c>
      <c r="J34" s="20">
        <f t="shared" si="4"/>
        <v>5.9302263956594548E-2</v>
      </c>
      <c r="K34" s="15">
        <f t="shared" si="15"/>
        <v>7.7681668972970908E-3</v>
      </c>
      <c r="L34" s="15">
        <f t="shared" si="6"/>
        <v>0.29765432751520171</v>
      </c>
      <c r="M34" s="13">
        <f>(1+L34)/(1+MAX(L$3:L34))-1</f>
        <v>-6.9891523100540365E-3</v>
      </c>
      <c r="N34" s="124"/>
      <c r="O34" s="150">
        <v>1</v>
      </c>
      <c r="P34" s="20">
        <f t="shared" si="7"/>
        <v>5.9302263956594548E-2</v>
      </c>
      <c r="Q34" s="15">
        <f t="shared" si="16"/>
        <v>-2.1261530409879881E-2</v>
      </c>
      <c r="R34" s="15">
        <f t="shared" si="9"/>
        <v>0.14545806551114837</v>
      </c>
      <c r="S34" s="15">
        <f>(1+R34)/(1+MAX(R$3:R34))-1</f>
        <v>-3.5593751341926883E-2</v>
      </c>
      <c r="T34" s="58">
        <f t="shared" si="10"/>
        <v>1145.4580655111488</v>
      </c>
      <c r="U34" s="137"/>
      <c r="V34" s="70"/>
      <c r="W34" s="70"/>
      <c r="X34" s="70"/>
      <c r="Y34" s="70"/>
      <c r="Z34" s="70"/>
      <c r="AA34" s="70"/>
      <c r="AB34" s="70"/>
      <c r="AC34" s="81"/>
      <c r="AD34" s="81"/>
    </row>
    <row r="35" spans="1:30" s="61" customFormat="1" outlineLevel="1" x14ac:dyDescent="0.3">
      <c r="A35" s="61" t="s">
        <v>664</v>
      </c>
      <c r="B35" s="55" t="str">
        <f t="shared" si="0"/>
        <v>2020-9</v>
      </c>
      <c r="C35" s="121">
        <v>44075</v>
      </c>
      <c r="D35" s="149">
        <v>2.100389957427979</v>
      </c>
      <c r="E35" s="20">
        <f t="shared" si="1"/>
        <v>4.6155868968191793E-3</v>
      </c>
      <c r="F35" s="15">
        <f t="shared" si="14"/>
        <v>9.1091218363950066E-3</v>
      </c>
      <c r="G35" s="15">
        <f t="shared" si="3"/>
        <v>3.0785350605769812E-2</v>
      </c>
      <c r="H35" s="13">
        <f>(1+G35)/(1+MAX(G$3:G35))-1</f>
        <v>-9.0957354671364898E-3</v>
      </c>
      <c r="I35" s="149">
        <v>15.38222026824951</v>
      </c>
      <c r="J35" s="20">
        <f t="shared" si="4"/>
        <v>-1.4698556381312122E-2</v>
      </c>
      <c r="K35" s="15">
        <f t="shared" si="15"/>
        <v>-7.0445703231344359E-3</v>
      </c>
      <c r="L35" s="15">
        <f t="shared" si="6"/>
        <v>0.27858068221876575</v>
      </c>
      <c r="M35" s="13">
        <f>(1+L35)/(1+MAX(L$3:L35))-1</f>
        <v>-2.1584978242079278E-2</v>
      </c>
      <c r="N35" s="124"/>
      <c r="O35" s="150">
        <v>1</v>
      </c>
      <c r="P35" s="20">
        <f t="shared" si="7"/>
        <v>-1.4698556381312122E-2</v>
      </c>
      <c r="Q35" s="15">
        <f t="shared" si="16"/>
        <v>-3.5647572987709375E-2</v>
      </c>
      <c r="R35" s="15">
        <f t="shared" si="9"/>
        <v>0.12862148555280406</v>
      </c>
      <c r="S35" s="15">
        <f>(1+R35)/(1+MAX(R$3:R35))-1</f>
        <v>-4.9769130962317276E-2</v>
      </c>
      <c r="T35" s="58">
        <f t="shared" si="10"/>
        <v>1128.6214855528044</v>
      </c>
      <c r="U35" s="137"/>
      <c r="V35" s="70"/>
      <c r="W35" s="70"/>
      <c r="X35" s="70"/>
      <c r="Y35" s="70"/>
      <c r="Z35" s="70"/>
      <c r="AA35" s="70"/>
      <c r="AB35" s="70"/>
      <c r="AC35" s="81"/>
      <c r="AD35" s="81"/>
    </row>
    <row r="36" spans="1:30" s="61" customFormat="1" outlineLevel="1" x14ac:dyDescent="0.3">
      <c r="A36" s="61" t="s">
        <v>664</v>
      </c>
      <c r="B36" s="55" t="str">
        <f t="shared" si="0"/>
        <v>2020-10</v>
      </c>
      <c r="C36" s="121">
        <v>44105</v>
      </c>
      <c r="D36" s="149">
        <v>2.1092300415039058</v>
      </c>
      <c r="E36" s="20">
        <f t="shared" si="1"/>
        <v>4.2087823000029889E-3</v>
      </c>
      <c r="F36" s="15">
        <f t="shared" si="14"/>
        <v>1.3356242447151612E-2</v>
      </c>
      <c r="G36" s="15">
        <f t="shared" si="3"/>
        <v>3.5123701744501856E-2</v>
      </c>
      <c r="H36" s="13">
        <f>(1+G36)/(1+MAX(G$3:G36))-1</f>
        <v>-4.9252351375730363E-3</v>
      </c>
      <c r="I36" s="149">
        <v>14.983799934387211</v>
      </c>
      <c r="J36" s="20">
        <f t="shared" si="4"/>
        <v>-2.5901354090259621E-2</v>
      </c>
      <c r="K36" s="15">
        <f t="shared" si="15"/>
        <v>-3.2763460503040798E-2</v>
      </c>
      <c r="L36" s="15">
        <f t="shared" si="6"/>
        <v>0.24546371123565169</v>
      </c>
      <c r="M36" s="13">
        <f>(1+L36)/(1+MAX(L$3:L36))-1</f>
        <v>-4.6927252167860312E-2</v>
      </c>
      <c r="N36" s="124"/>
      <c r="O36" s="150">
        <v>1</v>
      </c>
      <c r="P36" s="20">
        <f t="shared" si="7"/>
        <v>-2.5901354090259621E-2</v>
      </c>
      <c r="Q36" s="15">
        <f t="shared" si="16"/>
        <v>-6.0625606667556009E-2</v>
      </c>
      <c r="R36" s="15">
        <f t="shared" si="9"/>
        <v>9.9388660821626118E-2</v>
      </c>
      <c r="S36" s="15">
        <f>(1+R36)/(1+MAX(R$3:R36))-1</f>
        <v>-7.4381397168757357E-2</v>
      </c>
      <c r="T36" s="58">
        <f t="shared" si="10"/>
        <v>1099.3886608216264</v>
      </c>
      <c r="U36" s="137"/>
      <c r="V36" s="70"/>
      <c r="W36" s="70"/>
      <c r="X36" s="70"/>
      <c r="Y36" s="70"/>
      <c r="Z36" s="70"/>
      <c r="AA36" s="70"/>
      <c r="AB36" s="70"/>
      <c r="AC36" s="81"/>
      <c r="AD36" s="81"/>
    </row>
    <row r="37" spans="1:30" s="61" customFormat="1" outlineLevel="1" x14ac:dyDescent="0.3">
      <c r="A37" s="61" t="s">
        <v>664</v>
      </c>
      <c r="B37" s="55" t="str">
        <f t="shared" si="0"/>
        <v>2020-11</v>
      </c>
      <c r="C37" s="121">
        <v>44136</v>
      </c>
      <c r="D37" s="149">
        <v>2.112590074539185</v>
      </c>
      <c r="E37" s="20">
        <f t="shared" si="1"/>
        <v>1.5930140236781742E-3</v>
      </c>
      <c r="F37" s="15">
        <f t="shared" si="14"/>
        <v>1.497053315235175E-2</v>
      </c>
      <c r="G37" s="15">
        <f t="shared" si="3"/>
        <v>3.6772668317622603E-2</v>
      </c>
      <c r="H37" s="13">
        <f>(1+G37)/(1+MAX(G$3:G37))-1</f>
        <v>-3.3400670825387557E-3</v>
      </c>
      <c r="I37" s="149">
        <v>16.08922004699707</v>
      </c>
      <c r="J37" s="20">
        <f t="shared" si="4"/>
        <v>7.3774350795552612E-2</v>
      </c>
      <c r="K37" s="15">
        <f t="shared" si="15"/>
        <v>3.8593787264084245E-2</v>
      </c>
      <c r="L37" s="15">
        <f t="shared" si="6"/>
        <v>0.33734698797148144</v>
      </c>
      <c r="M37" s="13">
        <f>(1+L37)/(1+MAX(L$3:L37))-1</f>
        <v>0</v>
      </c>
      <c r="N37" s="124"/>
      <c r="O37" s="150">
        <v>1</v>
      </c>
      <c r="P37" s="20">
        <f t="shared" si="7"/>
        <v>7.3774350795552612E-2</v>
      </c>
      <c r="Q37" s="15">
        <f t="shared" si="16"/>
        <v>8.6761293545112306E-3</v>
      </c>
      <c r="R37" s="15">
        <f t="shared" si="9"/>
        <v>0.18049534554573365</v>
      </c>
      <c r="S37" s="15">
        <f>(1+R37)/(1+MAX(R$3:R37))-1</f>
        <v>-6.0944856605958941E-3</v>
      </c>
      <c r="T37" s="58">
        <f t="shared" si="10"/>
        <v>1180.4953455457339</v>
      </c>
      <c r="U37" s="137"/>
      <c r="V37" s="70"/>
      <c r="W37" s="70"/>
      <c r="X37" s="70"/>
      <c r="Y37" s="70"/>
      <c r="Z37" s="70"/>
      <c r="AA37" s="70"/>
      <c r="AB37" s="70"/>
      <c r="AC37" s="81"/>
      <c r="AD37" s="81"/>
    </row>
    <row r="38" spans="1:30" s="27" customFormat="1" ht="15" thickBot="1" x14ac:dyDescent="0.35">
      <c r="A38" s="27" t="s">
        <v>664</v>
      </c>
      <c r="B38" s="63" t="str">
        <f t="shared" si="0"/>
        <v>2020-12</v>
      </c>
      <c r="C38" s="122">
        <v>44166</v>
      </c>
      <c r="D38" s="147">
        <v>2.112859964370728</v>
      </c>
      <c r="E38" s="32">
        <f t="shared" si="1"/>
        <v>1.2775305289736139E-4</v>
      </c>
      <c r="F38" s="25">
        <f t="shared" si="14"/>
        <v>1.5100198736562875E-2</v>
      </c>
      <c r="G38" s="25">
        <f t="shared" si="3"/>
        <v>3.6905119191160685E-2</v>
      </c>
      <c r="H38" s="26">
        <f>(1+G38)/(1+MAX(G$3:G38))-1</f>
        <v>-3.2127407334081592E-3</v>
      </c>
      <c r="I38" s="147">
        <v>16.190460205078121</v>
      </c>
      <c r="J38" s="32">
        <f t="shared" si="4"/>
        <v>6.2924217448283581E-3</v>
      </c>
      <c r="K38" s="25">
        <f t="shared" si="15"/>
        <v>4.5129057395108418E-2</v>
      </c>
      <c r="L38" s="25">
        <f t="shared" si="6"/>
        <v>0.34576213923897381</v>
      </c>
      <c r="M38" s="26">
        <f>(1+L38)/(1+MAX(L$3:L38))-1</f>
        <v>0</v>
      </c>
      <c r="N38" s="125"/>
      <c r="O38" s="151">
        <v>1</v>
      </c>
      <c r="P38" s="32">
        <f t="shared" si="7"/>
        <v>6.2924217448283581E-3</v>
      </c>
      <c r="Q38" s="25">
        <f t="shared" si="16"/>
        <v>1.5023144964350754E-2</v>
      </c>
      <c r="R38" s="25">
        <f t="shared" si="9"/>
        <v>0.18792352012771429</v>
      </c>
      <c r="S38" s="25">
        <f>(1+R38)/(1+MAX(R$3:R38))-1</f>
        <v>0</v>
      </c>
      <c r="T38" s="66">
        <f t="shared" si="10"/>
        <v>1187.9235201277145</v>
      </c>
      <c r="U38" s="138"/>
      <c r="V38" s="139"/>
      <c r="W38" s="139"/>
      <c r="X38" s="139"/>
      <c r="Y38" s="139"/>
      <c r="Z38" s="139"/>
      <c r="AA38" s="139"/>
      <c r="AB38" s="139"/>
      <c r="AC38" s="78"/>
      <c r="AD38" s="78"/>
    </row>
    <row r="39" spans="1:30" s="54" customFormat="1" outlineLevel="1" x14ac:dyDescent="0.3">
      <c r="A39" s="54" t="s">
        <v>664</v>
      </c>
      <c r="B39" s="48" t="str">
        <f t="shared" si="0"/>
        <v>2021-1</v>
      </c>
      <c r="C39" s="120">
        <v>44197</v>
      </c>
      <c r="D39" s="148">
        <v>2.106009960174561</v>
      </c>
      <c r="E39" s="10">
        <f t="shared" si="1"/>
        <v>-3.2420530994381469E-3</v>
      </c>
      <c r="F39" s="5">
        <f>+E39</f>
        <v>-3.2420530994381469E-3</v>
      </c>
      <c r="G39" s="5">
        <f t="shared" si="3"/>
        <v>3.3543417735663716E-2</v>
      </c>
      <c r="H39" s="3">
        <f>(1+G39)/(1+MAX(G$3:G39))-1</f>
        <v>-6.4443779567938675E-3</v>
      </c>
      <c r="I39" s="148">
        <v>16.3732795715332</v>
      </c>
      <c r="J39" s="10">
        <f t="shared" si="4"/>
        <v>1.1291795547462957E-2</v>
      </c>
      <c r="K39" s="5">
        <f>+J39</f>
        <v>1.1291795547462957E-2</v>
      </c>
      <c r="L39" s="5">
        <f t="shared" si="6"/>
        <v>0.36095821017077667</v>
      </c>
      <c r="M39" s="3">
        <f>(1+L39)/(1+MAX(L$3:L39))-1</f>
        <v>0</v>
      </c>
      <c r="N39" s="124"/>
      <c r="O39" s="150">
        <v>1</v>
      </c>
      <c r="P39" s="10">
        <f t="shared" si="7"/>
        <v>1.1291795547462957E-2</v>
      </c>
      <c r="Q39" s="5">
        <f>+P39</f>
        <v>1.1291795547462957E-2</v>
      </c>
      <c r="R39" s="5">
        <f t="shared" si="9"/>
        <v>0.20133730964301888</v>
      </c>
      <c r="S39" s="5">
        <f>(1+R39)/(1+MAX(R$3:R39))-1</f>
        <v>0</v>
      </c>
      <c r="T39" s="51">
        <f t="shared" si="10"/>
        <v>1201.3373096430191</v>
      </c>
      <c r="U39" s="137"/>
      <c r="V39" s="70"/>
      <c r="W39" s="70"/>
      <c r="X39" s="70"/>
      <c r="Y39" s="70"/>
      <c r="Z39" s="70"/>
      <c r="AA39" s="70"/>
      <c r="AB39" s="70"/>
      <c r="AC39" s="81"/>
      <c r="AD39" s="81"/>
    </row>
    <row r="40" spans="1:30" s="61" customFormat="1" outlineLevel="1" x14ac:dyDescent="0.3">
      <c r="A40" s="61" t="s">
        <v>664</v>
      </c>
      <c r="B40" s="55" t="str">
        <f t="shared" si="0"/>
        <v>2021-2</v>
      </c>
      <c r="C40" s="121">
        <v>44228</v>
      </c>
      <c r="D40" s="149">
        <v>2.08368992805481</v>
      </c>
      <c r="E40" s="20">
        <f t="shared" si="1"/>
        <v>-1.0598255726150918E-2</v>
      </c>
      <c r="F40" s="15">
        <f t="shared" ref="F40:F98" si="17">+(1+E40)*(1+F39)-1</f>
        <v>-1.3805948717763417E-2</v>
      </c>
      <c r="G40" s="15">
        <f t="shared" si="3"/>
        <v>2.2589660290421198E-2</v>
      </c>
      <c r="H40" s="13">
        <f>(1+G40)/(1+MAX(G$3:G40))-1</f>
        <v>-1.6974334517362633E-2</v>
      </c>
      <c r="I40" s="149">
        <v>16.88666915893555</v>
      </c>
      <c r="J40" s="20">
        <f t="shared" si="4"/>
        <v>3.135533019877923E-2</v>
      </c>
      <c r="K40" s="15">
        <f t="shared" ref="K40:K98" si="18">+(1+J40)*(1+K39)-1</f>
        <v>4.3001183724169945E-2</v>
      </c>
      <c r="L40" s="15">
        <f t="shared" si="6"/>
        <v>0.403631504237421</v>
      </c>
      <c r="M40" s="13">
        <f>(1+L40)/(1+MAX(L$3:L40))-1</f>
        <v>0</v>
      </c>
      <c r="N40" s="124"/>
      <c r="O40" s="150">
        <v>1</v>
      </c>
      <c r="P40" s="20">
        <f t="shared" si="7"/>
        <v>3.135533019877923E-2</v>
      </c>
      <c r="Q40" s="15">
        <f t="shared" ref="Q40:Q98" si="19">+(1+P40)*(1+Q39)-1</f>
        <v>4.3001183724169945E-2</v>
      </c>
      <c r="R40" s="15">
        <f t="shared" si="9"/>
        <v>0.2390056376669889</v>
      </c>
      <c r="S40" s="15">
        <f>(1+R40)/(1+MAX(R$3:R40))-1</f>
        <v>0</v>
      </c>
      <c r="T40" s="58">
        <f t="shared" si="10"/>
        <v>1239.0056376669891</v>
      </c>
      <c r="U40" s="137"/>
      <c r="V40" s="70"/>
      <c r="W40" s="70"/>
      <c r="X40" s="70"/>
      <c r="Y40" s="70"/>
      <c r="Z40" s="70"/>
      <c r="AA40" s="70"/>
      <c r="AB40" s="70"/>
      <c r="AC40" s="81"/>
      <c r="AD40" s="81"/>
    </row>
    <row r="41" spans="1:30" s="61" customFormat="1" outlineLevel="1" x14ac:dyDescent="0.3">
      <c r="A41" s="61" t="s">
        <v>664</v>
      </c>
      <c r="B41" s="55" t="str">
        <f t="shared" si="0"/>
        <v>2021-3</v>
      </c>
      <c r="C41" s="121">
        <v>44256</v>
      </c>
      <c r="D41" s="149">
        <v>2.090110063552856</v>
      </c>
      <c r="E41" s="20">
        <f t="shared" si="1"/>
        <v>3.0811376546986402E-3</v>
      </c>
      <c r="F41" s="15">
        <f t="shared" si="17"/>
        <v>-1.0767349091517886E-2</v>
      </c>
      <c r="G41" s="15">
        <f t="shared" si="3"/>
        <v>2.5740399798047431E-2</v>
      </c>
      <c r="H41" s="13">
        <f>(1+G41)/(1+MAX(G$3:G41))-1</f>
        <v>-1.3945497123908912E-2</v>
      </c>
      <c r="I41" s="149">
        <v>18.020420074462891</v>
      </c>
      <c r="J41" s="20">
        <f t="shared" si="4"/>
        <v>6.7138812566089667E-2</v>
      </c>
      <c r="K41" s="15">
        <f t="shared" si="18"/>
        <v>0.11302704470443659</v>
      </c>
      <c r="L41" s="15">
        <f t="shared" si="6"/>
        <v>0.49786965671227579</v>
      </c>
      <c r="M41" s="13">
        <f>(1+L41)/(1+MAX(L$3:L41))-1</f>
        <v>0</v>
      </c>
      <c r="N41" s="124"/>
      <c r="O41" s="150">
        <v>1</v>
      </c>
      <c r="P41" s="20">
        <f t="shared" si="7"/>
        <v>6.7138812566089667E-2</v>
      </c>
      <c r="Q41" s="15">
        <f t="shared" si="19"/>
        <v>0.11302704470443659</v>
      </c>
      <c r="R41" s="15">
        <f t="shared" si="9"/>
        <v>0.3221910049426413</v>
      </c>
      <c r="S41" s="15">
        <f>(1+R41)/(1+MAX(R$3:R41))-1</f>
        <v>0</v>
      </c>
      <c r="T41" s="58">
        <f t="shared" si="10"/>
        <v>1322.1910049426415</v>
      </c>
      <c r="U41" s="137"/>
      <c r="V41" s="70"/>
      <c r="W41" s="70"/>
      <c r="X41" s="70"/>
      <c r="Y41" s="70"/>
      <c r="Z41" s="70"/>
      <c r="AA41" s="70"/>
      <c r="AB41" s="70"/>
      <c r="AC41" s="81"/>
      <c r="AD41" s="81"/>
    </row>
    <row r="42" spans="1:30" s="61" customFormat="1" outlineLevel="1" x14ac:dyDescent="0.3">
      <c r="A42" s="61" t="s">
        <v>664</v>
      </c>
      <c r="B42" s="55" t="str">
        <f t="shared" si="0"/>
        <v>2021-4</v>
      </c>
      <c r="C42" s="121">
        <v>44287</v>
      </c>
      <c r="D42" s="149">
        <v>2.0783801078796391</v>
      </c>
      <c r="E42" s="20">
        <f t="shared" si="1"/>
        <v>-5.6121234368289308E-3</v>
      </c>
      <c r="F42" s="15">
        <f t="shared" si="17"/>
        <v>-1.6319044836157759E-2</v>
      </c>
      <c r="G42" s="15">
        <f t="shared" si="3"/>
        <v>1.9983818060238523E-2</v>
      </c>
      <c r="H42" s="13">
        <f>(1+G42)/(1+MAX(G$3:G42))-1</f>
        <v>-1.9479356709490525E-2</v>
      </c>
      <c r="I42" s="149">
        <v>18.473249435424801</v>
      </c>
      <c r="J42" s="20">
        <f t="shared" si="4"/>
        <v>2.5128679525269426E-2</v>
      </c>
      <c r="K42" s="15">
        <f t="shared" si="18"/>
        <v>0.14099594461377207</v>
      </c>
      <c r="L42" s="15">
        <f t="shared" si="6"/>
        <v>0.53550914328642385</v>
      </c>
      <c r="M42" s="13">
        <f>(1+L42)/(1+MAX(L$3:L42))-1</f>
        <v>0</v>
      </c>
      <c r="N42" s="124"/>
      <c r="O42" s="150">
        <v>1</v>
      </c>
      <c r="P42" s="20">
        <f t="shared" si="7"/>
        <v>2.5128679525269426E-2</v>
      </c>
      <c r="Q42" s="15">
        <f t="shared" si="19"/>
        <v>0.14099594461377207</v>
      </c>
      <c r="R42" s="15">
        <f t="shared" si="9"/>
        <v>0.35541591897703895</v>
      </c>
      <c r="S42" s="15">
        <f>(1+R42)/(1+MAX(R$3:R42))-1</f>
        <v>0</v>
      </c>
      <c r="T42" s="58">
        <f t="shared" si="10"/>
        <v>1355.4159189770392</v>
      </c>
      <c r="U42" s="137"/>
      <c r="V42" s="70"/>
      <c r="W42" s="70"/>
      <c r="X42" s="70"/>
      <c r="Y42" s="70"/>
      <c r="Z42" s="70"/>
      <c r="AA42" s="70"/>
      <c r="AB42" s="70"/>
      <c r="AC42" s="81"/>
      <c r="AD42" s="81"/>
    </row>
    <row r="43" spans="1:30" s="61" customFormat="1" outlineLevel="1" x14ac:dyDescent="0.3">
      <c r="A43" s="61" t="s">
        <v>664</v>
      </c>
      <c r="B43" s="55" t="str">
        <f t="shared" ref="B43:B96" si="20">YEAR(C43)&amp;"-"&amp;MONTH(C43)</f>
        <v>2021-5</v>
      </c>
      <c r="C43" s="121">
        <v>44317</v>
      </c>
      <c r="D43" s="149">
        <v>2.0781600475311279</v>
      </c>
      <c r="E43" s="20">
        <f t="shared" si="1"/>
        <v>-1.0588070376393866E-4</v>
      </c>
      <c r="F43" s="15">
        <f t="shared" si="17"/>
        <v>-1.6423197667969736E-2</v>
      </c>
      <c r="G43" s="15">
        <f t="shared" si="3"/>
        <v>1.9875821455754394E-2</v>
      </c>
      <c r="H43" s="13">
        <f>(1+G43)/(1+MAX(G$3:G43))-1</f>
        <v>-1.9583174925257296E-2</v>
      </c>
      <c r="I43" s="149">
        <v>18.284379959106449</v>
      </c>
      <c r="J43" s="20">
        <f t="shared" si="4"/>
        <v>-1.0223944465134083E-2</v>
      </c>
      <c r="K43" s="15">
        <f t="shared" si="18"/>
        <v>0.12933046544109761</v>
      </c>
      <c r="L43" s="15">
        <f t="shared" si="6"/>
        <v>0.5198101830797579</v>
      </c>
      <c r="M43" s="13">
        <f>(1+L43)/(1+MAX(L$3:L43))-1</f>
        <v>-1.0223944465134083E-2</v>
      </c>
      <c r="N43" s="124"/>
      <c r="O43" s="150">
        <v>1</v>
      </c>
      <c r="P43" s="20">
        <f t="shared" si="7"/>
        <v>-1.0223944465134083E-2</v>
      </c>
      <c r="Q43" s="15">
        <f t="shared" si="19"/>
        <v>0.12933046544109761</v>
      </c>
      <c r="R43" s="15">
        <f t="shared" si="9"/>
        <v>0.341558221894259</v>
      </c>
      <c r="S43" s="15">
        <f>(1+R43)/(1+MAX(R$3:R43))-1</f>
        <v>-1.0223944465134083E-2</v>
      </c>
      <c r="T43" s="58">
        <f t="shared" si="10"/>
        <v>1341.5582218942593</v>
      </c>
      <c r="U43" s="137"/>
      <c r="V43" s="70"/>
      <c r="W43" s="70"/>
      <c r="X43" s="70"/>
      <c r="Y43" s="70"/>
      <c r="Z43" s="70"/>
      <c r="AA43" s="70"/>
      <c r="AB43" s="70"/>
      <c r="AC43" s="81"/>
      <c r="AD43" s="81"/>
    </row>
    <row r="44" spans="1:30" s="61" customFormat="1" outlineLevel="1" x14ac:dyDescent="0.3">
      <c r="A44" s="61" t="s">
        <v>664</v>
      </c>
      <c r="B44" s="55" t="str">
        <f t="shared" si="20"/>
        <v>2021-6</v>
      </c>
      <c r="C44" s="121">
        <v>44348</v>
      </c>
      <c r="D44" s="149">
        <v>2.080070018768311</v>
      </c>
      <c r="E44" s="20">
        <f t="shared" si="1"/>
        <v>9.1906840353894736E-4</v>
      </c>
      <c r="F44" s="15">
        <f t="shared" si="17"/>
        <v>-1.5519223306492469E-2</v>
      </c>
      <c r="G44" s="15">
        <f t="shared" ref="G44:G98" si="21">+(1+E44)*(1+G43)-1</f>
        <v>2.0813157098787727E-2</v>
      </c>
      <c r="H44" s="13">
        <f>(1+G44)/(1+MAX(G$3:G44))-1</f>
        <v>-1.8682104799033095E-2</v>
      </c>
      <c r="I44" s="149">
        <v>19.217660903930661</v>
      </c>
      <c r="J44" s="20">
        <f t="shared" si="4"/>
        <v>5.1042526293564316E-2</v>
      </c>
      <c r="K44" s="15">
        <f t="shared" si="18"/>
        <v>0.18697434541749813</v>
      </c>
      <c r="L44" s="15">
        <f t="shared" ref="L44:L98" si="22">+(1+J44)*(1+L43)-1</f>
        <v>0.59738513431083318</v>
      </c>
      <c r="M44" s="13">
        <f>(1+L44)/(1+MAX(L$3:L44))-1</f>
        <v>0</v>
      </c>
      <c r="N44" s="124"/>
      <c r="O44" s="150">
        <v>1</v>
      </c>
      <c r="P44" s="20">
        <f t="shared" si="7"/>
        <v>5.1042526293564316E-2</v>
      </c>
      <c r="Q44" s="15">
        <f t="shared" si="19"/>
        <v>0.18697434541749813</v>
      </c>
      <c r="R44" s="15">
        <f t="shared" ref="R44:R98" si="23">+(1+P44)*(1+R43)-1</f>
        <v>0.41003474270964402</v>
      </c>
      <c r="S44" s="15">
        <f>(1+R44)/(1+MAX(R$3:R44))-1</f>
        <v>0</v>
      </c>
      <c r="T44" s="58">
        <f t="shared" si="10"/>
        <v>1410.0347427096444</v>
      </c>
      <c r="U44" s="137"/>
      <c r="V44" s="70"/>
      <c r="W44" s="70"/>
      <c r="X44" s="70"/>
      <c r="Y44" s="70"/>
      <c r="Z44" s="70"/>
      <c r="AA44" s="70"/>
      <c r="AB44" s="70"/>
      <c r="AC44" s="81"/>
      <c r="AD44" s="81"/>
    </row>
    <row r="45" spans="1:30" s="61" customFormat="1" outlineLevel="1" x14ac:dyDescent="0.3">
      <c r="A45" s="61" t="s">
        <v>664</v>
      </c>
      <c r="B45" s="55" t="str">
        <f t="shared" si="20"/>
        <v>2021-7</v>
      </c>
      <c r="C45" s="121">
        <v>44378</v>
      </c>
      <c r="D45" s="149">
        <v>2.0935299396514888</v>
      </c>
      <c r="E45" s="20">
        <f t="shared" si="1"/>
        <v>6.4708979802265976E-3</v>
      </c>
      <c r="F45" s="15">
        <f t="shared" si="17"/>
        <v>-9.1487486370145366E-3</v>
      </c>
      <c r="G45" s="15">
        <f t="shared" si="21"/>
        <v>2.7418734895247043E-2</v>
      </c>
      <c r="H45" s="13">
        <f>(1+G45)/(1+MAX(G$3:G45))-1</f>
        <v>-1.2332096813016946E-2</v>
      </c>
      <c r="I45" s="149">
        <v>19.650320053100589</v>
      </c>
      <c r="J45" s="20">
        <f t="shared" si="4"/>
        <v>2.2513621784295168E-2</v>
      </c>
      <c r="K45" s="15">
        <f t="shared" si="18"/>
        <v>0.213697436897889</v>
      </c>
      <c r="L45" s="15">
        <f t="shared" si="22"/>
        <v>0.63334805906856273</v>
      </c>
      <c r="M45" s="13">
        <f>(1+L45)/(1+MAX(L$3:L45))-1</f>
        <v>0</v>
      </c>
      <c r="N45" s="124"/>
      <c r="O45" s="150">
        <v>1</v>
      </c>
      <c r="P45" s="20">
        <f t="shared" si="7"/>
        <v>2.2513621784295168E-2</v>
      </c>
      <c r="Q45" s="15">
        <f t="shared" si="19"/>
        <v>0.213697436897889</v>
      </c>
      <c r="R45" s="15">
        <f t="shared" si="23"/>
        <v>0.44177973160972495</v>
      </c>
      <c r="S45" s="15">
        <f>(1+R45)/(1+MAX(R$3:R45))-1</f>
        <v>0</v>
      </c>
      <c r="T45" s="58">
        <f t="shared" ref="T45:T98" si="24">T44*(1+P45)</f>
        <v>1441.7797316097253</v>
      </c>
      <c r="U45" s="137"/>
      <c r="V45" s="70"/>
      <c r="W45" s="70"/>
      <c r="X45" s="70"/>
      <c r="Y45" s="70"/>
      <c r="Z45" s="70"/>
      <c r="AA45" s="70"/>
      <c r="AB45" s="70"/>
      <c r="AC45" s="81"/>
      <c r="AD45" s="81"/>
    </row>
    <row r="46" spans="1:30" s="61" customFormat="1" outlineLevel="1" x14ac:dyDescent="0.3">
      <c r="A46" s="61" t="s">
        <v>664</v>
      </c>
      <c r="B46" s="55" t="str">
        <f t="shared" si="20"/>
        <v>2021-8</v>
      </c>
      <c r="C46" s="121">
        <v>44409</v>
      </c>
      <c r="D46" s="149">
        <v>2.0880200862884521</v>
      </c>
      <c r="E46" s="20">
        <f t="shared" si="1"/>
        <v>-2.6318483718240637E-3</v>
      </c>
      <c r="F46" s="15">
        <f t="shared" si="17"/>
        <v>-1.1756518889634027E-2</v>
      </c>
      <c r="G46" s="15">
        <f t="shared" si="21"/>
        <v>2.4714724570631397E-2</v>
      </c>
      <c r="H46" s="13">
        <f>(1+G46)/(1+MAX(G$3:G46))-1</f>
        <v>-1.4931488975922558E-2</v>
      </c>
      <c r="I46" s="149">
        <v>20.34330940246582</v>
      </c>
      <c r="J46" s="20">
        <f t="shared" si="4"/>
        <v>3.5266059152857743E-2</v>
      </c>
      <c r="K46" s="15">
        <f t="shared" si="18"/>
        <v>0.25649976250120177</v>
      </c>
      <c r="L46" s="15">
        <f t="shared" si="22"/>
        <v>0.69094980833688013</v>
      </c>
      <c r="M46" s="13">
        <f>(1+L46)/(1+MAX(L$3:L46))-1</f>
        <v>0</v>
      </c>
      <c r="N46" s="124"/>
      <c r="O46" s="150">
        <v>1</v>
      </c>
      <c r="P46" s="20">
        <f t="shared" si="7"/>
        <v>3.5266059152857743E-2</v>
      </c>
      <c r="Q46" s="15">
        <f t="shared" si="19"/>
        <v>0.25649976250120177</v>
      </c>
      <c r="R46" s="15">
        <f t="shared" si="23"/>
        <v>0.49262562091006479</v>
      </c>
      <c r="S46" s="15">
        <f>(1+R46)/(1+MAX(R$3:R46))-1</f>
        <v>0</v>
      </c>
      <c r="T46" s="58">
        <f t="shared" si="24"/>
        <v>1492.6256209100652</v>
      </c>
      <c r="U46" s="137"/>
      <c r="V46" s="70"/>
      <c r="W46" s="70"/>
      <c r="X46" s="70"/>
      <c r="Y46" s="70"/>
      <c r="Z46" s="70"/>
      <c r="AA46" s="70"/>
      <c r="AB46" s="70"/>
      <c r="AC46" s="81"/>
      <c r="AD46" s="81"/>
    </row>
    <row r="47" spans="1:30" s="61" customFormat="1" outlineLevel="1" x14ac:dyDescent="0.3">
      <c r="A47" s="61" t="s">
        <v>664</v>
      </c>
      <c r="B47" s="55" t="str">
        <f t="shared" si="20"/>
        <v>2021-9</v>
      </c>
      <c r="C47" s="121">
        <v>44440</v>
      </c>
      <c r="D47" s="149">
        <v>2.0782101154327388</v>
      </c>
      <c r="E47" s="20">
        <f t="shared" si="1"/>
        <v>-4.6982167078435388E-3</v>
      </c>
      <c r="F47" s="15">
        <f t="shared" si="17"/>
        <v>-1.6399500924004218E-2</v>
      </c>
      <c r="G47" s="15">
        <f t="shared" si="21"/>
        <v>1.990039273088029E-2</v>
      </c>
      <c r="H47" s="13">
        <f>(1+G47)/(1+MAX(G$3:G47))-1</f>
        <v>-1.9559554312786442E-2</v>
      </c>
      <c r="I47" s="149">
        <v>19.902040481567379</v>
      </c>
      <c r="J47" s="20">
        <f t="shared" si="4"/>
        <v>-2.1691107978968005E-2</v>
      </c>
      <c r="K47" s="15">
        <f t="shared" si="18"/>
        <v>0.22924489047724061</v>
      </c>
      <c r="L47" s="15">
        <f t="shared" si="22"/>
        <v>0.6542712334572296</v>
      </c>
      <c r="M47" s="13">
        <f>(1+L47)/(1+MAX(L$3:L47))-1</f>
        <v>-2.1691107978968005E-2</v>
      </c>
      <c r="N47" s="124"/>
      <c r="O47" s="150">
        <v>1</v>
      </c>
      <c r="P47" s="20">
        <f t="shared" si="7"/>
        <v>-2.1691107978968005E-2</v>
      </c>
      <c r="Q47" s="15">
        <f t="shared" si="19"/>
        <v>0.22924489047724061</v>
      </c>
      <c r="R47" s="15">
        <f t="shared" si="23"/>
        <v>0.46024891739473039</v>
      </c>
      <c r="S47" s="15">
        <f>(1+R47)/(1+MAX(R$3:R47))-1</f>
        <v>-2.1691107978968005E-2</v>
      </c>
      <c r="T47" s="58">
        <f t="shared" si="24"/>
        <v>1460.2489173947308</v>
      </c>
      <c r="U47" s="137"/>
      <c r="V47" s="70"/>
      <c r="W47" s="70"/>
      <c r="X47" s="70"/>
      <c r="Y47" s="70"/>
      <c r="Z47" s="70"/>
      <c r="AA47" s="70"/>
      <c r="AB47" s="70"/>
      <c r="AC47" s="81"/>
      <c r="AD47" s="81"/>
    </row>
    <row r="48" spans="1:30" s="61" customFormat="1" outlineLevel="1" x14ac:dyDescent="0.3">
      <c r="A48" s="61" t="s">
        <v>664</v>
      </c>
      <c r="B48" s="55" t="str">
        <f t="shared" si="20"/>
        <v>2021-10</v>
      </c>
      <c r="C48" s="121">
        <v>44470</v>
      </c>
      <c r="D48" s="149">
        <v>2.0613300800323491</v>
      </c>
      <c r="E48" s="20">
        <f t="shared" si="1"/>
        <v>-8.1223911264020066E-3</v>
      </c>
      <c r="F48" s="15">
        <f t="shared" si="17"/>
        <v>-2.4388688889623644E-2</v>
      </c>
      <c r="G48" s="15">
        <f t="shared" si="21"/>
        <v>1.1616362831148974E-2</v>
      </c>
      <c r="H48" s="13">
        <f>(1+G48)/(1+MAX(G$3:G48))-1</f>
        <v>-2.7523075088802029E-2</v>
      </c>
      <c r="I48" s="149">
        <v>21.080570220947269</v>
      </c>
      <c r="J48" s="20">
        <f t="shared" si="4"/>
        <v>5.9216528097780108E-2</v>
      </c>
      <c r="K48" s="15">
        <f t="shared" si="18"/>
        <v>0.30203650507323876</v>
      </c>
      <c r="L48" s="15">
        <f t="shared" si="22"/>
        <v>0.75223143243459889</v>
      </c>
      <c r="M48" s="13">
        <f>(1+L48)/(1+MAX(L$3:L48))-1</f>
        <v>0</v>
      </c>
      <c r="N48" s="124"/>
      <c r="O48" s="150">
        <v>1</v>
      </c>
      <c r="P48" s="20">
        <f t="shared" si="7"/>
        <v>5.9216528097780108E-2</v>
      </c>
      <c r="Q48" s="15">
        <f t="shared" si="19"/>
        <v>0.30203650507323876</v>
      </c>
      <c r="R48" s="15">
        <f t="shared" si="23"/>
        <v>0.54671978844138835</v>
      </c>
      <c r="S48" s="15">
        <f>(1+R48)/(1+MAX(R$3:R48))-1</f>
        <v>0</v>
      </c>
      <c r="T48" s="58">
        <f t="shared" si="24"/>
        <v>1546.7197884413888</v>
      </c>
      <c r="U48" s="137"/>
      <c r="V48" s="70"/>
      <c r="W48" s="70"/>
      <c r="X48" s="70"/>
      <c r="Y48" s="70"/>
      <c r="Z48" s="70"/>
      <c r="AA48" s="70"/>
      <c r="AB48" s="70"/>
      <c r="AC48" s="81"/>
      <c r="AD48" s="81"/>
    </row>
    <row r="49" spans="1:30" s="61" customFormat="1" outlineLevel="1" x14ac:dyDescent="0.3">
      <c r="A49" s="61" t="s">
        <v>664</v>
      </c>
      <c r="B49" s="55" t="str">
        <f t="shared" si="20"/>
        <v>2021-11</v>
      </c>
      <c r="C49" s="121">
        <v>44501</v>
      </c>
      <c r="D49" s="149">
        <v>2.0764799118041992</v>
      </c>
      <c r="E49" s="20">
        <f t="shared" si="1"/>
        <v>7.3495418897746578E-3</v>
      </c>
      <c r="F49" s="15">
        <f t="shared" si="17"/>
        <v>-1.7218392690479978E-2</v>
      </c>
      <c r="G49" s="15">
        <f t="shared" si="21"/>
        <v>1.9051279666157939E-2</v>
      </c>
      <c r="H49" s="13">
        <f>(1+G49)/(1+MAX(G$3:G49))-1</f>
        <v>-2.0375815192328006E-2</v>
      </c>
      <c r="I49" s="149">
        <v>21.176250457763668</v>
      </c>
      <c r="J49" s="20">
        <f t="shared" si="4"/>
        <v>4.5387878892062528E-3</v>
      </c>
      <c r="K49" s="15">
        <f t="shared" si="18"/>
        <v>0.30794617259376955</v>
      </c>
      <c r="L49" s="15">
        <f t="shared" si="22"/>
        <v>0.76018443923921963</v>
      </c>
      <c r="M49" s="13">
        <f>(1+L49)/(1+MAX(L$3:L49))-1</f>
        <v>0</v>
      </c>
      <c r="N49" s="124"/>
      <c r="O49" s="150">
        <v>1</v>
      </c>
      <c r="P49" s="20">
        <f t="shared" si="7"/>
        <v>4.5387878892062528E-3</v>
      </c>
      <c r="Q49" s="15">
        <f t="shared" si="19"/>
        <v>0.30794617259376955</v>
      </c>
      <c r="R49" s="15">
        <f t="shared" si="23"/>
        <v>0.55374002148516177</v>
      </c>
      <c r="S49" s="15">
        <f>(1+R49)/(1+MAX(R$3:R49))-1</f>
        <v>0</v>
      </c>
      <c r="T49" s="58">
        <f t="shared" si="24"/>
        <v>1553.7400214851623</v>
      </c>
      <c r="U49" s="137"/>
      <c r="V49" s="70"/>
      <c r="W49" s="70"/>
      <c r="X49" s="70"/>
      <c r="Y49" s="70"/>
      <c r="Z49" s="70"/>
      <c r="AA49" s="70"/>
      <c r="AB49" s="70"/>
      <c r="AC49" s="81"/>
      <c r="AD49" s="81"/>
    </row>
    <row r="50" spans="1:30" s="27" customFormat="1" ht="15" thickBot="1" x14ac:dyDescent="0.35">
      <c r="A50" s="27" t="s">
        <v>664</v>
      </c>
      <c r="B50" s="63" t="str">
        <f t="shared" si="20"/>
        <v>2021-12</v>
      </c>
      <c r="C50" s="122">
        <v>44531</v>
      </c>
      <c r="D50" s="147">
        <v>2.0639200210571289</v>
      </c>
      <c r="E50" s="32">
        <f t="shared" si="1"/>
        <v>-6.0486454386921018E-3</v>
      </c>
      <c r="F50" s="25">
        <f t="shared" si="17"/>
        <v>-2.3162890176763207E-2</v>
      </c>
      <c r="G50" s="25">
        <f t="shared" si="21"/>
        <v>1.2887399791611909E-2</v>
      </c>
      <c r="H50" s="26">
        <f>(1+G50)/(1+MAX(G$3:G50))-1</f>
        <v>-2.6301214549397378E-2</v>
      </c>
      <c r="I50" s="147">
        <v>22.2005500793457</v>
      </c>
      <c r="J50" s="32">
        <f t="shared" si="4"/>
        <v>4.8370207163209056E-2</v>
      </c>
      <c r="K50" s="25">
        <f t="shared" si="18"/>
        <v>0.3712117999204565</v>
      </c>
      <c r="L50" s="25">
        <f t="shared" si="22"/>
        <v>0.84532492521067759</v>
      </c>
      <c r="M50" s="26">
        <f>(1+L50)/(1+MAX(L$3:L50))-1</f>
        <v>0</v>
      </c>
      <c r="N50" s="125"/>
      <c r="O50" s="151">
        <v>1</v>
      </c>
      <c r="P50" s="32">
        <f t="shared" si="7"/>
        <v>4.8370207163209056E-2</v>
      </c>
      <c r="Q50" s="25">
        <f t="shared" si="19"/>
        <v>0.3712117999204565</v>
      </c>
      <c r="R50" s="25">
        <f t="shared" si="23"/>
        <v>0.62889474820216784</v>
      </c>
      <c r="S50" s="25">
        <f>(1+R50)/(1+MAX(R$3:R50))-1</f>
        <v>0</v>
      </c>
      <c r="T50" s="66">
        <f t="shared" si="24"/>
        <v>1628.8947482021686</v>
      </c>
      <c r="U50" s="138"/>
      <c r="V50" s="139"/>
      <c r="W50" s="139"/>
      <c r="X50" s="139"/>
      <c r="Y50" s="139"/>
      <c r="Z50" s="139"/>
      <c r="AA50" s="139"/>
      <c r="AB50" s="139"/>
      <c r="AC50" s="78"/>
      <c r="AD50" s="78"/>
    </row>
    <row r="51" spans="1:30" s="54" customFormat="1" outlineLevel="1" x14ac:dyDescent="0.3">
      <c r="A51" s="54" t="s">
        <v>664</v>
      </c>
      <c r="B51" s="48" t="str">
        <f t="shared" si="20"/>
        <v>2022-1</v>
      </c>
      <c r="C51" s="120">
        <v>44562</v>
      </c>
      <c r="D51" s="148">
        <v>2.047359943389893</v>
      </c>
      <c r="E51" s="10">
        <f t="shared" si="1"/>
        <v>-8.0236043539874125E-3</v>
      </c>
      <c r="F51" s="5">
        <f>+E51</f>
        <v>-8.0236043539874125E-3</v>
      </c>
      <c r="G51" s="5">
        <f t="shared" si="21"/>
        <v>4.760392040545014E-3</v>
      </c>
      <c r="H51" s="3">
        <f>(1+G51)/(1+MAX(G$3:G51))-1</f>
        <v>-3.411378836381096E-2</v>
      </c>
      <c r="I51" s="148">
        <v>21.314359664916989</v>
      </c>
      <c r="J51" s="10">
        <f t="shared" si="4"/>
        <v>-3.991749804673439E-2</v>
      </c>
      <c r="K51" s="5">
        <f>+J51</f>
        <v>-3.991749804673439E-2</v>
      </c>
      <c r="L51" s="5">
        <f t="shared" si="22"/>
        <v>0.77166417111299013</v>
      </c>
      <c r="M51" s="3">
        <f>(1+L51)/(1+MAX(L$3:L51))-1</f>
        <v>-3.991749804673439E-2</v>
      </c>
      <c r="N51" s="124"/>
      <c r="O51" s="150">
        <v>1</v>
      </c>
      <c r="P51" s="10">
        <f t="shared" si="7"/>
        <v>-3.991749804673439E-2</v>
      </c>
      <c r="Q51" s="5">
        <f>+P51</f>
        <v>-3.991749804673439E-2</v>
      </c>
      <c r="R51" s="5">
        <f t="shared" si="23"/>
        <v>0.56387334527247179</v>
      </c>
      <c r="S51" s="5">
        <f>(1+R51)/(1+MAX(R$3:R51))-1</f>
        <v>-3.9917498046734501E-2</v>
      </c>
      <c r="T51" s="51">
        <f t="shared" si="24"/>
        <v>1563.8733452724725</v>
      </c>
      <c r="U51" s="137"/>
      <c r="V51" s="70"/>
      <c r="W51" s="70"/>
      <c r="X51" s="70"/>
      <c r="Y51" s="70"/>
      <c r="Z51" s="70"/>
      <c r="AA51" s="70"/>
      <c r="AB51" s="70"/>
      <c r="AC51" s="81"/>
      <c r="AD51" s="81"/>
    </row>
    <row r="52" spans="1:30" s="61" customFormat="1" outlineLevel="1" x14ac:dyDescent="0.3">
      <c r="A52" s="61" t="s">
        <v>664</v>
      </c>
      <c r="B52" s="55" t="str">
        <f t="shared" si="20"/>
        <v>2022-2</v>
      </c>
      <c r="C52" s="121">
        <v>44593</v>
      </c>
      <c r="D52" s="149">
        <v>2.0202500820159912</v>
      </c>
      <c r="E52" s="20">
        <f t="shared" si="1"/>
        <v>-1.3241375294768654E-2</v>
      </c>
      <c r="F52" s="15">
        <f t="shared" si="17"/>
        <v>-2.1158736092288133E-2</v>
      </c>
      <c r="G52" s="15">
        <f t="shared" si="21"/>
        <v>-8.5440173917826767E-3</v>
      </c>
      <c r="H52" s="13">
        <f>(1+G52)/(1+MAX(G$3:G52))-1</f>
        <v>-4.6903450184128115E-2</v>
      </c>
      <c r="I52" s="149">
        <v>20.65657997131348</v>
      </c>
      <c r="J52" s="20">
        <f t="shared" si="4"/>
        <v>-3.0860870509105687E-2</v>
      </c>
      <c r="K52" s="15">
        <f t="shared" si="18"/>
        <v>-6.9546479817572338E-2</v>
      </c>
      <c r="L52" s="15">
        <f t="shared" si="22"/>
        <v>0.71698907254264999</v>
      </c>
      <c r="M52" s="13">
        <f>(1+L52)/(1+MAX(L$3:L52))-1</f>
        <v>-6.9546479817572338E-2</v>
      </c>
      <c r="N52" s="124"/>
      <c r="O52" s="150">
        <v>0</v>
      </c>
      <c r="P52" s="20">
        <f t="shared" si="7"/>
        <v>-1.3241375294768654E-2</v>
      </c>
      <c r="Q52" s="15">
        <f t="shared" si="19"/>
        <v>-5.2630310769038013E-2</v>
      </c>
      <c r="R52" s="15">
        <f t="shared" si="23"/>
        <v>0.54316551139423375</v>
      </c>
      <c r="S52" s="15">
        <f>(1+R52)/(1+MAX(R$3:R52))-1</f>
        <v>-5.2630310769038013E-2</v>
      </c>
      <c r="T52" s="58">
        <f t="shared" si="24"/>
        <v>1543.1655113942345</v>
      </c>
      <c r="U52" s="137"/>
      <c r="V52" s="70"/>
      <c r="W52" s="70"/>
      <c r="X52" s="70"/>
      <c r="Y52" s="70"/>
      <c r="Z52" s="70"/>
      <c r="AA52" s="70"/>
      <c r="AB52" s="70"/>
      <c r="AC52" s="81"/>
      <c r="AD52" s="81"/>
    </row>
    <row r="53" spans="1:30" s="61" customFormat="1" outlineLevel="1" x14ac:dyDescent="0.3">
      <c r="A53" s="61" t="s">
        <v>664</v>
      </c>
      <c r="B53" s="55" t="str">
        <f t="shared" si="20"/>
        <v>2022-3</v>
      </c>
      <c r="C53" s="121">
        <v>44621</v>
      </c>
      <c r="D53" s="149">
        <v>1.9907100200653081</v>
      </c>
      <c r="E53" s="20">
        <f t="shared" si="1"/>
        <v>-1.4621982799874589E-2</v>
      </c>
      <c r="F53" s="15">
        <f t="shared" si="17"/>
        <v>-3.5471336216954197E-2</v>
      </c>
      <c r="G53" s="15">
        <f t="shared" si="21"/>
        <v>-2.3041069716312812E-2</v>
      </c>
      <c r="H53" s="13">
        <f>(1+G53)/(1+MAX(G$3:G53))-1</f>
        <v>-6.0839611542155558E-2</v>
      </c>
      <c r="I53" s="149">
        <v>21.46079063415527</v>
      </c>
      <c r="J53" s="20">
        <f t="shared" si="4"/>
        <v>3.8932420756902841E-2</v>
      </c>
      <c r="K53" s="15">
        <f t="shared" si="18"/>
        <v>-3.3321671875088721E-2</v>
      </c>
      <c r="L53" s="15">
        <f t="shared" si="22"/>
        <v>0.78383561354988474</v>
      </c>
      <c r="M53" s="13">
        <f>(1+L53)/(1+MAX(L$3:L53))-1</f>
        <v>-3.3321671875088721E-2</v>
      </c>
      <c r="N53" s="124"/>
      <c r="O53" s="150">
        <v>0</v>
      </c>
      <c r="P53" s="20">
        <f t="shared" si="7"/>
        <v>-1.4621982799874589E-2</v>
      </c>
      <c r="Q53" s="15">
        <f t="shared" si="19"/>
        <v>-6.6482734070095639E-2</v>
      </c>
      <c r="R53" s="15">
        <f t="shared" si="23"/>
        <v>0.52060137182926769</v>
      </c>
      <c r="S53" s="15">
        <f>(1+R53)/(1+MAX(R$3:R53))-1</f>
        <v>-6.6482734070095639E-2</v>
      </c>
      <c r="T53" s="58">
        <f t="shared" si="24"/>
        <v>1520.6013718292684</v>
      </c>
      <c r="U53" s="137"/>
      <c r="V53" s="70"/>
      <c r="W53" s="70"/>
      <c r="X53" s="70"/>
      <c r="Y53" s="70"/>
      <c r="Z53" s="70"/>
      <c r="AA53" s="70"/>
      <c r="AB53" s="70"/>
      <c r="AC53" s="81"/>
      <c r="AD53" s="81"/>
    </row>
    <row r="54" spans="1:30" s="61" customFormat="1" outlineLevel="1" x14ac:dyDescent="0.3">
      <c r="A54" s="61" t="s">
        <v>664</v>
      </c>
      <c r="B54" s="55" t="str">
        <f t="shared" si="20"/>
        <v>2022-4</v>
      </c>
      <c r="C54" s="121">
        <v>44652</v>
      </c>
      <c r="D54" s="149">
        <v>1.949939966201782</v>
      </c>
      <c r="E54" s="20">
        <f t="shared" si="1"/>
        <v>-2.0480157055816961E-2</v>
      </c>
      <c r="F54" s="15">
        <f t="shared" si="17"/>
        <v>-5.5225034736068213E-2</v>
      </c>
      <c r="G54" s="15">
        <f t="shared" si="21"/>
        <v>-4.3049342045605621E-2</v>
      </c>
      <c r="H54" s="13">
        <f>(1+G54)/(1+MAX(G$3:G54))-1</f>
        <v>-8.0073763798374276E-2</v>
      </c>
      <c r="I54" s="149">
        <v>20.69314002990723</v>
      </c>
      <c r="J54" s="20">
        <f t="shared" si="4"/>
        <v>-3.5769912550486782E-2</v>
      </c>
      <c r="K54" s="15">
        <f t="shared" si="18"/>
        <v>-6.7899671136567585E-2</v>
      </c>
      <c r="L54" s="15">
        <f t="shared" si="22"/>
        <v>0.72002796964876148</v>
      </c>
      <c r="M54" s="13">
        <f>(1+L54)/(1+MAX(L$3:L54))-1</f>
        <v>-6.7899671136567585E-2</v>
      </c>
      <c r="N54" s="124"/>
      <c r="O54" s="150">
        <v>1</v>
      </c>
      <c r="P54" s="20">
        <f t="shared" si="7"/>
        <v>-3.5769912550486782E-2</v>
      </c>
      <c r="Q54" s="15">
        <f t="shared" si="19"/>
        <v>-9.9874565036777829E-2</v>
      </c>
      <c r="R54" s="15">
        <f t="shared" si="23"/>
        <v>0.46620959373478454</v>
      </c>
      <c r="S54" s="15">
        <f>(1+R54)/(1+MAX(R$3:R54))-1</f>
        <v>-9.9874565036777829E-2</v>
      </c>
      <c r="T54" s="58">
        <f t="shared" si="24"/>
        <v>1466.2095937347851</v>
      </c>
      <c r="U54" s="137"/>
      <c r="V54" s="70"/>
      <c r="W54" s="70"/>
      <c r="X54" s="70"/>
      <c r="Y54" s="70"/>
      <c r="Z54" s="70"/>
      <c r="AA54" s="70"/>
      <c r="AB54" s="70"/>
      <c r="AC54" s="81"/>
      <c r="AD54" s="81"/>
    </row>
    <row r="55" spans="1:30" s="61" customFormat="1" outlineLevel="1" x14ac:dyDescent="0.3">
      <c r="A55" s="61" t="s">
        <v>664</v>
      </c>
      <c r="B55" s="55" t="str">
        <f t="shared" si="20"/>
        <v>2022-5</v>
      </c>
      <c r="C55" s="121">
        <v>44682</v>
      </c>
      <c r="D55" s="149">
        <v>1.933789968490601</v>
      </c>
      <c r="E55" s="20">
        <f t="shared" si="1"/>
        <v>-8.2823050920070029E-3</v>
      </c>
      <c r="F55" s="15">
        <f t="shared" si="17"/>
        <v>-6.3049949241674397E-2</v>
      </c>
      <c r="G55" s="15">
        <f t="shared" si="21"/>
        <v>-5.0975099352780773E-2</v>
      </c>
      <c r="H55" s="13">
        <f>(1+G55)/(1+MAX(G$3:G55))-1</f>
        <v>-8.7692873548737893E-2</v>
      </c>
      <c r="I55" s="149">
        <v>20.35399055480957</v>
      </c>
      <c r="J55" s="20">
        <f t="shared" si="4"/>
        <v>-1.6389464073963467E-2</v>
      </c>
      <c r="K55" s="15">
        <f t="shared" si="18"/>
        <v>-8.3176295989804361E-2</v>
      </c>
      <c r="L55" s="15">
        <f t="shared" si="22"/>
        <v>0.69183763303399082</v>
      </c>
      <c r="M55" s="13">
        <f>(1+L55)/(1+MAX(L$3:L55))-1</f>
        <v>-8.317629598980425E-2</v>
      </c>
      <c r="N55" s="124"/>
      <c r="O55" s="150">
        <v>0</v>
      </c>
      <c r="P55" s="20">
        <f t="shared" si="7"/>
        <v>-8.2823050920070029E-3</v>
      </c>
      <c r="Q55" s="15">
        <f t="shared" si="19"/>
        <v>-0.1073296785102188</v>
      </c>
      <c r="R55" s="15">
        <f t="shared" si="23"/>
        <v>0.45406599855064544</v>
      </c>
      <c r="S55" s="15">
        <f>(1+R55)/(1+MAX(R$3:R55))-1</f>
        <v>-0.1073296785102188</v>
      </c>
      <c r="T55" s="58">
        <f t="shared" si="24"/>
        <v>1454.0659985506461</v>
      </c>
      <c r="U55" s="137"/>
      <c r="V55" s="70"/>
      <c r="W55" s="70"/>
      <c r="X55" s="70"/>
      <c r="Y55" s="70"/>
      <c r="Z55" s="70"/>
      <c r="AA55" s="70"/>
      <c r="AB55" s="70"/>
      <c r="AC55" s="81"/>
      <c r="AD55" s="81"/>
    </row>
    <row r="56" spans="1:30" s="61" customFormat="1" outlineLevel="1" x14ac:dyDescent="0.3">
      <c r="A56" s="61" t="s">
        <v>664</v>
      </c>
      <c r="B56" s="55" t="str">
        <f t="shared" si="20"/>
        <v>2022-6</v>
      </c>
      <c r="C56" s="121">
        <v>44713</v>
      </c>
      <c r="D56" s="149">
        <v>1.914360046386719</v>
      </c>
      <c r="E56" s="20">
        <f t="shared" si="1"/>
        <v>-1.0047586563419753E-2</v>
      </c>
      <c r="F56" s="15">
        <f t="shared" si="17"/>
        <v>-7.2464035982269248E-2</v>
      </c>
      <c r="G56" s="15">
        <f t="shared" si="21"/>
        <v>-6.0510509192874484E-2</v>
      </c>
      <c r="H56" s="13">
        <f>(1+G56)/(1+MAX(G$3:G56))-1</f>
        <v>-9.6859358374181581E-2</v>
      </c>
      <c r="I56" s="149">
        <v>19.35293006896973</v>
      </c>
      <c r="J56" s="20">
        <f t="shared" si="4"/>
        <v>-4.9182516968560464E-2</v>
      </c>
      <c r="K56" s="15">
        <f t="shared" si="18"/>
        <v>-0.12826799336946426</v>
      </c>
      <c r="L56" s="15">
        <f t="shared" si="22"/>
        <v>0.60862879993924746</v>
      </c>
      <c r="M56" s="13">
        <f>(1+L56)/(1+MAX(L$3:L56))-1</f>
        <v>-0.12826799336946415</v>
      </c>
      <c r="N56" s="124"/>
      <c r="O56" s="150">
        <v>0</v>
      </c>
      <c r="P56" s="20">
        <f t="shared" si="7"/>
        <v>-1.0047586563419753E-2</v>
      </c>
      <c r="Q56" s="15">
        <f t="shared" si="19"/>
        <v>-0.11629886083798313</v>
      </c>
      <c r="R56" s="15">
        <f t="shared" si="23"/>
        <v>0.43945614456128235</v>
      </c>
      <c r="S56" s="15">
        <f>(1+R56)/(1+MAX(R$3:R56))-1</f>
        <v>-0.11629886083798313</v>
      </c>
      <c r="T56" s="58">
        <f t="shared" si="24"/>
        <v>1439.4561445612831</v>
      </c>
      <c r="U56" s="137"/>
      <c r="V56" s="70"/>
      <c r="W56" s="70"/>
      <c r="X56" s="70"/>
      <c r="Y56" s="70"/>
      <c r="Z56" s="70"/>
      <c r="AA56" s="70"/>
      <c r="AB56" s="70"/>
      <c r="AC56" s="81"/>
      <c r="AD56" s="81"/>
    </row>
    <row r="57" spans="1:30" s="61" customFormat="1" outlineLevel="1" x14ac:dyDescent="0.3">
      <c r="A57" s="61" t="s">
        <v>664</v>
      </c>
      <c r="B57" s="55" t="str">
        <f t="shared" si="20"/>
        <v>2022-7</v>
      </c>
      <c r="C57" s="121">
        <v>44743</v>
      </c>
      <c r="D57" s="149">
        <v>1.968500018119812</v>
      </c>
      <c r="E57" s="20">
        <f t="shared" si="1"/>
        <v>2.8280976629908361E-2</v>
      </c>
      <c r="F57" s="15">
        <f t="shared" si="17"/>
        <v>-4.6232413060484312E-2</v>
      </c>
      <c r="G57" s="15">
        <f t="shared" si="21"/>
        <v>-3.394082885931371E-2</v>
      </c>
      <c r="H57" s="13">
        <f>(1+G57)/(1+MAX(G$3:G57))-1</f>
        <v>-7.1317658994841437E-2</v>
      </c>
      <c r="I57" s="149">
        <v>21.330009460449219</v>
      </c>
      <c r="J57" s="20">
        <f t="shared" si="4"/>
        <v>0.10215917612648817</v>
      </c>
      <c r="K57" s="15">
        <f t="shared" si="18"/>
        <v>-3.9212569768998451E-2</v>
      </c>
      <c r="L57" s="15">
        <f t="shared" si="22"/>
        <v>0.77296499283438225</v>
      </c>
      <c r="M57" s="13">
        <f>(1+L57)/(1+MAX(L$3:L57))-1</f>
        <v>-3.921256976899834E-2</v>
      </c>
      <c r="N57" s="124"/>
      <c r="O57" s="150">
        <v>0</v>
      </c>
      <c r="P57" s="20">
        <f t="shared" si="7"/>
        <v>2.8280976629908361E-2</v>
      </c>
      <c r="Q57" s="15">
        <f t="shared" si="19"/>
        <v>-9.1306929573518714E-2</v>
      </c>
      <c r="R57" s="15">
        <f t="shared" si="23"/>
        <v>0.48016537014539806</v>
      </c>
      <c r="S57" s="15">
        <f>(1+R57)/(1+MAX(R$3:R57))-1</f>
        <v>-9.1306929573518714E-2</v>
      </c>
      <c r="T57" s="58">
        <f t="shared" si="24"/>
        <v>1480.1653701453986</v>
      </c>
      <c r="U57" s="137"/>
      <c r="V57" s="70"/>
      <c r="W57" s="70"/>
      <c r="X57" s="70"/>
      <c r="Y57" s="70"/>
      <c r="Z57" s="70"/>
      <c r="AA57" s="70"/>
      <c r="AB57" s="70"/>
      <c r="AC57" s="81"/>
      <c r="AD57" s="81"/>
    </row>
    <row r="58" spans="1:30" s="61" customFormat="1" outlineLevel="1" x14ac:dyDescent="0.3">
      <c r="A58" s="61" t="s">
        <v>664</v>
      </c>
      <c r="B58" s="55" t="str">
        <f t="shared" si="20"/>
        <v>2022-8</v>
      </c>
      <c r="C58" s="121">
        <v>44774</v>
      </c>
      <c r="D58" s="149">
        <v>1.891929984092712</v>
      </c>
      <c r="E58" s="20">
        <f t="shared" si="1"/>
        <v>-3.8897654723028641E-2</v>
      </c>
      <c r="F58" s="15">
        <f t="shared" si="17"/>
        <v>-8.3331735343273761E-2</v>
      </c>
      <c r="G58" s="15">
        <f t="shared" si="21"/>
        <v>-7.15182649403594E-2</v>
      </c>
      <c r="H58" s="13">
        <f>(1+G58)/(1+MAX(G$3:G58))-1</f>
        <v>-0.10744122404263401</v>
      </c>
      <c r="I58" s="149">
        <v>20.8061408996582</v>
      </c>
      <c r="J58" s="20">
        <f t="shared" si="4"/>
        <v>-2.4560165421510627E-2</v>
      </c>
      <c r="K58" s="15">
        <f t="shared" si="18"/>
        <v>-6.2809667990379903E-2</v>
      </c>
      <c r="L58" s="15">
        <f t="shared" si="22"/>
        <v>0.72942067932382249</v>
      </c>
      <c r="M58" s="13">
        <f>(1+L58)/(1+MAX(L$3:L58))-1</f>
        <v>-6.2809667990379792E-2</v>
      </c>
      <c r="N58" s="124"/>
      <c r="O58" s="150">
        <v>1</v>
      </c>
      <c r="P58" s="20">
        <f t="shared" si="7"/>
        <v>-2.4560165421510627E-2</v>
      </c>
      <c r="Q58" s="15">
        <f t="shared" si="19"/>
        <v>-0.11362458170057355</v>
      </c>
      <c r="R58" s="15">
        <f t="shared" si="23"/>
        <v>0.44381226380343564</v>
      </c>
      <c r="S58" s="15">
        <f>(1+R58)/(1+MAX(R$3:R58))-1</f>
        <v>-0.11362458170057343</v>
      </c>
      <c r="T58" s="58">
        <f t="shared" si="24"/>
        <v>1443.8122638034361</v>
      </c>
      <c r="U58" s="137"/>
      <c r="V58" s="70"/>
      <c r="W58" s="70"/>
      <c r="X58" s="70"/>
      <c r="Y58" s="70"/>
      <c r="Z58" s="70"/>
      <c r="AA58" s="70"/>
      <c r="AB58" s="70"/>
      <c r="AC58" s="81"/>
      <c r="AD58" s="81"/>
    </row>
    <row r="59" spans="1:30" s="61" customFormat="1" outlineLevel="1" x14ac:dyDescent="0.3">
      <c r="A59" s="61" t="s">
        <v>664</v>
      </c>
      <c r="B59" s="55" t="str">
        <f t="shared" si="20"/>
        <v>2022-9</v>
      </c>
      <c r="C59" s="121">
        <v>44805</v>
      </c>
      <c r="D59" s="149">
        <v>1.8425600528717041</v>
      </c>
      <c r="E59" s="20">
        <f t="shared" si="1"/>
        <v>-2.6095009665319857E-2</v>
      </c>
      <c r="F59" s="15">
        <f t="shared" si="17"/>
        <v>-0.10725220256938306</v>
      </c>
      <c r="G59" s="15">
        <f t="shared" si="21"/>
        <v>-9.5747004790813661E-2</v>
      </c>
      <c r="H59" s="13">
        <f>(1+G59)/(1+MAX(G$3:G59))-1</f>
        <v>-0.13073255392810756</v>
      </c>
      <c r="I59" s="149">
        <v>19.408170700073239</v>
      </c>
      <c r="J59" s="20">
        <f t="shared" si="4"/>
        <v>-6.7190268792610475E-2</v>
      </c>
      <c r="K59" s="15">
        <f t="shared" si="18"/>
        <v>-0.12577973830794209</v>
      </c>
      <c r="L59" s="15">
        <f t="shared" si="22"/>
        <v>0.61322043902455592</v>
      </c>
      <c r="M59" s="13">
        <f>(1+L59)/(1+MAX(L$3:L59))-1</f>
        <v>-0.12577973830794198</v>
      </c>
      <c r="N59" s="124"/>
      <c r="O59" s="150">
        <v>0</v>
      </c>
      <c r="P59" s="20">
        <f t="shared" si="7"/>
        <v>-2.6095009665319857E-2</v>
      </c>
      <c r="Q59" s="15">
        <f t="shared" si="19"/>
        <v>-0.13675455680819903</v>
      </c>
      <c r="R59" s="15">
        <f t="shared" si="23"/>
        <v>0.40613596882457759</v>
      </c>
      <c r="S59" s="15">
        <f>(1+R59)/(1+MAX(R$3:R59))-1</f>
        <v>-0.13675455680819892</v>
      </c>
      <c r="T59" s="58">
        <f t="shared" si="24"/>
        <v>1406.135968824578</v>
      </c>
      <c r="U59" s="137"/>
      <c r="V59" s="70"/>
      <c r="W59" s="70"/>
      <c r="X59" s="70"/>
      <c r="Y59" s="70"/>
      <c r="Z59" s="70"/>
      <c r="AA59" s="70"/>
      <c r="AB59" s="70"/>
      <c r="AC59" s="81"/>
      <c r="AD59" s="81"/>
    </row>
    <row r="60" spans="1:30" s="61" customFormat="1" outlineLevel="1" x14ac:dyDescent="0.3">
      <c r="A60" s="61" t="s">
        <v>664</v>
      </c>
      <c r="B60" s="55" t="str">
        <f t="shared" si="20"/>
        <v>2022-10</v>
      </c>
      <c r="C60" s="121">
        <v>44835</v>
      </c>
      <c r="D60" s="149">
        <v>1.8464499711990361</v>
      </c>
      <c r="E60" s="20">
        <f t="shared" si="1"/>
        <v>2.111148736384072E-3</v>
      </c>
      <c r="F60" s="15">
        <f t="shared" si="17"/>
        <v>-0.10536747918492773</v>
      </c>
      <c r="G60" s="15">
        <f t="shared" si="21"/>
        <v>-9.3837992222606248E-2</v>
      </c>
      <c r="H60" s="13">
        <f>(1+G60)/(1+MAX(G$3:G60))-1</f>
        <v>-0.12889740105775305</v>
      </c>
      <c r="I60" s="149">
        <v>21.068450927734379</v>
      </c>
      <c r="J60" s="20">
        <f t="shared" si="4"/>
        <v>8.5545425857928681E-2</v>
      </c>
      <c r="K60" s="15">
        <f t="shared" si="18"/>
        <v>-5.0994193727865178E-2</v>
      </c>
      <c r="L60" s="15">
        <f t="shared" si="22"/>
        <v>0.75122406848362622</v>
      </c>
      <c r="M60" s="13">
        <f>(1+L60)/(1+MAX(L$3:L60))-1</f>
        <v>-5.0994193727865067E-2</v>
      </c>
      <c r="N60" s="124"/>
      <c r="O60" s="150">
        <v>0</v>
      </c>
      <c r="P60" s="20">
        <f t="shared" si="7"/>
        <v>2.111148736384072E-3</v>
      </c>
      <c r="Q60" s="15">
        <f t="shared" si="19"/>
        <v>-0.13493211728161536</v>
      </c>
      <c r="R60" s="15">
        <f t="shared" si="23"/>
        <v>0.40910453099834587</v>
      </c>
      <c r="S60" s="15">
        <f>(1+R60)/(1+MAX(R$3:R60))-1</f>
        <v>-0.13493211728161525</v>
      </c>
      <c r="T60" s="58">
        <f t="shared" si="24"/>
        <v>1409.1045309983463</v>
      </c>
      <c r="U60" s="137"/>
      <c r="V60" s="70"/>
      <c r="W60" s="70"/>
      <c r="X60" s="70"/>
      <c r="Y60" s="70"/>
      <c r="Z60" s="70"/>
      <c r="AA60" s="70"/>
      <c r="AB60" s="70"/>
      <c r="AC60" s="81"/>
      <c r="AD60" s="81"/>
    </row>
    <row r="61" spans="1:30" s="61" customFormat="1" outlineLevel="1" x14ac:dyDescent="0.3">
      <c r="A61" s="61" t="s">
        <v>664</v>
      </c>
      <c r="B61" s="55" t="str">
        <f t="shared" si="20"/>
        <v>2022-11</v>
      </c>
      <c r="C61" s="121">
        <v>44866</v>
      </c>
      <c r="D61" s="149">
        <v>1.8616499900817871</v>
      </c>
      <c r="E61" s="20">
        <f t="shared" si="1"/>
        <v>8.2320231362025265E-3</v>
      </c>
      <c r="F61" s="15">
        <f t="shared" si="17"/>
        <v>-9.8002843575178855E-2</v>
      </c>
      <c r="G61" s="15">
        <f t="shared" si="21"/>
        <v>-8.6378445609434973E-2</v>
      </c>
      <c r="H61" s="13">
        <f>(1+G61)/(1+MAX(G$3:G61))-1</f>
        <v>-0.12172646430925427</v>
      </c>
      <c r="I61" s="149">
        <v>21.114459991455082</v>
      </c>
      <c r="J61" s="20">
        <f t="shared" si="4"/>
        <v>2.1837895855996159E-3</v>
      </c>
      <c r="K61" s="15">
        <f t="shared" si="18"/>
        <v>-4.8921764731454487E-2</v>
      </c>
      <c r="L61" s="15">
        <f t="shared" si="22"/>
        <v>0.75504837336643216</v>
      </c>
      <c r="M61" s="13">
        <f>(1+L61)/(1+MAX(L$3:L61))-1</f>
        <v>-4.8921764731454376E-2</v>
      </c>
      <c r="N61" s="124"/>
      <c r="O61" s="150">
        <v>0</v>
      </c>
      <c r="P61" s="20">
        <f t="shared" si="7"/>
        <v>8.2320231362025265E-3</v>
      </c>
      <c r="Q61" s="15">
        <f t="shared" si="19"/>
        <v>-0.12781085845669193</v>
      </c>
      <c r="R61" s="15">
        <f t="shared" si="23"/>
        <v>0.42070431209885206</v>
      </c>
      <c r="S61" s="15">
        <f>(1+R61)/(1+MAX(R$3:R61))-1</f>
        <v>-0.12781085845669171</v>
      </c>
      <c r="T61" s="58">
        <f t="shared" si="24"/>
        <v>1420.7043120988524</v>
      </c>
      <c r="U61" s="137"/>
      <c r="V61" s="70"/>
      <c r="W61" s="70"/>
      <c r="X61" s="70"/>
      <c r="Y61" s="70"/>
      <c r="Z61" s="70"/>
      <c r="AA61" s="70"/>
      <c r="AB61" s="70"/>
      <c r="AC61" s="81"/>
      <c r="AD61" s="81"/>
    </row>
    <row r="62" spans="1:30" s="27" customFormat="1" ht="15" thickBot="1" x14ac:dyDescent="0.35">
      <c r="A62" s="27" t="s">
        <v>664</v>
      </c>
      <c r="B62" s="63" t="str">
        <f t="shared" si="20"/>
        <v>2022-12</v>
      </c>
      <c r="C62" s="122">
        <v>44896</v>
      </c>
      <c r="D62" s="147">
        <v>1.8121099472045901</v>
      </c>
      <c r="E62" s="32">
        <f t="shared" si="1"/>
        <v>-2.6610825418918127E-2</v>
      </c>
      <c r="F62" s="25">
        <f t="shared" si="17"/>
        <v>-0.12200573243316037</v>
      </c>
      <c r="G62" s="25">
        <f t="shared" si="21"/>
        <v>-0.11069066929228288</v>
      </c>
      <c r="H62" s="26">
        <f>(1+G62)/(1+MAX(G$3:G62))-1</f>
        <v>-0.14509804803757664</v>
      </c>
      <c r="I62" s="147">
        <v>19.541219711303711</v>
      </c>
      <c r="J62" s="32">
        <f t="shared" si="4"/>
        <v>-7.4510088384360906E-2</v>
      </c>
      <c r="K62" s="25">
        <f t="shared" si="18"/>
        <v>-0.11978668810175586</v>
      </c>
      <c r="L62" s="25">
        <f t="shared" si="22"/>
        <v>0.62427956394807049</v>
      </c>
      <c r="M62" s="26">
        <f>(1+L62)/(1+MAX(L$3:L62))-1</f>
        <v>-0.11978668810175574</v>
      </c>
      <c r="N62" s="125"/>
      <c r="O62" s="151">
        <v>1</v>
      </c>
      <c r="P62" s="32">
        <f t="shared" si="7"/>
        <v>-7.4510088384360906E-2</v>
      </c>
      <c r="Q62" s="25">
        <f t="shared" si="19"/>
        <v>-0.19279774848096365</v>
      </c>
      <c r="R62" s="25">
        <f t="shared" si="23"/>
        <v>0.31484750823632401</v>
      </c>
      <c r="S62" s="25">
        <f>(1+R62)/(1+MAX(R$3:R62))-1</f>
        <v>-0.19279774848096343</v>
      </c>
      <c r="T62" s="66">
        <f t="shared" si="24"/>
        <v>1314.8475082363243</v>
      </c>
      <c r="U62" s="138"/>
      <c r="V62" s="139"/>
      <c r="W62" s="139"/>
      <c r="X62" s="139"/>
      <c r="Y62" s="139"/>
      <c r="Z62" s="139"/>
      <c r="AA62" s="139"/>
      <c r="AB62" s="139"/>
      <c r="AC62" s="78"/>
      <c r="AD62" s="78"/>
    </row>
    <row r="63" spans="1:30" s="54" customFormat="1" outlineLevel="1" x14ac:dyDescent="0.3">
      <c r="A63" s="54" t="s">
        <v>664</v>
      </c>
      <c r="B63" s="48" t="str">
        <f t="shared" si="20"/>
        <v>2023-1</v>
      </c>
      <c r="C63" s="120">
        <v>44927</v>
      </c>
      <c r="D63" s="148">
        <v>1.836449980735779</v>
      </c>
      <c r="E63" s="10">
        <f t="shared" si="1"/>
        <v>1.3431874577332747E-2</v>
      </c>
      <c r="F63" s="5">
        <f>+E63</f>
        <v>1.3431874577332747E-2</v>
      </c>
      <c r="G63" s="5">
        <f t="shared" si="21"/>
        <v>-9.874557790176508E-2</v>
      </c>
      <c r="H63" s="3">
        <f>(1+G63)/(1+MAX(G$3:G63))-1</f>
        <v>-0.13361511224290046</v>
      </c>
      <c r="I63" s="148">
        <v>20.229110717773441</v>
      </c>
      <c r="J63" s="10">
        <f t="shared" si="4"/>
        <v>3.520205067198634E-2</v>
      </c>
      <c r="K63" s="5">
        <f>+J63</f>
        <v>3.520205067198634E-2</v>
      </c>
      <c r="L63" s="5">
        <f t="shared" si="22"/>
        <v>0.68145753546364229</v>
      </c>
      <c r="M63" s="3">
        <f>(1+L63)/(1+MAX(L$3:L63))-1</f>
        <v>-8.8801374494156815E-2</v>
      </c>
      <c r="N63" s="124"/>
      <c r="O63" s="150">
        <v>0</v>
      </c>
      <c r="P63" s="10">
        <f t="shared" si="7"/>
        <v>1.3431874577332747E-2</v>
      </c>
      <c r="Q63" s="5">
        <f>+P63</f>
        <v>1.3431874577332747E-2</v>
      </c>
      <c r="R63" s="5">
        <f t="shared" si="23"/>
        <v>0.33250837505527286</v>
      </c>
      <c r="S63" s="5">
        <f>(1+R63)/(1+MAX(R$3:R63))-1</f>
        <v>-0.18195550908001912</v>
      </c>
      <c r="T63" s="51">
        <f t="shared" si="24"/>
        <v>1332.5083750552731</v>
      </c>
      <c r="U63" s="137"/>
      <c r="V63" s="70"/>
      <c r="W63" s="70"/>
      <c r="X63" s="70"/>
      <c r="Y63" s="70"/>
      <c r="Z63" s="70"/>
      <c r="AA63" s="70"/>
      <c r="AB63" s="70"/>
      <c r="AC63" s="81"/>
      <c r="AD63" s="81"/>
    </row>
    <row r="64" spans="1:30" s="61" customFormat="1" outlineLevel="1" x14ac:dyDescent="0.3">
      <c r="A64" s="61" t="s">
        <v>664</v>
      </c>
      <c r="B64" s="55" t="str">
        <f t="shared" si="20"/>
        <v>2023-2</v>
      </c>
      <c r="C64" s="121">
        <v>44958</v>
      </c>
      <c r="D64" s="149">
        <v>1.808459997177124</v>
      </c>
      <c r="E64" s="20">
        <f t="shared" si="1"/>
        <v>-1.5241353618267728E-2</v>
      </c>
      <c r="F64" s="15">
        <f t="shared" si="17"/>
        <v>-2.0141989911243163E-3</v>
      </c>
      <c r="G64" s="15">
        <f t="shared" si="21"/>
        <v>-0.11248191524899176</v>
      </c>
      <c r="H64" s="13">
        <f>(1+G64)/(1+MAX(G$3:G64))-1</f>
        <v>-0.14681999068672957</v>
      </c>
      <c r="I64" s="149">
        <v>20.067340850830082</v>
      </c>
      <c r="J64" s="20">
        <f t="shared" si="4"/>
        <v>-7.9968847469517046E-3</v>
      </c>
      <c r="K64" s="15">
        <f t="shared" si="18"/>
        <v>2.6923659182954474E-2</v>
      </c>
      <c r="L64" s="15">
        <f t="shared" si="22"/>
        <v>0.66801111334564611</v>
      </c>
      <c r="M64" s="13">
        <f>(1+L64)/(1+MAX(L$3:L64))-1</f>
        <v>-9.6088124883907833E-2</v>
      </c>
      <c r="N64" s="124"/>
      <c r="O64" s="150">
        <v>1</v>
      </c>
      <c r="P64" s="20">
        <f t="shared" si="7"/>
        <v>-7.9968847469517046E-3</v>
      </c>
      <c r="Q64" s="15">
        <f t="shared" si="19"/>
        <v>5.3275766774505406E-3</v>
      </c>
      <c r="R64" s="15">
        <f t="shared" si="23"/>
        <v>0.32185245915560801</v>
      </c>
      <c r="S64" s="15">
        <f>(1+R64)/(1+MAX(R$3:R64))-1</f>
        <v>-0.18849731659178492</v>
      </c>
      <c r="T64" s="58">
        <f t="shared" si="24"/>
        <v>1321.8524591556081</v>
      </c>
      <c r="U64" s="137"/>
      <c r="V64" s="70"/>
      <c r="W64" s="70"/>
      <c r="X64" s="70"/>
      <c r="Y64" s="70"/>
      <c r="Z64" s="70"/>
      <c r="AA64" s="70"/>
      <c r="AB64" s="70"/>
      <c r="AC64" s="81"/>
      <c r="AD64" s="81"/>
    </row>
    <row r="65" spans="1:30" s="61" customFormat="1" outlineLevel="1" x14ac:dyDescent="0.3">
      <c r="A65" s="61" t="s">
        <v>664</v>
      </c>
      <c r="B65" s="55" t="str">
        <f t="shared" si="20"/>
        <v>2023-3</v>
      </c>
      <c r="C65" s="121">
        <v>44986</v>
      </c>
      <c r="D65" s="149">
        <v>1.842720031738281</v>
      </c>
      <c r="E65" s="20">
        <f t="shared" si="1"/>
        <v>1.8944314286539088E-2</v>
      </c>
      <c r="F65" s="15">
        <f t="shared" si="17"/>
        <v>1.6891957676691272E-2</v>
      </c>
      <c r="G65" s="15">
        <f t="shared" si="21"/>
        <v>-9.5668493716481451E-2</v>
      </c>
      <c r="H65" s="13">
        <f>(1+G65)/(1+MAX(G$3:G65))-1</f>
        <v>-0.13065708044730662</v>
      </c>
      <c r="I65" s="149">
        <v>20.344829559326168</v>
      </c>
      <c r="J65" s="20">
        <f t="shared" si="4"/>
        <v>1.3827876376784953E-2</v>
      </c>
      <c r="K65" s="15">
        <f t="shared" si="18"/>
        <v>4.1123832590532094E-2</v>
      </c>
      <c r="L65" s="15">
        <f t="shared" si="22"/>
        <v>0.69107616481609324</v>
      </c>
      <c r="M65" s="13">
        <f>(1+L65)/(1+MAX(L$3:L65))-1</f>
        <v>-8.3588943219294554E-2</v>
      </c>
      <c r="N65" s="124"/>
      <c r="O65" s="150">
        <v>1</v>
      </c>
      <c r="P65" s="20">
        <f t="shared" si="7"/>
        <v>1.3827876376784953E-2</v>
      </c>
      <c r="Q65" s="15">
        <f t="shared" si="19"/>
        <v>1.9229122125919096E-2</v>
      </c>
      <c r="R65" s="15">
        <f t="shared" si="23"/>
        <v>0.34013087154916088</v>
      </c>
      <c r="S65" s="15">
        <f>(1+R65)/(1+MAX(R$3:R65))-1</f>
        <v>-0.17727595780618688</v>
      </c>
      <c r="T65" s="58">
        <f t="shared" si="24"/>
        <v>1340.1308715491612</v>
      </c>
      <c r="U65" s="137"/>
      <c r="V65" s="70"/>
      <c r="W65" s="70"/>
      <c r="X65" s="70"/>
      <c r="Y65" s="70"/>
      <c r="Z65" s="70"/>
      <c r="AA65" s="70"/>
      <c r="AB65" s="70"/>
      <c r="AC65" s="81"/>
      <c r="AD65" s="81"/>
    </row>
    <row r="66" spans="1:30" s="61" customFormat="1" outlineLevel="1" x14ac:dyDescent="0.3">
      <c r="A66" s="61" t="s">
        <v>664</v>
      </c>
      <c r="B66" s="55" t="str">
        <f t="shared" si="20"/>
        <v>2023-4</v>
      </c>
      <c r="C66" s="121">
        <v>45017</v>
      </c>
      <c r="D66" s="149">
        <v>1.841480016708374</v>
      </c>
      <c r="E66" s="20">
        <f t="shared" si="1"/>
        <v>-6.7292643947503006E-4</v>
      </c>
      <c r="F66" s="15">
        <f t="shared" si="17"/>
        <v>1.6207664192281035E-2</v>
      </c>
      <c r="G66" s="15">
        <f t="shared" si="21"/>
        <v>-9.6277042297109872E-2</v>
      </c>
      <c r="H66" s="13">
        <f>(1+G66)/(1+MAX(G$3:G66))-1</f>
        <v>-0.13124208428284401</v>
      </c>
      <c r="I66" s="149">
        <v>20.490449905395511</v>
      </c>
      <c r="J66" s="20">
        <f t="shared" si="4"/>
        <v>7.1576095363545811E-3</v>
      </c>
      <c r="K66" s="15">
        <f t="shared" si="18"/>
        <v>4.8575790463208035E-2</v>
      </c>
      <c r="L66" s="15">
        <f t="shared" si="22"/>
        <v>0.70318022770008293</v>
      </c>
      <c r="M66" s="13">
        <f>(1+L66)/(1+MAX(L$3:L66))-1</f>
        <v>-7.7029630700060192E-2</v>
      </c>
      <c r="N66" s="124"/>
      <c r="O66" s="150">
        <v>1</v>
      </c>
      <c r="P66" s="20">
        <f t="shared" si="7"/>
        <v>7.1576095363545811E-3</v>
      </c>
      <c r="Q66" s="15">
        <f t="shared" si="19"/>
        <v>2.6524366210177952E-2</v>
      </c>
      <c r="R66" s="15">
        <f t="shared" si="23"/>
        <v>0.34972300505532439</v>
      </c>
      <c r="S66" s="15">
        <f>(1+R66)/(1+MAX(R$3:R66))-1</f>
        <v>-0.1713872203559923</v>
      </c>
      <c r="T66" s="58">
        <f t="shared" si="24"/>
        <v>1349.7230050553246</v>
      </c>
      <c r="U66" s="137"/>
      <c r="V66" s="70"/>
      <c r="W66" s="70"/>
      <c r="X66" s="70"/>
      <c r="Y66" s="70"/>
      <c r="Z66" s="70"/>
      <c r="AA66" s="70"/>
      <c r="AB66" s="70"/>
      <c r="AC66" s="81"/>
      <c r="AD66" s="81"/>
    </row>
    <row r="67" spans="1:30" s="61" customFormat="1" outlineLevel="1" x14ac:dyDescent="0.3">
      <c r="A67" s="61" t="s">
        <v>664</v>
      </c>
      <c r="B67" s="55" t="str">
        <f t="shared" si="20"/>
        <v>2023-5</v>
      </c>
      <c r="C67" s="121">
        <v>45047</v>
      </c>
      <c r="D67" s="149">
        <v>1.84646999835968</v>
      </c>
      <c r="E67" s="20">
        <f t="shared" si="1"/>
        <v>2.7097669298772331E-3</v>
      </c>
      <c r="F67" s="15">
        <f t="shared" si="17"/>
        <v>1.8961350114597098E-2</v>
      </c>
      <c r="G67" s="15">
        <f t="shared" si="21"/>
        <v>-9.3828163712555757E-2</v>
      </c>
      <c r="H67" s="13">
        <f>(1+G67)/(1+MAX(G$3:G67))-1</f>
        <v>-0.12888795281276455</v>
      </c>
      <c r="I67" s="149">
        <v>21.26956939697266</v>
      </c>
      <c r="J67" s="20">
        <f t="shared" si="4"/>
        <v>3.8023542439250768E-2</v>
      </c>
      <c r="K67" s="15">
        <f t="shared" si="18"/>
        <v>8.8446356532656756E-2</v>
      </c>
      <c r="L67" s="15">
        <f t="shared" si="22"/>
        <v>0.76794117336972989</v>
      </c>
      <c r="M67" s="13">
        <f>(1+L67)/(1+MAX(L$3:L67))-1</f>
        <v>-4.1935027692812876E-2</v>
      </c>
      <c r="N67" s="124"/>
      <c r="O67" s="150">
        <v>1</v>
      </c>
      <c r="P67" s="20">
        <f t="shared" si="7"/>
        <v>3.8023542439250768E-2</v>
      </c>
      <c r="Q67" s="15">
        <f t="shared" si="19"/>
        <v>6.5556459013695667E-2</v>
      </c>
      <c r="R67" s="15">
        <f t="shared" si="23"/>
        <v>0.40104425501927854</v>
      </c>
      <c r="S67" s="15">
        <f>(1+R67)/(1+MAX(R$3:R67))-1</f>
        <v>-0.1398804271634928</v>
      </c>
      <c r="T67" s="58">
        <f t="shared" si="24"/>
        <v>1401.0442550192788</v>
      </c>
      <c r="U67" s="137"/>
      <c r="V67" s="70"/>
      <c r="W67" s="70"/>
      <c r="X67" s="70"/>
      <c r="Y67" s="70"/>
      <c r="Z67" s="70"/>
      <c r="AA67" s="70"/>
      <c r="AB67" s="70"/>
      <c r="AC67" s="81"/>
      <c r="AD67" s="81"/>
    </row>
    <row r="68" spans="1:30" s="61" customFormat="1" outlineLevel="1" x14ac:dyDescent="0.3">
      <c r="A68" s="61" t="s">
        <v>664</v>
      </c>
      <c r="B68" s="55" t="str">
        <f t="shared" si="20"/>
        <v>2023-6</v>
      </c>
      <c r="C68" s="121">
        <v>45078</v>
      </c>
      <c r="D68" s="149">
        <v>1.8311899900436399</v>
      </c>
      <c r="E68" s="20">
        <f t="shared" ref="E68:E98" si="25">D68/D67-1</f>
        <v>-8.2752540412863729E-3</v>
      </c>
      <c r="F68" s="15">
        <f t="shared" si="17"/>
        <v>1.0529186084146769E-2</v>
      </c>
      <c r="G68" s="15">
        <f t="shared" si="21"/>
        <v>-0.10132696586289336</v>
      </c>
      <c r="H68" s="13">
        <f>(1+G68)/(1+MAX(G$3:G68))-1</f>
        <v>-0.13609662630166408</v>
      </c>
      <c r="I68" s="149">
        <v>21.92697906494141</v>
      </c>
      <c r="J68" s="20">
        <f t="shared" ref="J68:J98" si="26">I68/I67-1</f>
        <v>3.0908461553637245E-2</v>
      </c>
      <c r="K68" s="15">
        <f t="shared" si="18"/>
        <v>0.12208855889674286</v>
      </c>
      <c r="L68" s="15">
        <f t="shared" si="22"/>
        <v>0.82258551515592049</v>
      </c>
      <c r="M68" s="13">
        <f>(1+L68)/(1+MAX(L$3:L68))-1</f>
        <v>-1.2322713330369717E-2</v>
      </c>
      <c r="N68" s="124"/>
      <c r="O68" s="150">
        <v>1</v>
      </c>
      <c r="P68" s="20">
        <f t="shared" ref="P68:P98" si="27">IF(O68=1,J68,E68)</f>
        <v>3.0908461553637245E-2</v>
      </c>
      <c r="Q68" s="15">
        <f t="shared" si="19"/>
        <v>9.8491169860350336E-2</v>
      </c>
      <c r="R68" s="15">
        <f t="shared" si="23"/>
        <v>0.44434837751048617</v>
      </c>
      <c r="S68" s="15">
        <f>(1+R68)/(1+MAX(R$3:R68))-1</f>
        <v>-0.11329545441494482</v>
      </c>
      <c r="T68" s="58">
        <f t="shared" si="24"/>
        <v>1444.3483775104864</v>
      </c>
      <c r="U68" s="137"/>
      <c r="V68" s="70"/>
      <c r="W68" s="70"/>
      <c r="X68" s="70"/>
      <c r="Y68" s="70"/>
      <c r="Z68" s="70"/>
      <c r="AA68" s="70"/>
      <c r="AB68" s="70"/>
      <c r="AC68" s="81"/>
      <c r="AD68" s="81"/>
    </row>
    <row r="69" spans="1:30" s="61" customFormat="1" outlineLevel="1" x14ac:dyDescent="0.3">
      <c r="A69" s="61" t="s">
        <v>664</v>
      </c>
      <c r="B69" s="55" t="str">
        <f t="shared" si="20"/>
        <v>2023-7</v>
      </c>
      <c r="C69" s="121">
        <v>45108</v>
      </c>
      <c r="D69" s="149">
        <v>1.8360099792480471</v>
      </c>
      <c r="E69" s="20">
        <f t="shared" si="25"/>
        <v>2.6321622718636917E-3</v>
      </c>
      <c r="F69" s="15">
        <f t="shared" si="17"/>
        <v>1.3189062882374536E-2</v>
      </c>
      <c r="G69" s="15">
        <f t="shared" si="21"/>
        <v>-9.8961512607696367E-2</v>
      </c>
      <c r="H69" s="13">
        <f>(1+G69)/(1+MAX(G$3:G69))-1</f>
        <v>-0.13382269243487954</v>
      </c>
      <c r="I69" s="149">
        <v>22.172609329223629</v>
      </c>
      <c r="J69" s="20">
        <f t="shared" si="26"/>
        <v>1.1202193587850573E-2</v>
      </c>
      <c r="K69" s="15">
        <f t="shared" si="18"/>
        <v>0.13465841215621643</v>
      </c>
      <c r="L69" s="15">
        <f t="shared" si="22"/>
        <v>0.84300247092710956</v>
      </c>
      <c r="M69" s="13">
        <f>(1+L69)/(1+MAX(L$3:L69))-1</f>
        <v>-1.2585611627734528E-3</v>
      </c>
      <c r="N69" s="124"/>
      <c r="O69" s="150">
        <v>1</v>
      </c>
      <c r="P69" s="20">
        <f t="shared" si="27"/>
        <v>1.1202193587850573E-2</v>
      </c>
      <c r="Q69" s="15">
        <f t="shared" si="19"/>
        <v>0.11079668059967052</v>
      </c>
      <c r="R69" s="15">
        <f t="shared" si="23"/>
        <v>0.46052824764365652</v>
      </c>
      <c r="S69" s="15">
        <f>(1+R69)/(1+MAX(R$3:R69))-1</f>
        <v>-0.10336241844007388</v>
      </c>
      <c r="T69" s="58">
        <f t="shared" si="24"/>
        <v>1460.5282476436569</v>
      </c>
      <c r="U69" s="137"/>
      <c r="V69" s="70"/>
      <c r="W69" s="70"/>
      <c r="X69" s="70"/>
      <c r="Y69" s="70"/>
      <c r="Z69" s="70"/>
      <c r="AA69" s="70"/>
      <c r="AB69" s="70"/>
      <c r="AC69" s="81"/>
      <c r="AD69" s="81"/>
    </row>
    <row r="70" spans="1:30" s="61" customFormat="1" outlineLevel="1" x14ac:dyDescent="0.3">
      <c r="A70" s="61" t="s">
        <v>664</v>
      </c>
      <c r="B70" s="55" t="str">
        <f t="shared" si="20"/>
        <v>2023-8</v>
      </c>
      <c r="C70" s="121">
        <v>45139</v>
      </c>
      <c r="D70" s="149">
        <v>1.843240022659302</v>
      </c>
      <c r="E70" s="20">
        <f t="shared" si="25"/>
        <v>3.9379107374002409E-3</v>
      </c>
      <c r="F70" s="15">
        <f t="shared" si="17"/>
        <v>1.7178910972115435E-2</v>
      </c>
      <c r="G70" s="15">
        <f t="shared" si="21"/>
        <v>-9.5413303473383393E-2</v>
      </c>
      <c r="H70" s="13">
        <f>(1+G70)/(1+MAX(G$3:G70))-1</f>
        <v>-0.13041176351492645</v>
      </c>
      <c r="I70" s="149">
        <v>22.169330596923832</v>
      </c>
      <c r="J70" s="20">
        <f t="shared" si="26"/>
        <v>-1.478730920260185E-4</v>
      </c>
      <c r="K70" s="15">
        <f t="shared" si="18"/>
        <v>0.1344906267084176</v>
      </c>
      <c r="L70" s="15">
        <f t="shared" si="22"/>
        <v>0.84272994045312188</v>
      </c>
      <c r="M70" s="13">
        <f>(1+L70)/(1+MAX(L$3:L70))-1</f>
        <v>-1.4062481474689248E-3</v>
      </c>
      <c r="N70" s="124"/>
      <c r="O70" s="150">
        <v>1</v>
      </c>
      <c r="P70" s="20">
        <f t="shared" si="27"/>
        <v>-1.478730920260185E-4</v>
      </c>
      <c r="Q70" s="15">
        <f t="shared" si="19"/>
        <v>0.11063242365989812</v>
      </c>
      <c r="R70" s="15">
        <f t="shared" si="23"/>
        <v>0.46031227481568604</v>
      </c>
      <c r="S70" s="15">
        <f>(1+R70)/(1+MAX(R$3:R70))-1</f>
        <v>-0.10349500701168601</v>
      </c>
      <c r="T70" s="58">
        <f t="shared" si="24"/>
        <v>1460.3122748156864</v>
      </c>
      <c r="U70" s="137"/>
      <c r="V70" s="70"/>
      <c r="W70" s="70"/>
      <c r="X70" s="70"/>
      <c r="Y70" s="70"/>
      <c r="Z70" s="70"/>
      <c r="AA70" s="70"/>
      <c r="AB70" s="70"/>
      <c r="AC70" s="81"/>
      <c r="AD70" s="81"/>
    </row>
    <row r="71" spans="1:30" s="61" customFormat="1" outlineLevel="1" x14ac:dyDescent="0.3">
      <c r="A71" s="61" t="s">
        <v>664</v>
      </c>
      <c r="B71" s="55" t="str">
        <f t="shared" si="20"/>
        <v>2023-9</v>
      </c>
      <c r="C71" s="121">
        <v>45170</v>
      </c>
      <c r="D71" s="149">
        <v>1.816869974136353</v>
      </c>
      <c r="E71" s="20">
        <f t="shared" si="25"/>
        <v>-1.430635630670829E-2</v>
      </c>
      <c r="F71" s="15">
        <f t="shared" si="17"/>
        <v>2.6267870440788155E-3</v>
      </c>
      <c r="G71" s="15">
        <f t="shared" si="21"/>
        <v>-0.10835464306420139</v>
      </c>
      <c r="H71" s="13">
        <f>(1+G71)/(1+MAX(G$3:G71))-1</f>
        <v>-0.14285240266620403</v>
      </c>
      <c r="I71" s="149">
        <v>21.661149978637699</v>
      </c>
      <c r="J71" s="20">
        <f t="shared" si="26"/>
        <v>-2.2922686639742174E-2</v>
      </c>
      <c r="K71" s="15">
        <f t="shared" si="18"/>
        <v>0.10848505357665594</v>
      </c>
      <c r="L71" s="15">
        <f t="shared" si="22"/>
        <v>0.80048961946644415</v>
      </c>
      <c r="M71" s="13">
        <f>(1+L71)/(1+MAX(L$3:L71))-1</f>
        <v>-2.4296699801588995E-2</v>
      </c>
      <c r="N71" s="124"/>
      <c r="O71" s="150">
        <v>1</v>
      </c>
      <c r="P71" s="20">
        <f t="shared" si="27"/>
        <v>-2.2922686639742174E-2</v>
      </c>
      <c r="Q71" s="15">
        <f t="shared" si="19"/>
        <v>8.5173744640404836E-2</v>
      </c>
      <c r="R71" s="15">
        <f t="shared" si="23"/>
        <v>0.4268379941439171</v>
      </c>
      <c r="S71" s="15">
        <f>(1+R71)/(1+MAX(R$3:R71))-1</f>
        <v>-0.12404531003692132</v>
      </c>
      <c r="T71" s="58">
        <f t="shared" si="24"/>
        <v>1426.8379941439173</v>
      </c>
      <c r="U71" s="137"/>
      <c r="V71" s="70"/>
      <c r="W71" s="70"/>
      <c r="X71" s="70"/>
      <c r="Y71" s="70"/>
      <c r="Z71" s="70"/>
      <c r="AA71" s="70"/>
      <c r="AB71" s="70"/>
      <c r="AC71" s="81"/>
      <c r="AD71" s="81"/>
    </row>
    <row r="72" spans="1:30" s="61" customFormat="1" outlineLevel="1" x14ac:dyDescent="0.3">
      <c r="A72" s="61" t="s">
        <v>664</v>
      </c>
      <c r="B72" s="55" t="str">
        <f t="shared" si="20"/>
        <v>2023-10</v>
      </c>
      <c r="C72" s="121">
        <v>45200</v>
      </c>
      <c r="D72" s="149">
        <v>1.8298900127410891</v>
      </c>
      <c r="E72" s="20">
        <f t="shared" si="25"/>
        <v>7.166191741885708E-3</v>
      </c>
      <c r="F72" s="15">
        <f t="shared" si="17"/>
        <v>9.8118028455875805E-3</v>
      </c>
      <c r="G72" s="15">
        <f t="shared" si="21"/>
        <v>-0.10196494147063739</v>
      </c>
      <c r="H72" s="13">
        <f>(1+G72)/(1+MAX(G$3:G72))-1</f>
        <v>-0.13670991863261339</v>
      </c>
      <c r="I72" s="149">
        <v>21.41935920715332</v>
      </c>
      <c r="J72" s="20">
        <f t="shared" si="26"/>
        <v>-1.1162416202409986E-2</v>
      </c>
      <c r="K72" s="15">
        <f t="shared" si="18"/>
        <v>9.6111682054482506E-2</v>
      </c>
      <c r="L72" s="15">
        <f t="shared" si="22"/>
        <v>0.78039180496584093</v>
      </c>
      <c r="M72" s="13">
        <f>(1+L72)/(1+MAX(L$3:L72))-1</f>
        <v>-3.518790612846856E-2</v>
      </c>
      <c r="N72" s="124"/>
      <c r="O72" s="150">
        <v>0</v>
      </c>
      <c r="P72" s="20">
        <f t="shared" si="27"/>
        <v>7.166191741885708E-3</v>
      </c>
      <c r="Q72" s="15">
        <f t="shared" si="19"/>
        <v>9.2950307767758034E-2</v>
      </c>
      <c r="R72" s="15">
        <f t="shared" si="23"/>
        <v>0.43706298879456007</v>
      </c>
      <c r="S72" s="15">
        <f>(1+R72)/(1+MAX(R$3:R72))-1</f>
        <v>-0.11776805077144181</v>
      </c>
      <c r="T72" s="58">
        <f t="shared" si="24"/>
        <v>1437.0629887945602</v>
      </c>
      <c r="U72" s="137"/>
      <c r="V72" s="70"/>
      <c r="W72" s="70"/>
      <c r="X72" s="70"/>
      <c r="Y72" s="70"/>
      <c r="Z72" s="70"/>
      <c r="AA72" s="70"/>
      <c r="AB72" s="70"/>
      <c r="AC72" s="81"/>
      <c r="AD72" s="81"/>
    </row>
    <row r="73" spans="1:30" s="61" customFormat="1" outlineLevel="1" x14ac:dyDescent="0.3">
      <c r="A73" s="61" t="s">
        <v>664</v>
      </c>
      <c r="B73" s="55" t="str">
        <f t="shared" si="20"/>
        <v>2023-11</v>
      </c>
      <c r="C73" s="121">
        <v>45231</v>
      </c>
      <c r="D73" s="149">
        <v>1.859449982643127</v>
      </c>
      <c r="E73" s="20">
        <f t="shared" si="25"/>
        <v>1.6153959908092208E-2</v>
      </c>
      <c r="F73" s="15">
        <f t="shared" si="17"/>
        <v>2.6124262223473416E-2</v>
      </c>
      <c r="G73" s="15">
        <f t="shared" si="21"/>
        <v>-8.7458119139092849E-2</v>
      </c>
      <c r="H73" s="13">
        <f>(1+G73)/(1+MAX(G$3:G73))-1</f>
        <v>-0.12276436526915102</v>
      </c>
      <c r="I73" s="149">
        <v>22.609710693359379</v>
      </c>
      <c r="J73" s="20">
        <f t="shared" si="26"/>
        <v>5.5573627329080999E-2</v>
      </c>
      <c r="K73" s="15">
        <f t="shared" si="18"/>
        <v>0.15702658418403037</v>
      </c>
      <c r="L73" s="15">
        <f t="shared" si="22"/>
        <v>0.87933463563476244</v>
      </c>
      <c r="M73" s="13">
        <f>(1+L73)/(1+MAX(L$3:L73))-1</f>
        <v>0</v>
      </c>
      <c r="N73" s="124"/>
      <c r="O73" s="150">
        <v>0</v>
      </c>
      <c r="P73" s="20">
        <f t="shared" si="27"/>
        <v>1.6153959908092208E-2</v>
      </c>
      <c r="Q73" s="15">
        <f t="shared" si="19"/>
        <v>0.11060578322097547</v>
      </c>
      <c r="R73" s="15">
        <f t="shared" si="23"/>
        <v>0.4602772467009506</v>
      </c>
      <c r="S73" s="15">
        <f>(1+R73)/(1+MAX(R$3:R73))-1</f>
        <v>-0.10351651123396555</v>
      </c>
      <c r="T73" s="58">
        <f t="shared" si="24"/>
        <v>1460.2772467009506</v>
      </c>
      <c r="U73" s="137"/>
      <c r="V73" s="70"/>
      <c r="W73" s="70"/>
      <c r="X73" s="70"/>
      <c r="Y73" s="70"/>
      <c r="Z73" s="70"/>
      <c r="AA73" s="70"/>
      <c r="AB73" s="70"/>
      <c r="AC73" s="81"/>
      <c r="AD73" s="81"/>
    </row>
    <row r="74" spans="1:30" s="27" customFormat="1" ht="15" thickBot="1" x14ac:dyDescent="0.35">
      <c r="A74" s="27" t="s">
        <v>664</v>
      </c>
      <c r="B74" s="63" t="str">
        <f t="shared" si="20"/>
        <v>2023-12</v>
      </c>
      <c r="C74" s="122">
        <v>45261</v>
      </c>
      <c r="D74" s="147">
        <v>1.902289986610413</v>
      </c>
      <c r="E74" s="32">
        <f t="shared" si="25"/>
        <v>2.303907304158348E-2</v>
      </c>
      <c r="F74" s="25">
        <f t="shared" si="17"/>
        <v>4.9765214050580875E-2</v>
      </c>
      <c r="G74" s="25">
        <f t="shared" si="21"/>
        <v>-6.6434000092434387E-2</v>
      </c>
      <c r="H74" s="26">
        <f>(1+G74)/(1+MAX(G$3:G74))-1</f>
        <v>-0.10255366940590716</v>
      </c>
      <c r="I74" s="147">
        <v>23.222370147705082</v>
      </c>
      <c r="J74" s="32">
        <f t="shared" si="26"/>
        <v>2.7097182385692697E-2</v>
      </c>
      <c r="K74" s="25">
        <f t="shared" si="18"/>
        <v>0.18837874456076009</v>
      </c>
      <c r="L74" s="25">
        <f t="shared" si="22"/>
        <v>0.93025930902030685</v>
      </c>
      <c r="M74" s="26">
        <f>(1+L74)/(1+MAX(L$3:L74))-1</f>
        <v>0</v>
      </c>
      <c r="N74" s="125"/>
      <c r="O74" s="151">
        <v>1</v>
      </c>
      <c r="P74" s="32">
        <f t="shared" si="27"/>
        <v>2.7097182385692697E-2</v>
      </c>
      <c r="Q74" s="25">
        <f t="shared" si="19"/>
        <v>0.14070007068751944</v>
      </c>
      <c r="R74" s="25">
        <f t="shared" si="23"/>
        <v>0.49984664558848335</v>
      </c>
      <c r="S74" s="25">
        <f>(1+R74)/(1+MAX(R$3:R74))-1</f>
        <v>-7.9224334633110294E-2</v>
      </c>
      <c r="T74" s="66">
        <f t="shared" si="24"/>
        <v>1499.8466455884834</v>
      </c>
      <c r="U74" s="138"/>
      <c r="V74" s="139"/>
      <c r="W74" s="139"/>
      <c r="X74" s="139"/>
      <c r="Y74" s="139"/>
      <c r="Z74" s="139"/>
      <c r="AA74" s="139"/>
      <c r="AB74" s="139"/>
      <c r="AC74" s="78"/>
      <c r="AD74" s="78"/>
    </row>
    <row r="75" spans="1:30" s="54" customFormat="1" outlineLevel="1" x14ac:dyDescent="0.3">
      <c r="A75" s="54" t="s">
        <v>664</v>
      </c>
      <c r="B75" s="48" t="str">
        <f t="shared" si="20"/>
        <v>2024-1</v>
      </c>
      <c r="C75" s="120">
        <v>45292</v>
      </c>
      <c r="D75" s="148">
        <v>1.8980400562286379</v>
      </c>
      <c r="E75" s="10">
        <f t="shared" si="25"/>
        <v>-2.2341127860047161E-3</v>
      </c>
      <c r="F75" s="5">
        <f>+E75</f>
        <v>-2.2341127860047161E-3</v>
      </c>
      <c r="G75" s="5">
        <f t="shared" si="21"/>
        <v>-6.8519691829407203E-2</v>
      </c>
      <c r="H75" s="3">
        <f>(1+G75)/(1+MAX(G$3:G75))-1</f>
        <v>-0.10455866572784045</v>
      </c>
      <c r="I75" s="148">
        <v>24.435810089111332</v>
      </c>
      <c r="J75" s="10">
        <f t="shared" si="26"/>
        <v>5.2253061754170993E-2</v>
      </c>
      <c r="K75" s="5">
        <f>+J75</f>
        <v>5.2253061754170993E-2</v>
      </c>
      <c r="L75" s="5">
        <f t="shared" si="22"/>
        <v>1.0311212678961086</v>
      </c>
      <c r="M75" s="3">
        <f>(1+L75)/(1+MAX(L$3:L75))-1</f>
        <v>0</v>
      </c>
      <c r="N75" s="124"/>
      <c r="O75" s="150">
        <v>1</v>
      </c>
      <c r="P75" s="10">
        <f t="shared" si="27"/>
        <v>5.2253061754170993E-2</v>
      </c>
      <c r="Q75" s="5">
        <f>+P75</f>
        <v>5.2253061754170993E-2</v>
      </c>
      <c r="R75" s="5">
        <f t="shared" si="23"/>
        <v>0.57821822498220454</v>
      </c>
      <c r="S75" s="5">
        <f>(1+R75)/(1+MAX(R$3:R75))-1</f>
        <v>-3.1110986928956308E-2</v>
      </c>
      <c r="T75" s="51">
        <f t="shared" si="24"/>
        <v>1578.2182249822047</v>
      </c>
      <c r="U75" s="137"/>
      <c r="V75" s="70"/>
      <c r="W75" s="70"/>
      <c r="X75" s="70"/>
      <c r="Y75" s="70"/>
      <c r="Z75" s="70"/>
      <c r="AA75" s="70"/>
      <c r="AB75" s="70"/>
      <c r="AC75" s="81"/>
      <c r="AD75" s="81"/>
    </row>
    <row r="76" spans="1:30" s="61" customFormat="1" outlineLevel="1" x14ac:dyDescent="0.3">
      <c r="A76" s="61" t="s">
        <v>664</v>
      </c>
      <c r="B76" s="55" t="str">
        <f t="shared" si="20"/>
        <v>2024-2</v>
      </c>
      <c r="C76" s="121">
        <v>45323</v>
      </c>
      <c r="D76" s="149">
        <v>1.879050016403198</v>
      </c>
      <c r="E76" s="20">
        <f t="shared" si="25"/>
        <v>-1.0005078535156198E-2</v>
      </c>
      <c r="F76" s="15">
        <f t="shared" si="17"/>
        <v>-1.2216838847280531E-2</v>
      </c>
      <c r="G76" s="15">
        <f t="shared" si="21"/>
        <v>-7.7839225466605488E-2</v>
      </c>
      <c r="H76" s="13">
        <f>(1+G76)/(1+MAX(G$3:G76))-1</f>
        <v>-0.1135176266008584</v>
      </c>
      <c r="I76" s="149">
        <v>25.652650833129879</v>
      </c>
      <c r="J76" s="20">
        <f t="shared" si="26"/>
        <v>4.9797438250708037E-2</v>
      </c>
      <c r="K76" s="15">
        <f t="shared" si="18"/>
        <v>0.1046525686209927</v>
      </c>
      <c r="L76" s="15">
        <f t="shared" si="22"/>
        <v>1.1322659038138649</v>
      </c>
      <c r="M76" s="13">
        <f>(1+L76)/(1+MAX(L$3:L76))-1</f>
        <v>0</v>
      </c>
      <c r="N76" s="124"/>
      <c r="O76" s="150">
        <v>1</v>
      </c>
      <c r="P76" s="20">
        <f t="shared" si="27"/>
        <v>4.9797438250708037E-2</v>
      </c>
      <c r="Q76" s="15">
        <f t="shared" si="19"/>
        <v>0.1046525686209927</v>
      </c>
      <c r="R76" s="15">
        <f t="shared" si="23"/>
        <v>0.65680944958689791</v>
      </c>
      <c r="S76" s="15">
        <f>(1+R76)/(1+MAX(R$3:R76))-1</f>
        <v>0</v>
      </c>
      <c r="T76" s="58">
        <f t="shared" si="24"/>
        <v>1656.8094495868982</v>
      </c>
      <c r="U76" s="137"/>
      <c r="V76" s="70"/>
      <c r="W76" s="70"/>
      <c r="X76" s="70"/>
      <c r="Y76" s="70"/>
      <c r="Z76" s="70"/>
      <c r="AA76" s="70"/>
      <c r="AB76" s="70"/>
      <c r="AC76" s="81"/>
      <c r="AD76" s="81"/>
    </row>
    <row r="77" spans="1:30" s="61" customFormat="1" outlineLevel="1" x14ac:dyDescent="0.3">
      <c r="A77" s="61" t="s">
        <v>664</v>
      </c>
      <c r="B77" s="55" t="str">
        <f t="shared" si="20"/>
        <v>2024-3</v>
      </c>
      <c r="C77" s="121">
        <v>45352</v>
      </c>
      <c r="D77" s="149">
        <v>1.894070029258728</v>
      </c>
      <c r="E77" s="20">
        <f t="shared" si="25"/>
        <v>7.9934076924044195E-3</v>
      </c>
      <c r="F77" s="15">
        <f t="shared" si="17"/>
        <v>-4.3210853284948447E-3</v>
      </c>
      <c r="G77" s="15">
        <f t="shared" si="21"/>
        <v>-7.0468018437816582E-2</v>
      </c>
      <c r="H77" s="13">
        <f>(1+G77)/(1+MAX(G$3:G77))-1</f>
        <v>-0.10643161157814873</v>
      </c>
      <c r="I77" s="149">
        <v>26.47252082824707</v>
      </c>
      <c r="J77" s="20">
        <f t="shared" si="26"/>
        <v>3.1960439505859695E-2</v>
      </c>
      <c r="K77" s="15">
        <f t="shared" si="18"/>
        <v>0.13995775021539636</v>
      </c>
      <c r="L77" s="15">
        <f t="shared" si="22"/>
        <v>1.2004140592431152</v>
      </c>
      <c r="M77" s="13">
        <f>(1+L77)/(1+MAX(L$3:L77))-1</f>
        <v>0</v>
      </c>
      <c r="N77" s="124"/>
      <c r="O77" s="150">
        <v>1</v>
      </c>
      <c r="P77" s="20">
        <f t="shared" si="27"/>
        <v>3.1960439505859695E-2</v>
      </c>
      <c r="Q77" s="15">
        <f t="shared" si="19"/>
        <v>0.13995775021539636</v>
      </c>
      <c r="R77" s="15">
        <f t="shared" si="23"/>
        <v>0.70976180777315667</v>
      </c>
      <c r="S77" s="15">
        <f>(1+R77)/(1+MAX(R$3:R77))-1</f>
        <v>0</v>
      </c>
      <c r="T77" s="58">
        <f t="shared" si="24"/>
        <v>1709.761807773157</v>
      </c>
      <c r="U77" s="137"/>
      <c r="V77" s="70"/>
      <c r="W77" s="70"/>
      <c r="X77" s="70"/>
      <c r="Y77" s="70"/>
      <c r="Z77" s="70"/>
      <c r="AA77" s="70"/>
      <c r="AB77" s="70"/>
      <c r="AC77" s="81"/>
      <c r="AD77" s="81"/>
    </row>
    <row r="78" spans="1:30" s="61" customFormat="1" outlineLevel="1" x14ac:dyDescent="0.3">
      <c r="A78" s="61" t="s">
        <v>664</v>
      </c>
      <c r="B78" s="55" t="str">
        <f t="shared" si="20"/>
        <v>2024-4</v>
      </c>
      <c r="C78" s="121">
        <v>45383</v>
      </c>
      <c r="D78" s="149">
        <v>1.87732994556427</v>
      </c>
      <c r="E78" s="20">
        <f t="shared" si="25"/>
        <v>-8.838154574997148E-3</v>
      </c>
      <c r="F78" s="15">
        <f t="shared" si="17"/>
        <v>-1.3121049483426961E-2</v>
      </c>
      <c r="G78" s="15">
        <f t="shared" si="21"/>
        <v>-7.8683365773266511E-2</v>
      </c>
      <c r="H78" s="13">
        <f>(1+G78)/(1+MAX(G$3:G78))-1</f>
        <v>-0.1143291071183522</v>
      </c>
      <c r="I78" s="149">
        <v>25.727949142456051</v>
      </c>
      <c r="J78" s="20">
        <f t="shared" si="26"/>
        <v>-2.8126210217069181E-2</v>
      </c>
      <c r="K78" s="15">
        <f t="shared" si="18"/>
        <v>0.10789505889426088</v>
      </c>
      <c r="L78" s="15">
        <f t="shared" si="22"/>
        <v>1.1385247508482488</v>
      </c>
      <c r="M78" s="13">
        <f>(1+L78)/(1+MAX(L$3:L78))-1</f>
        <v>-2.8126210217069181E-2</v>
      </c>
      <c r="N78" s="124"/>
      <c r="O78" s="150">
        <v>1</v>
      </c>
      <c r="P78" s="20">
        <f t="shared" si="27"/>
        <v>-2.8126210217069181E-2</v>
      </c>
      <c r="Q78" s="15">
        <f t="shared" si="19"/>
        <v>0.10789505889426088</v>
      </c>
      <c r="R78" s="15">
        <f t="shared" si="23"/>
        <v>0.66167268774661259</v>
      </c>
      <c r="S78" s="15">
        <f>(1+R78)/(1+MAX(R$3:R78))-1</f>
        <v>-2.8126210217069181E-2</v>
      </c>
      <c r="T78" s="58">
        <f t="shared" si="24"/>
        <v>1661.6726877466128</v>
      </c>
      <c r="U78" s="137"/>
      <c r="V78" s="70"/>
      <c r="W78" s="70"/>
      <c r="X78" s="70"/>
      <c r="Y78" s="70"/>
      <c r="Z78" s="70"/>
      <c r="AA78" s="70"/>
      <c r="AB78" s="70"/>
      <c r="AC78" s="81"/>
      <c r="AD78" s="81"/>
    </row>
    <row r="79" spans="1:30" s="61" customFormat="1" outlineLevel="1" x14ac:dyDescent="0.3">
      <c r="A79" s="61" t="s">
        <v>664</v>
      </c>
      <c r="B79" s="55" t="str">
        <f t="shared" si="20"/>
        <v>2024-5</v>
      </c>
      <c r="C79" s="121">
        <v>45413</v>
      </c>
      <c r="D79" s="149">
        <v>1.8787800073623659</v>
      </c>
      <c r="E79" s="20">
        <f t="shared" si="25"/>
        <v>7.7240647096799009E-4</v>
      </c>
      <c r="F79" s="15">
        <f t="shared" si="17"/>
        <v>-1.235877779598582E-2</v>
      </c>
      <c r="G79" s="15">
        <f t="shared" si="21"/>
        <v>-7.7971734843179319E-2</v>
      </c>
      <c r="H79" s="13">
        <f>(1+G79)/(1+MAX(G$3:G79))-1</f>
        <v>-0.11364500918954235</v>
      </c>
      <c r="I79" s="149">
        <v>26.448469161987301</v>
      </c>
      <c r="J79" s="20">
        <f t="shared" si="26"/>
        <v>2.8005342188050841E-2</v>
      </c>
      <c r="K79" s="15">
        <f t="shared" si="18"/>
        <v>0.13892203912704537</v>
      </c>
      <c r="L79" s="15">
        <f t="shared" si="22"/>
        <v>1.1984148682733702</v>
      </c>
      <c r="M79" s="13">
        <f>(1+L79)/(1+MAX(L$3:L79))-1</f>
        <v>-9.0855217060037408E-4</v>
      </c>
      <c r="N79" s="124"/>
      <c r="O79" s="150">
        <v>1</v>
      </c>
      <c r="P79" s="20">
        <f t="shared" si="27"/>
        <v>2.8005342188050841E-2</v>
      </c>
      <c r="Q79" s="15">
        <f t="shared" si="19"/>
        <v>0.13892203912704537</v>
      </c>
      <c r="R79" s="15">
        <f t="shared" si="23"/>
        <v>0.70820839997149454</v>
      </c>
      <c r="S79" s="15">
        <f>(1+R79)/(1+MAX(R$3:R79))-1</f>
        <v>-9.085521706004851E-4</v>
      </c>
      <c r="T79" s="58">
        <f t="shared" si="24"/>
        <v>1708.2083999714948</v>
      </c>
      <c r="U79" s="137"/>
      <c r="V79" s="70"/>
      <c r="W79" s="70"/>
      <c r="X79" s="70"/>
      <c r="Y79" s="70"/>
      <c r="Z79" s="70"/>
      <c r="AA79" s="70"/>
      <c r="AB79" s="70"/>
      <c r="AC79" s="81"/>
      <c r="AD79" s="81"/>
    </row>
    <row r="80" spans="1:30" s="61" customFormat="1" outlineLevel="1" x14ac:dyDescent="0.3">
      <c r="A80" s="61" t="s">
        <v>664</v>
      </c>
      <c r="B80" s="55" t="str">
        <f t="shared" si="20"/>
        <v>2024-6</v>
      </c>
      <c r="C80" s="121">
        <v>45444</v>
      </c>
      <c r="D80" s="149">
        <v>1.8838299512863159</v>
      </c>
      <c r="E80" s="20">
        <f t="shared" si="25"/>
        <v>2.6878846401179324E-3</v>
      </c>
      <c r="F80" s="15">
        <f t="shared" si="17"/>
        <v>-9.7041121248763185E-3</v>
      </c>
      <c r="G80" s="15">
        <f t="shared" si="21"/>
        <v>-7.5493429231509701E-2</v>
      </c>
      <c r="H80" s="13">
        <f>(1+G80)/(1+MAX(G$3:G80))-1</f>
        <v>-0.11126258922405108</v>
      </c>
      <c r="I80" s="149">
        <v>27.870920181274411</v>
      </c>
      <c r="J80" s="20">
        <f t="shared" si="26"/>
        <v>5.3781979235739907E-2</v>
      </c>
      <c r="K80" s="15">
        <f t="shared" si="18"/>
        <v>0.20017552058650279</v>
      </c>
      <c r="L80" s="15">
        <f t="shared" si="22"/>
        <v>1.3166499710703903</v>
      </c>
      <c r="M80" s="13">
        <f>(1+L80)/(1+MAX(L$3:L80))-1</f>
        <v>0</v>
      </c>
      <c r="N80" s="124"/>
      <c r="O80" s="150">
        <v>1</v>
      </c>
      <c r="P80" s="20">
        <f t="shared" si="27"/>
        <v>5.3781979235739907E-2</v>
      </c>
      <c r="Q80" s="15">
        <f t="shared" si="19"/>
        <v>0.20017552058650279</v>
      </c>
      <c r="R80" s="15">
        <f t="shared" si="23"/>
        <v>0.80007922866907788</v>
      </c>
      <c r="S80" s="15">
        <f>(1+R80)/(1+MAX(R$3:R80))-1</f>
        <v>0</v>
      </c>
      <c r="T80" s="58">
        <f t="shared" si="24"/>
        <v>1800.0792286690782</v>
      </c>
      <c r="U80" s="137"/>
      <c r="V80" s="70"/>
      <c r="W80" s="70"/>
      <c r="X80" s="70"/>
      <c r="Y80" s="70"/>
      <c r="Z80" s="70"/>
      <c r="AA80" s="70"/>
      <c r="AB80" s="70"/>
      <c r="AC80" s="81"/>
      <c r="AD80" s="81"/>
    </row>
    <row r="81" spans="1:30" s="61" customFormat="1" outlineLevel="1" x14ac:dyDescent="0.3">
      <c r="A81" s="61" t="s">
        <v>664</v>
      </c>
      <c r="B81" s="55" t="str">
        <f t="shared" si="20"/>
        <v>2024-7</v>
      </c>
      <c r="C81" s="121">
        <v>45474</v>
      </c>
      <c r="D81" s="149">
        <v>1.915709972381592</v>
      </c>
      <c r="E81" s="20">
        <f t="shared" si="25"/>
        <v>1.6922982392072017E-2</v>
      </c>
      <c r="F81" s="15">
        <f t="shared" si="17"/>
        <v>7.0546477485757819E-3</v>
      </c>
      <c r="G81" s="15">
        <f t="shared" si="21"/>
        <v>-5.9848020813039637E-2</v>
      </c>
      <c r="H81" s="13">
        <f>(1+G81)/(1+MAX(G$3:G81))-1</f>
        <v>-9.6222501670313987E-2</v>
      </c>
      <c r="I81" s="149">
        <v>27.758760452270511</v>
      </c>
      <c r="J81" s="20">
        <f t="shared" si="26"/>
        <v>-4.0242564032476613E-3</v>
      </c>
      <c r="K81" s="15">
        <f t="shared" si="18"/>
        <v>0.19534570656276151</v>
      </c>
      <c r="L81" s="15">
        <f t="shared" si="22"/>
        <v>1.3073271775902269</v>
      </c>
      <c r="M81" s="13">
        <f>(1+L81)/(1+MAX(L$3:L81))-1</f>
        <v>-4.0242564032476613E-3</v>
      </c>
      <c r="N81" s="124"/>
      <c r="O81" s="150">
        <v>1</v>
      </c>
      <c r="P81" s="20">
        <f t="shared" si="27"/>
        <v>-4.0242564032476613E-3</v>
      </c>
      <c r="Q81" s="15">
        <f t="shared" si="19"/>
        <v>0.19534570656276151</v>
      </c>
      <c r="R81" s="15">
        <f t="shared" si="23"/>
        <v>0.79283524830675334</v>
      </c>
      <c r="S81" s="15">
        <f>(1+R81)/(1+MAX(R$3:R81))-1</f>
        <v>-4.0242564032475503E-3</v>
      </c>
      <c r="T81" s="58">
        <f t="shared" si="24"/>
        <v>1792.8352483067536</v>
      </c>
      <c r="U81" s="137"/>
      <c r="V81" s="70"/>
      <c r="W81" s="70"/>
      <c r="X81" s="70"/>
      <c r="Y81" s="70"/>
      <c r="Z81" s="70"/>
      <c r="AA81" s="70"/>
      <c r="AB81" s="70"/>
      <c r="AC81" s="81"/>
      <c r="AD81" s="81"/>
    </row>
    <row r="82" spans="1:30" s="61" customFormat="1" outlineLevel="1" x14ac:dyDescent="0.3">
      <c r="A82" s="61" t="s">
        <v>664</v>
      </c>
      <c r="B82" s="55" t="str">
        <f t="shared" si="20"/>
        <v>2024-8</v>
      </c>
      <c r="C82" s="121">
        <v>45505</v>
      </c>
      <c r="D82" s="149">
        <v>1.924039959907532</v>
      </c>
      <c r="E82" s="20">
        <f t="shared" si="25"/>
        <v>4.3482508553129851E-3</v>
      </c>
      <c r="F82" s="15">
        <f t="shared" si="17"/>
        <v>1.1433573981995515E-2</v>
      </c>
      <c r="G82" s="15">
        <f t="shared" si="21"/>
        <v>-5.5760004165415711E-2</v>
      </c>
      <c r="H82" s="13">
        <f>(1+G82)/(1+MAX(G$3:G82))-1</f>
        <v>-9.229265039018919E-2</v>
      </c>
      <c r="I82" s="149">
        <v>28.008119583129879</v>
      </c>
      <c r="J82" s="20">
        <f t="shared" si="26"/>
        <v>8.9830787397053857E-3</v>
      </c>
      <c r="K82" s="15">
        <f t="shared" si="18"/>
        <v>0.20608359116598352</v>
      </c>
      <c r="L82" s="15">
        <f t="shared" si="22"/>
        <v>1.3280540793047821</v>
      </c>
      <c r="M82" s="13">
        <f>(1+L82)/(1+MAX(L$3:L82))-1</f>
        <v>0</v>
      </c>
      <c r="N82" s="124"/>
      <c r="O82" s="150">
        <v>1</v>
      </c>
      <c r="P82" s="20">
        <f t="shared" si="27"/>
        <v>8.9830787397053857E-3</v>
      </c>
      <c r="Q82" s="15">
        <f t="shared" si="19"/>
        <v>0.20608359116598352</v>
      </c>
      <c r="R82" s="15">
        <f t="shared" si="23"/>
        <v>0.80894042850961223</v>
      </c>
      <c r="S82" s="15">
        <f>(1+R82)/(1+MAX(R$3:R82))-1</f>
        <v>0</v>
      </c>
      <c r="T82" s="58">
        <f t="shared" si="24"/>
        <v>1808.9404285096123</v>
      </c>
      <c r="U82" s="137"/>
      <c r="V82" s="70"/>
      <c r="W82" s="70"/>
      <c r="X82" s="70"/>
      <c r="Y82" s="70"/>
      <c r="Z82" s="70"/>
      <c r="AA82" s="70"/>
      <c r="AB82" s="70"/>
      <c r="AC82" s="81"/>
      <c r="AD82" s="81"/>
    </row>
    <row r="83" spans="1:30" s="61" customFormat="1" outlineLevel="1" x14ac:dyDescent="0.3">
      <c r="A83" s="61" t="s">
        <v>664</v>
      </c>
      <c r="B83" s="55" t="str">
        <f t="shared" si="20"/>
        <v>2024-9</v>
      </c>
      <c r="C83" s="121">
        <v>45536</v>
      </c>
      <c r="D83" s="149">
        <v>1.9445400238037109</v>
      </c>
      <c r="E83" s="20">
        <f t="shared" si="25"/>
        <v>1.0654697575597227E-2</v>
      </c>
      <c r="F83" s="15">
        <f t="shared" si="17"/>
        <v>2.2210092830579065E-2</v>
      </c>
      <c r="G83" s="15">
        <f t="shared" si="21"/>
        <v>-4.5699412571015063E-2</v>
      </c>
      <c r="H83" s="13">
        <f>(1+G83)/(1+MAX(G$3:G83))-1</f>
        <v>-8.2621303092949794E-2</v>
      </c>
      <c r="I83" s="149">
        <v>28.203239440917969</v>
      </c>
      <c r="J83" s="20">
        <f t="shared" si="26"/>
        <v>6.9665461549091034E-3</v>
      </c>
      <c r="K83" s="15">
        <f t="shared" si="18"/>
        <v>0.21448582817051975</v>
      </c>
      <c r="L83" s="15">
        <f t="shared" si="22"/>
        <v>1.3442725754993834</v>
      </c>
      <c r="M83" s="13">
        <f>(1+L83)/(1+MAX(L$3:L83))-1</f>
        <v>0</v>
      </c>
      <c r="N83" s="124"/>
      <c r="O83" s="150">
        <v>1</v>
      </c>
      <c r="P83" s="20">
        <f t="shared" si="27"/>
        <v>6.9665461549091034E-3</v>
      </c>
      <c r="Q83" s="15">
        <f t="shared" si="19"/>
        <v>0.21448582817051975</v>
      </c>
      <c r="R83" s="15">
        <f t="shared" si="23"/>
        <v>0.82154249549630554</v>
      </c>
      <c r="S83" s="15">
        <f>(1+R83)/(1+MAX(R$3:R83))-1</f>
        <v>0</v>
      </c>
      <c r="T83" s="58">
        <f t="shared" si="24"/>
        <v>1821.5424954963055</v>
      </c>
      <c r="U83" s="137"/>
      <c r="V83" s="70"/>
      <c r="W83" s="70"/>
      <c r="X83" s="70"/>
      <c r="Y83" s="70"/>
      <c r="Z83" s="70"/>
      <c r="AA83" s="70"/>
      <c r="AB83" s="70"/>
      <c r="AC83" s="81"/>
      <c r="AD83" s="81"/>
    </row>
    <row r="84" spans="1:30" s="61" customFormat="1" outlineLevel="1" x14ac:dyDescent="0.3">
      <c r="A84" s="61" t="s">
        <v>664</v>
      </c>
      <c r="B84" s="55" t="str">
        <f t="shared" si="20"/>
        <v>2024-10</v>
      </c>
      <c r="C84" s="121">
        <v>45566</v>
      </c>
      <c r="D84" s="149">
        <v>1.929659962654114</v>
      </c>
      <c r="E84" s="20">
        <f t="shared" si="25"/>
        <v>-7.6522267309726555E-3</v>
      </c>
      <c r="F84" s="15">
        <f t="shared" si="17"/>
        <v>1.4387909433550838E-2</v>
      </c>
      <c r="G84" s="15">
        <f t="shared" si="21"/>
        <v>-5.3001937035522029E-2</v>
      </c>
      <c r="H84" s="13">
        <f>(1+G84)/(1+MAX(G$3:G84))-1</f>
        <v>-8.964129287984679E-2</v>
      </c>
      <c r="I84" s="149">
        <v>28.532260894775391</v>
      </c>
      <c r="J84" s="20">
        <f t="shared" si="26"/>
        <v>1.1666087314071705E-2</v>
      </c>
      <c r="K84" s="15">
        <f t="shared" si="18"/>
        <v>0.22865412588365963</v>
      </c>
      <c r="L84" s="15">
        <f t="shared" si="22"/>
        <v>1.371621064053143</v>
      </c>
      <c r="M84" s="13">
        <f>(1+L84)/(1+MAX(L$3:L84))-1</f>
        <v>0</v>
      </c>
      <c r="N84" s="124"/>
      <c r="O84" s="150">
        <v>1</v>
      </c>
      <c r="P84" s="20">
        <f t="shared" si="27"/>
        <v>1.1666087314071705E-2</v>
      </c>
      <c r="Q84" s="15">
        <f t="shared" si="19"/>
        <v>0.22865412588365963</v>
      </c>
      <c r="R84" s="15">
        <f t="shared" si="23"/>
        <v>0.84279276929505742</v>
      </c>
      <c r="S84" s="15">
        <f>(1+R84)/(1+MAX(R$3:R84))-1</f>
        <v>0</v>
      </c>
      <c r="T84" s="58">
        <f t="shared" si="24"/>
        <v>1842.7927692950575</v>
      </c>
      <c r="U84" s="137"/>
      <c r="V84" s="70"/>
      <c r="W84" s="70"/>
      <c r="X84" s="70"/>
      <c r="Y84" s="70"/>
      <c r="Z84" s="70"/>
      <c r="AA84" s="70"/>
      <c r="AB84" s="70"/>
      <c r="AC84" s="81"/>
      <c r="AD84" s="81"/>
    </row>
    <row r="85" spans="1:30" s="61" customFormat="1" outlineLevel="1" x14ac:dyDescent="0.3">
      <c r="A85" s="61" t="s">
        <v>664</v>
      </c>
      <c r="B85" s="55" t="str">
        <f t="shared" si="20"/>
        <v>2024-11</v>
      </c>
      <c r="C85" s="121">
        <v>45597</v>
      </c>
      <c r="D85" s="149">
        <v>1.957810044288635</v>
      </c>
      <c r="E85" s="20">
        <f t="shared" si="25"/>
        <v>1.4588104733127549E-2</v>
      </c>
      <c r="F85" s="15">
        <f t="shared" si="17"/>
        <v>2.918590649638575E-2</v>
      </c>
      <c r="G85" s="15">
        <f t="shared" si="21"/>
        <v>-3.9187030110927279E-2</v>
      </c>
      <c r="H85" s="13">
        <f>(1+G85)/(1+MAX(G$3:G85))-1</f>
        <v>-7.636088471566338E-2</v>
      </c>
      <c r="I85" s="149">
        <v>30.956659317016602</v>
      </c>
      <c r="J85" s="20">
        <f t="shared" si="26"/>
        <v>8.4970428077262738E-2</v>
      </c>
      <c r="K85" s="15">
        <f t="shared" si="18"/>
        <v>0.33305339291888925</v>
      </c>
      <c r="L85" s="15">
        <f t="shared" si="22"/>
        <v>1.5731387211027918</v>
      </c>
      <c r="M85" s="13">
        <f>(1+L85)/(1+MAX(L$3:L85))-1</f>
        <v>0</v>
      </c>
      <c r="N85" s="124"/>
      <c r="O85" s="150">
        <v>1</v>
      </c>
      <c r="P85" s="20">
        <f t="shared" si="27"/>
        <v>8.4970428077262738E-2</v>
      </c>
      <c r="Q85" s="15">
        <f t="shared" si="19"/>
        <v>0.33305339291888925</v>
      </c>
      <c r="R85" s="15">
        <f t="shared" si="23"/>
        <v>0.99937565975974296</v>
      </c>
      <c r="S85" s="15">
        <f>(1+R85)/(1+MAX(R$3:R85))-1</f>
        <v>0</v>
      </c>
      <c r="T85" s="58">
        <f t="shared" si="24"/>
        <v>1999.375659759743</v>
      </c>
      <c r="U85" s="137"/>
      <c r="V85" s="70"/>
      <c r="W85" s="70"/>
      <c r="X85" s="70"/>
      <c r="Y85" s="70"/>
      <c r="Z85" s="70"/>
      <c r="AA85" s="70"/>
      <c r="AB85" s="70"/>
      <c r="AC85" s="81"/>
      <c r="AD85" s="81"/>
    </row>
    <row r="86" spans="1:30" s="27" customFormat="1" ht="15" thickBot="1" x14ac:dyDescent="0.35">
      <c r="A86" s="27" t="s">
        <v>664</v>
      </c>
      <c r="B86" s="63" t="str">
        <f t="shared" si="20"/>
        <v>2024-12</v>
      </c>
      <c r="C86" s="122">
        <v>45627</v>
      </c>
      <c r="D86" s="147">
        <v>1.945909976959229</v>
      </c>
      <c r="E86" s="32">
        <f t="shared" si="25"/>
        <v>-6.0782543046610238E-3</v>
      </c>
      <c r="F86" s="25">
        <f t="shared" si="17"/>
        <v>2.2930252829927555E-2</v>
      </c>
      <c r="G86" s="25">
        <f t="shared" si="21"/>
        <v>-4.5027095681129725E-2</v>
      </c>
      <c r="H86" s="26">
        <f>(1+G86)/(1+MAX(G$3:G86))-1</f>
        <v>-8.1974998144093814E-2</v>
      </c>
      <c r="I86" s="147">
        <v>30.69264030456543</v>
      </c>
      <c r="J86" s="32">
        <f t="shared" si="26"/>
        <v>-8.5286661505508121E-3</v>
      </c>
      <c r="K86" s="25">
        <f t="shared" si="18"/>
        <v>0.3216842255698249</v>
      </c>
      <c r="L86" s="25">
        <f t="shared" si="22"/>
        <v>1.551193279991451</v>
      </c>
      <c r="M86" s="26">
        <f>(1+L86)/(1+MAX(L$3:L86))-1</f>
        <v>-8.5286661505508121E-3</v>
      </c>
      <c r="N86" s="125"/>
      <c r="O86" s="151">
        <v>1</v>
      </c>
      <c r="P86" s="32">
        <f t="shared" si="27"/>
        <v>-8.5286661505508121E-3</v>
      </c>
      <c r="Q86" s="25">
        <f t="shared" si="19"/>
        <v>0.3216842255698249</v>
      </c>
      <c r="R86" s="25">
        <f t="shared" si="23"/>
        <v>0.98232365224811491</v>
      </c>
      <c r="S86" s="25">
        <f>(1+R86)/(1+MAX(R$3:R86))-1</f>
        <v>-8.5286661505508121E-3</v>
      </c>
      <c r="T86" s="66">
        <f t="shared" si="24"/>
        <v>1982.323652248115</v>
      </c>
      <c r="U86" s="138"/>
      <c r="V86" s="139"/>
      <c r="W86" s="139"/>
      <c r="X86" s="139"/>
      <c r="Y86" s="139"/>
      <c r="Z86" s="139"/>
      <c r="AA86" s="139"/>
      <c r="AB86" s="139"/>
      <c r="AC86" s="78"/>
      <c r="AD86" s="78"/>
    </row>
    <row r="87" spans="1:30" s="54" customFormat="1" outlineLevel="1" x14ac:dyDescent="0.3">
      <c r="A87" s="54" t="s">
        <v>664</v>
      </c>
      <c r="B87" s="48" t="str">
        <f t="shared" si="20"/>
        <v>2025-1</v>
      </c>
      <c r="C87" s="120">
        <v>45658</v>
      </c>
      <c r="D87" s="148">
        <v>1.9470000267028811</v>
      </c>
      <c r="E87" s="10">
        <f t="shared" si="25"/>
        <v>5.601748059052003E-4</v>
      </c>
      <c r="F87" s="5">
        <f>+E87</f>
        <v>5.601748059052003E-4</v>
      </c>
      <c r="G87" s="5">
        <f t="shared" si="21"/>
        <v>-4.4492143919808158E-2</v>
      </c>
      <c r="H87" s="3">
        <f>(1+G87)/(1+MAX(G$3:G87))-1</f>
        <v>-8.1460743666862956E-2</v>
      </c>
      <c r="I87" s="148">
        <v>31.723390579223629</v>
      </c>
      <c r="J87" s="10">
        <f t="shared" si="26"/>
        <v>3.3582978343667635E-2</v>
      </c>
      <c r="K87" s="5">
        <f>+J87</f>
        <v>3.3582978343667635E-2</v>
      </c>
      <c r="L87" s="5">
        <f t="shared" si="22"/>
        <v>1.6368699486639144</v>
      </c>
      <c r="M87" s="3">
        <f>(1+L87)/(1+MAX(L$3:L87))-1</f>
        <v>0</v>
      </c>
      <c r="N87" s="124"/>
      <c r="O87" s="150">
        <v>1</v>
      </c>
      <c r="P87" s="10">
        <f t="shared" si="27"/>
        <v>3.3582978343667635E-2</v>
      </c>
      <c r="Q87" s="5">
        <f>+P87</f>
        <v>3.3582978343667635E-2</v>
      </c>
      <c r="R87" s="5">
        <f t="shared" si="23"/>
        <v>1.0488959845317036</v>
      </c>
      <c r="S87" s="5">
        <f>(1+R87)/(1+MAX(R$3:R87))-1</f>
        <v>0</v>
      </c>
      <c r="T87" s="51">
        <f t="shared" si="24"/>
        <v>2048.8959845317036</v>
      </c>
      <c r="U87" s="137"/>
      <c r="V87" s="70"/>
      <c r="W87" s="70"/>
      <c r="X87" s="70"/>
      <c r="Y87" s="70"/>
      <c r="Z87" s="70"/>
      <c r="AA87" s="70"/>
      <c r="AB87" s="70"/>
      <c r="AC87" s="81"/>
      <c r="AD87" s="81"/>
    </row>
    <row r="88" spans="1:30" s="61" customFormat="1" outlineLevel="1" x14ac:dyDescent="0.3">
      <c r="A88" s="61" t="s">
        <v>664</v>
      </c>
      <c r="B88" s="55" t="str">
        <f t="shared" si="20"/>
        <v>2025-2</v>
      </c>
      <c r="C88" s="121">
        <v>45689</v>
      </c>
      <c r="D88" s="149">
        <v>1.9545600414276121</v>
      </c>
      <c r="E88" s="20">
        <f t="shared" si="25"/>
        <v>3.8829042737782427E-3</v>
      </c>
      <c r="F88" s="15">
        <f t="shared" si="17"/>
        <v>4.4452541848314375E-3</v>
      </c>
      <c r="G88" s="15">
        <f t="shared" si="21"/>
        <v>-4.078199838180574E-2</v>
      </c>
      <c r="H88" s="13">
        <f>(1+G88)/(1+MAX(G$3:G88))-1</f>
        <v>-7.7894143662813997E-2</v>
      </c>
      <c r="I88" s="149">
        <v>30.975419998168949</v>
      </c>
      <c r="J88" s="20">
        <f t="shared" si="26"/>
        <v>-2.3577888977117878E-2</v>
      </c>
      <c r="K88" s="15">
        <f t="shared" si="18"/>
        <v>9.2132736316417052E-3</v>
      </c>
      <c r="L88" s="15">
        <f t="shared" si="22"/>
        <v>1.5746981217672182</v>
      </c>
      <c r="M88" s="13">
        <f>(1+L88)/(1+MAX(L$3:L88))-1</f>
        <v>-2.3577888977117878E-2</v>
      </c>
      <c r="N88" s="124"/>
      <c r="O88" s="150">
        <v>1</v>
      </c>
      <c r="P88" s="20">
        <f t="shared" si="27"/>
        <v>-2.3577888977117878E-2</v>
      </c>
      <c r="Q88" s="15">
        <f t="shared" si="19"/>
        <v>9.2132736316417052E-3</v>
      </c>
      <c r="R88" s="15">
        <f t="shared" si="23"/>
        <v>1.0005873424827523</v>
      </c>
      <c r="S88" s="15">
        <f>(1+R88)/(1+MAX(R$3:R88))-1</f>
        <v>-2.3577888977117989E-2</v>
      </c>
      <c r="T88" s="58">
        <f t="shared" si="24"/>
        <v>2000.5873424827523</v>
      </c>
      <c r="U88" s="137"/>
      <c r="V88" s="70"/>
      <c r="W88" s="70"/>
      <c r="X88" s="70"/>
      <c r="Y88" s="70"/>
      <c r="Z88" s="70"/>
      <c r="AA88" s="70"/>
      <c r="AB88" s="70"/>
      <c r="AC88" s="81"/>
      <c r="AD88" s="81"/>
    </row>
    <row r="89" spans="1:30" s="61" customFormat="1" outlineLevel="1" x14ac:dyDescent="0.3">
      <c r="A89" s="61" t="s">
        <v>664</v>
      </c>
      <c r="B89" s="55" t="str">
        <f t="shared" si="20"/>
        <v>2025-3</v>
      </c>
      <c r="C89" s="121">
        <v>45717</v>
      </c>
      <c r="D89" s="157">
        <v>1.945359945297241</v>
      </c>
      <c r="E89" s="20">
        <f t="shared" si="25"/>
        <v>-4.7069907986307946E-3</v>
      </c>
      <c r="F89" s="15">
        <f t="shared" si="17"/>
        <v>-2.8266038434487939E-4</v>
      </c>
      <c r="G89" s="15">
        <f t="shared" si="21"/>
        <v>-4.5297028689303631E-2</v>
      </c>
      <c r="H89" s="13">
        <f>(1+G89)/(1+MAX(G$3:G89))-1</f>
        <v>-8.2234487443956783E-2</v>
      </c>
      <c r="I89" s="157">
        <v>27.512760162353519</v>
      </c>
      <c r="J89" s="20">
        <f t="shared" si="26"/>
        <v>-0.1117873409309742</v>
      </c>
      <c r="K89" s="15">
        <f t="shared" si="18"/>
        <v>-0.10360399465988313</v>
      </c>
      <c r="L89" s="15">
        <f t="shared" si="22"/>
        <v>1.2868794650348874</v>
      </c>
      <c r="M89" s="13">
        <f>(1+L89)/(1+MAX(L$3:L89))-1</f>
        <v>-0.13272952039457431</v>
      </c>
      <c r="N89" s="124"/>
      <c r="O89" s="150">
        <v>0</v>
      </c>
      <c r="P89" s="20">
        <f t="shared" si="27"/>
        <v>-4.7069907986307946E-3</v>
      </c>
      <c r="Q89" s="15">
        <f t="shared" si="19"/>
        <v>4.4629160388014455E-3</v>
      </c>
      <c r="R89" s="15">
        <f t="shared" si="23"/>
        <v>0.99117059626982873</v>
      </c>
      <c r="S89" s="15">
        <f>(1+R89)/(1+MAX(R$3:R89))-1</f>
        <v>-2.8173898869282343E-2</v>
      </c>
      <c r="T89" s="58">
        <f t="shared" si="24"/>
        <v>1991.1705962698288</v>
      </c>
      <c r="U89" s="137"/>
      <c r="V89" s="70"/>
      <c r="W89" s="70"/>
      <c r="X89" s="70"/>
      <c r="Y89" s="70"/>
      <c r="Z89" s="70"/>
      <c r="AA89" s="70"/>
      <c r="AB89" s="70"/>
      <c r="AC89" s="81"/>
      <c r="AD89" s="81"/>
    </row>
    <row r="90" spans="1:30" s="61" customFormat="1" outlineLevel="1" x14ac:dyDescent="0.3">
      <c r="A90" s="61" t="s">
        <v>664</v>
      </c>
      <c r="B90" s="55" t="str">
        <f t="shared" si="20"/>
        <v>2025-4</v>
      </c>
      <c r="C90" s="121">
        <v>45748</v>
      </c>
      <c r="D90" s="157">
        <v>1.9698899984359739</v>
      </c>
      <c r="E90" s="20">
        <f t="shared" si="25"/>
        <v>1.2609518972585221E-2</v>
      </c>
      <c r="F90" s="15">
        <f t="shared" si="17"/>
        <v>1.2323294376761051E-2</v>
      </c>
      <c r="G90" s="15">
        <f t="shared" si="21"/>
        <v>-3.325868345937788E-2</v>
      </c>
      <c r="H90" s="13">
        <f>(1+G90)/(1+MAX(G$3:G90))-1</f>
        <v>-7.0661905800996849E-2</v>
      </c>
      <c r="I90" s="157">
        <v>26.366510391235352</v>
      </c>
      <c r="J90" s="20">
        <f t="shared" si="26"/>
        <v>-4.1662478222981525E-2</v>
      </c>
      <c r="K90" s="15">
        <f t="shared" si="18"/>
        <v>-0.14095007371153334</v>
      </c>
      <c r="L90" s="15">
        <f t="shared" si="22"/>
        <v>1.1916023991242879</v>
      </c>
      <c r="M90" s="13">
        <f>(1+L90)/(1+MAX(L$3:L90))-1</f>
        <v>-0.16886215786457004</v>
      </c>
      <c r="N90" s="124"/>
      <c r="O90" s="150">
        <v>0</v>
      </c>
      <c r="P90" s="20">
        <f t="shared" si="27"/>
        <v>1.2609518972585221E-2</v>
      </c>
      <c r="Q90" s="15">
        <f t="shared" si="19"/>
        <v>1.7128710235851052E-2</v>
      </c>
      <c r="R90" s="15">
        <f t="shared" si="23"/>
        <v>1.0162782996811468</v>
      </c>
      <c r="S90" s="15">
        <f>(1+R90)/(1+MAX(R$3:R90))-1</f>
        <v>-1.5919639209021064E-2</v>
      </c>
      <c r="T90" s="58">
        <f t="shared" si="24"/>
        <v>2016.278299681147</v>
      </c>
      <c r="U90" s="137"/>
      <c r="V90" s="70"/>
      <c r="W90" s="70"/>
      <c r="X90" s="70"/>
      <c r="Y90" s="70"/>
      <c r="Z90" s="70"/>
      <c r="AA90" s="70"/>
      <c r="AB90" s="70"/>
      <c r="AC90" s="81"/>
      <c r="AD90" s="81"/>
    </row>
    <row r="91" spans="1:30" s="61" customFormat="1" outlineLevel="1" x14ac:dyDescent="0.3">
      <c r="A91" s="61" t="s">
        <v>664</v>
      </c>
      <c r="B91" s="55" t="str">
        <f t="shared" si="20"/>
        <v>2025-5</v>
      </c>
      <c r="C91" s="121">
        <v>45778</v>
      </c>
      <c r="D91" s="157">
        <v>1.970849990844727</v>
      </c>
      <c r="E91" s="20">
        <f t="shared" si="25"/>
        <v>4.8733300311964989E-4</v>
      </c>
      <c r="F91" s="15">
        <f t="shared" si="17"/>
        <v>1.2816632927937555E-2</v>
      </c>
      <c r="G91" s="15">
        <f t="shared" si="21"/>
        <v>-3.2787558510348314E-2</v>
      </c>
      <c r="H91" s="13">
        <f>(1+G91)/(1+MAX(G$3:G91))-1</f>
        <v>-7.0209008676637374E-2</v>
      </c>
      <c r="I91" s="157">
        <v>28.255319595336911</v>
      </c>
      <c r="J91" s="20">
        <f t="shared" si="26"/>
        <v>7.1636677591185194E-2</v>
      </c>
      <c r="K91" s="15">
        <f t="shared" si="18"/>
        <v>-7.9410591107274997E-2</v>
      </c>
      <c r="L91" s="15">
        <f t="shared" si="22"/>
        <v>1.3486015135984224</v>
      </c>
      <c r="M91" s="13">
        <f>(1+L91)/(1+MAX(L$3:L91))-1</f>
        <v>-0.10932220423368089</v>
      </c>
      <c r="N91" s="124"/>
      <c r="O91" s="150">
        <v>0</v>
      </c>
      <c r="P91" s="20">
        <f t="shared" si="27"/>
        <v>4.8733300311964989E-4</v>
      </c>
      <c r="Q91" s="15">
        <f t="shared" si="19"/>
        <v>1.7624390624769504E-2</v>
      </c>
      <c r="R91" s="15">
        <f t="shared" si="23"/>
        <v>1.0172608986400555</v>
      </c>
      <c r="S91" s="15">
        <f>(1+R91)/(1+MAX(R$3:R91))-1</f>
        <v>-1.5440064371485707E-2</v>
      </c>
      <c r="T91" s="58">
        <f t="shared" si="24"/>
        <v>2017.2608986400555</v>
      </c>
      <c r="U91" s="137"/>
      <c r="V91" s="70"/>
      <c r="W91" s="70"/>
      <c r="X91" s="70"/>
      <c r="Y91" s="70"/>
      <c r="Z91" s="70"/>
      <c r="AA91" s="70"/>
      <c r="AB91" s="70"/>
      <c r="AC91" s="81"/>
      <c r="AD91" s="81"/>
    </row>
    <row r="92" spans="1:30" s="61" customFormat="1" outlineLevel="1" x14ac:dyDescent="0.3">
      <c r="A92" s="61" t="s">
        <v>664</v>
      </c>
      <c r="B92" s="55" t="str">
        <f t="shared" si="20"/>
        <v>2025-6</v>
      </c>
      <c r="C92" s="121">
        <v>45809</v>
      </c>
      <c r="D92" s="157">
        <v>1.9694700241088869</v>
      </c>
      <c r="E92" s="20">
        <f t="shared" si="25"/>
        <v>-7.0018862026566264E-4</v>
      </c>
      <c r="F92" s="15">
        <f t="shared" si="17"/>
        <v>1.2107470247145535E-2</v>
      </c>
      <c r="G92" s="15">
        <f t="shared" si="21"/>
        <v>-3.3464789655258786E-2</v>
      </c>
      <c r="H92" s="13">
        <f>(1+G92)/(1+MAX(G$3:G92))-1</f>
        <v>-7.0860037747987548E-2</v>
      </c>
      <c r="I92" s="157">
        <v>29.021440505981449</v>
      </c>
      <c r="J92" s="20">
        <f t="shared" si="26"/>
        <v>2.7114218547751756E-2</v>
      </c>
      <c r="K92" s="15">
        <f t="shared" si="18"/>
        <v>-5.4449528681812076E-2</v>
      </c>
      <c r="L92" s="15">
        <f t="shared" si="22"/>
        <v>1.4122820083197105</v>
      </c>
      <c r="M92" s="13">
        <f>(1+L92)/(1+MAX(L$3:L92))-1</f>
        <v>-8.5172171823643117E-2</v>
      </c>
      <c r="N92" s="124"/>
      <c r="O92" s="150">
        <v>1</v>
      </c>
      <c r="P92" s="20">
        <f t="shared" si="27"/>
        <v>2.7114218547751756E-2</v>
      </c>
      <c r="Q92" s="15">
        <f t="shared" si="19"/>
        <v>4.5216480751692156E-2</v>
      </c>
      <c r="R92" s="15">
        <f t="shared" si="23"/>
        <v>1.0719573515136163</v>
      </c>
      <c r="S92" s="15">
        <f>(1+R92)/(1+MAX(R$3:R92))-1</f>
        <v>0</v>
      </c>
      <c r="T92" s="58">
        <f t="shared" si="24"/>
        <v>2071.9573515136162</v>
      </c>
      <c r="U92" s="137"/>
      <c r="V92" s="70"/>
      <c r="W92" s="70"/>
      <c r="X92" s="70"/>
      <c r="Y92" s="70"/>
      <c r="Z92" s="70"/>
      <c r="AA92" s="70"/>
      <c r="AB92" s="70"/>
      <c r="AC92" s="81"/>
      <c r="AD92" s="81"/>
    </row>
    <row r="93" spans="1:30" s="61" customFormat="1" outlineLevel="1" x14ac:dyDescent="0.3">
      <c r="A93" s="61" t="s">
        <v>664</v>
      </c>
      <c r="B93" s="55" t="str">
        <f t="shared" si="20"/>
        <v>2025-7</v>
      </c>
      <c r="C93" s="121">
        <v>45839</v>
      </c>
      <c r="D93" s="157">
        <v>1.9663599729537959</v>
      </c>
      <c r="E93" s="20">
        <f t="shared" si="25"/>
        <v>-1.5791309931199038E-3</v>
      </c>
      <c r="F93" s="15">
        <f t="shared" si="17"/>
        <v>1.0509219972510087E-2</v>
      </c>
      <c r="G93" s="15">
        <f t="shared" si="21"/>
        <v>-3.4991075361855861E-2</v>
      </c>
      <c r="H93" s="13">
        <f>(1+G93)/(1+MAX(G$3:G93))-1</f>
        <v>-7.2327271459326048E-2</v>
      </c>
      <c r="I93" s="157">
        <v>30.706609725952148</v>
      </c>
      <c r="J93" s="20">
        <f t="shared" si="26"/>
        <v>5.8066353378405822E-2</v>
      </c>
      <c r="K93" s="15">
        <f t="shared" si="18"/>
        <v>4.5513912286798686E-4</v>
      </c>
      <c r="L93" s="15">
        <f t="shared" si="22"/>
        <v>1.5523544278631731</v>
      </c>
      <c r="M93" s="13">
        <f>(1+L93)/(1+MAX(L$3:L93))-1</f>
        <v>-3.2051455872355361E-2</v>
      </c>
      <c r="N93" s="124"/>
      <c r="O93" s="150">
        <v>1</v>
      </c>
      <c r="P93" s="20">
        <f t="shared" si="27"/>
        <v>5.8066353378405822E-2</v>
      </c>
      <c r="Q93" s="15">
        <f t="shared" si="19"/>
        <v>0.10590839027995358</v>
      </c>
      <c r="R93" s="15">
        <f t="shared" si="23"/>
        <v>1.1922683592715919</v>
      </c>
      <c r="S93" s="15">
        <f>(1+R93)/(1+MAX(R$3:R93))-1</f>
        <v>0</v>
      </c>
      <c r="T93" s="58">
        <f t="shared" si="24"/>
        <v>2192.2683592715916</v>
      </c>
      <c r="U93" s="137"/>
      <c r="V93" s="70"/>
      <c r="W93" s="70"/>
      <c r="X93" s="70"/>
      <c r="Y93" s="70"/>
      <c r="Z93" s="70"/>
      <c r="AA93" s="70"/>
      <c r="AB93" s="70"/>
      <c r="AC93" s="81"/>
      <c r="AD93" s="81"/>
    </row>
    <row r="94" spans="1:30" s="61" customFormat="1" outlineLevel="1" x14ac:dyDescent="0.3">
      <c r="A94" s="61" t="s">
        <v>664</v>
      </c>
      <c r="B94" s="55" t="str">
        <f t="shared" si="20"/>
        <v>2025-8</v>
      </c>
      <c r="C94" s="121">
        <v>45870</v>
      </c>
      <c r="D94" s="157">
        <v>1.968230009078979</v>
      </c>
      <c r="E94" s="20">
        <f t="shared" si="25"/>
        <v>9.5101413317211225E-4</v>
      </c>
      <c r="F94" s="15">
        <f t="shared" si="17"/>
        <v>1.1470228522404646E-2</v>
      </c>
      <c r="G94" s="15">
        <f t="shared" si="21"/>
        <v>-3.4073338235887762E-2</v>
      </c>
      <c r="H94" s="13">
        <f>(1+G94)/(1+MAX(G$3:G94))-1</f>
        <v>-7.1445041583525493E-2</v>
      </c>
      <c r="I94" s="157">
        <v>30.09915924072266</v>
      </c>
      <c r="J94" s="20">
        <f t="shared" si="26"/>
        <v>-1.9782401595318189E-2</v>
      </c>
      <c r="K94" s="15">
        <f t="shared" si="18"/>
        <v>-1.9336266217360509E-2</v>
      </c>
      <c r="L94" s="15">
        <f t="shared" si="22"/>
        <v>1.5018627275575951</v>
      </c>
      <c r="M94" s="13">
        <f>(1+L94)/(1+MAX(L$3:L94))-1</f>
        <v>-5.1199802695891972E-2</v>
      </c>
      <c r="N94" s="124"/>
      <c r="O94" s="150">
        <v>1</v>
      </c>
      <c r="P94" s="20">
        <f t="shared" si="27"/>
        <v>-1.9782401595318189E-2</v>
      </c>
      <c r="Q94" s="15">
        <f t="shared" si="19"/>
        <v>8.4030866375803592E-2</v>
      </c>
      <c r="R94" s="15">
        <f t="shared" si="23"/>
        <v>1.1489000261837718</v>
      </c>
      <c r="S94" s="15">
        <f>(1+R94)/(1+MAX(R$3:R94))-1</f>
        <v>-1.97824015953183E-2</v>
      </c>
      <c r="T94" s="58">
        <f t="shared" si="24"/>
        <v>2148.9000261837718</v>
      </c>
      <c r="U94" s="137"/>
      <c r="V94" s="70"/>
      <c r="W94" s="70"/>
      <c r="X94" s="70"/>
      <c r="Y94" s="70"/>
      <c r="Z94" s="70"/>
      <c r="AA94" s="70"/>
      <c r="AB94" s="70"/>
      <c r="AC94" s="81"/>
      <c r="AD94" s="81"/>
    </row>
    <row r="95" spans="1:30" s="61" customFormat="1" outlineLevel="1" x14ac:dyDescent="0.3">
      <c r="A95" s="61" t="s">
        <v>664</v>
      </c>
      <c r="B95" s="55" t="str">
        <f t="shared" si="20"/>
        <v>2025-9</v>
      </c>
      <c r="C95" s="121">
        <v>45901</v>
      </c>
      <c r="D95" s="157">
        <v>1.9729499816894529</v>
      </c>
      <c r="E95" s="20">
        <f t="shared" si="25"/>
        <v>2.3980797918443653E-3</v>
      </c>
      <c r="F95" s="15">
        <f t="shared" si="17"/>
        <v>1.3895814837476372E-2</v>
      </c>
      <c r="G95" s="15">
        <f t="shared" si="21"/>
        <v>-3.1756969027907589E-2</v>
      </c>
      <c r="H95" s="13">
        <f>(1+G95)/(1+MAX(G$3:G95))-1</f>
        <v>-6.9218292702130091E-2</v>
      </c>
      <c r="I95" s="157">
        <v>31.07305908203125</v>
      </c>
      <c r="J95" s="20">
        <f t="shared" si="26"/>
        <v>3.2356380240380789E-2</v>
      </c>
      <c r="K95" s="15">
        <f t="shared" si="18"/>
        <v>1.2394462440862064E-2</v>
      </c>
      <c r="L95" s="15">
        <f t="shared" si="22"/>
        <v>1.5828139492796849</v>
      </c>
      <c r="M95" s="13">
        <f>(1+L95)/(1+MAX(L$3:L95))-1</f>
        <v>-2.0500062739772007E-2</v>
      </c>
      <c r="N95" s="124"/>
      <c r="O95" s="150">
        <v>1</v>
      </c>
      <c r="P95" s="20">
        <f t="shared" si="27"/>
        <v>3.2356380240380789E-2</v>
      </c>
      <c r="Q95" s="15">
        <f t="shared" si="19"/>
        <v>0.11910618128056849</v>
      </c>
      <c r="R95" s="15">
        <f t="shared" si="23"/>
        <v>1.2184306525295381</v>
      </c>
      <c r="S95" s="15">
        <f>(1+R95)/(1+MAX(R$3:R95))-1</f>
        <v>0</v>
      </c>
      <c r="T95" s="58">
        <f t="shared" si="24"/>
        <v>2218.4306525295383</v>
      </c>
      <c r="U95" s="137"/>
      <c r="V95" s="70"/>
      <c r="W95" s="70"/>
      <c r="X95" s="70"/>
      <c r="Y95" s="70"/>
      <c r="Z95" s="70"/>
      <c r="AA95" s="70"/>
      <c r="AB95" s="70"/>
      <c r="AC95" s="81"/>
      <c r="AD95" s="81"/>
    </row>
    <row r="96" spans="1:30" s="61" customFormat="1" outlineLevel="1" x14ac:dyDescent="0.3">
      <c r="A96" s="61" t="s">
        <v>664</v>
      </c>
      <c r="B96" s="55" t="str">
        <f t="shared" si="20"/>
        <v>2025-10</v>
      </c>
      <c r="C96" s="121">
        <v>45931</v>
      </c>
      <c r="D96" s="157">
        <v>1.9836399555206301</v>
      </c>
      <c r="E96" s="20">
        <f t="shared" si="25"/>
        <v>5.4182690541517697E-3</v>
      </c>
      <c r="F96" s="15">
        <f t="shared" si="17"/>
        <v>1.9389375155144162E-2</v>
      </c>
      <c r="G96" s="15">
        <f t="shared" si="21"/>
        <v>-2.6510767776293354E-2</v>
      </c>
      <c r="H96" s="13">
        <f>(1+G96)/(1+MAX(G$3:G96))-1</f>
        <v>-6.4175066981307483E-2</v>
      </c>
      <c r="I96" s="157">
        <v>32.877330780029297</v>
      </c>
      <c r="J96" s="20">
        <f t="shared" si="26"/>
        <v>5.8065467363057621E-2</v>
      </c>
      <c r="K96" s="15">
        <f t="shared" si="18"/>
        <v>7.1179620058262172E-2</v>
      </c>
      <c r="L96" s="15">
        <f t="shared" si="22"/>
        <v>1.7327862483564345</v>
      </c>
      <c r="M96" s="13">
        <f>(1+L96)/(1+MAX(L$3:L96))-1</f>
        <v>0</v>
      </c>
      <c r="N96" s="124"/>
      <c r="O96" s="150">
        <v>1</v>
      </c>
      <c r="P96" s="20">
        <f t="shared" si="27"/>
        <v>5.8065467363057621E-2</v>
      </c>
      <c r="Q96" s="15">
        <f t="shared" si="19"/>
        <v>0.18408760472551133</v>
      </c>
      <c r="R96" s="15">
        <f t="shared" si="23"/>
        <v>1.3472448651811986</v>
      </c>
      <c r="S96" s="15">
        <f>(1+R96)/(1+MAX(R$3:R96))-1</f>
        <v>0</v>
      </c>
      <c r="T96" s="58">
        <f t="shared" si="24"/>
        <v>2347.2448651811987</v>
      </c>
      <c r="U96" s="137"/>
      <c r="V96" s="70"/>
      <c r="W96" s="70"/>
      <c r="X96" s="70"/>
      <c r="Y96" s="70"/>
      <c r="Z96" s="70"/>
      <c r="AA96" s="70"/>
      <c r="AB96" s="70"/>
      <c r="AC96" s="81"/>
      <c r="AD96" s="81"/>
    </row>
    <row r="97" spans="1:30" s="61" customFormat="1" outlineLevel="1" x14ac:dyDescent="0.3">
      <c r="A97" s="61" t="s">
        <v>664</v>
      </c>
      <c r="B97" s="55" t="str">
        <f t="shared" ref="B97:B110" si="28">YEAR(C97)&amp;"-"&amp;MONTH(C97)</f>
        <v>2025-11</v>
      </c>
      <c r="C97" s="121">
        <v>45962</v>
      </c>
      <c r="D97" s="157">
        <v>1.983549952507019</v>
      </c>
      <c r="E97" s="20">
        <f t="shared" si="25"/>
        <v>-4.5372656141795531E-5</v>
      </c>
      <c r="F97" s="15">
        <f t="shared" si="17"/>
        <v>1.934312275155059E-2</v>
      </c>
      <c r="G97" s="15">
        <f t="shared" si="21"/>
        <v>-2.6554937568484815E-2</v>
      </c>
      <c r="H97" s="13">
        <f>(1+G97)/(1+MAX(G$3:G97))-1</f>
        <v>-6.4217527844202316E-2</v>
      </c>
      <c r="I97" s="157">
        <v>32.795749664306641</v>
      </c>
      <c r="J97" s="20">
        <f t="shared" si="26"/>
        <v>-2.4813789254513052E-3</v>
      </c>
      <c r="K97" s="15">
        <f t="shared" si="18"/>
        <v>6.8521617523676692E-2</v>
      </c>
      <c r="L97" s="15">
        <f t="shared" si="22"/>
        <v>1.7260051701519998</v>
      </c>
      <c r="M97" s="13">
        <f>(1+L97)/(1+MAX(L$3:L97))-1</f>
        <v>-2.4813789254511942E-3</v>
      </c>
      <c r="N97" s="124"/>
      <c r="O97" s="150">
        <v>1</v>
      </c>
      <c r="P97" s="20">
        <f t="shared" si="27"/>
        <v>-2.4813789254513052E-3</v>
      </c>
      <c r="Q97" s="15">
        <f t="shared" si="19"/>
        <v>0.18114943469725731</v>
      </c>
      <c r="R97" s="15">
        <f t="shared" si="23"/>
        <v>1.3414204612398644</v>
      </c>
      <c r="S97" s="15">
        <f>(1+R97)/(1+MAX(R$3:R97))-1</f>
        <v>-2.4813789254511942E-3</v>
      </c>
      <c r="T97" s="58">
        <f t="shared" si="24"/>
        <v>2341.4204612398644</v>
      </c>
      <c r="U97" s="137"/>
      <c r="V97" s="70"/>
      <c r="W97" s="70"/>
      <c r="X97" s="70"/>
      <c r="Y97" s="70"/>
      <c r="Z97" s="70"/>
      <c r="AA97" s="70"/>
      <c r="AB97" s="70"/>
      <c r="AC97" s="81"/>
      <c r="AD97" s="81"/>
    </row>
    <row r="98" spans="1:30" s="27" customFormat="1" ht="15" thickBot="1" x14ac:dyDescent="0.35">
      <c r="A98" s="27" t="s">
        <v>664</v>
      </c>
      <c r="B98" s="63" t="str">
        <f t="shared" si="28"/>
        <v>2025-12</v>
      </c>
      <c r="C98" s="122">
        <v>45992</v>
      </c>
      <c r="D98" s="160">
        <v>1.977630019187927</v>
      </c>
      <c r="E98" s="32">
        <f t="shared" si="25"/>
        <v>-2.9845143610373048E-3</v>
      </c>
      <c r="F98" s="25">
        <f t="shared" si="17"/>
        <v>1.6300878562873988E-2</v>
      </c>
      <c r="G98" s="25">
        <f t="shared" si="21"/>
        <v>-2.9460198336992538E-2</v>
      </c>
      <c r="H98" s="26">
        <f>(1+G98)/(1+MAX(G$3:G98))-1</f>
        <v>-6.7010384071158224E-2</v>
      </c>
      <c r="I98" s="160">
        <v>32.592140197753913</v>
      </c>
      <c r="J98" s="32">
        <f t="shared" si="26"/>
        <v>-6.2084101945175663E-3</v>
      </c>
      <c r="K98" s="25">
        <f t="shared" si="18"/>
        <v>6.1887797020380386E-2</v>
      </c>
      <c r="L98" s="25">
        <f t="shared" si="22"/>
        <v>1.7090810118633204</v>
      </c>
      <c r="M98" s="26">
        <f>(1+L98)/(1+MAX(L$3:L98))-1</f>
        <v>-8.6743837017516645E-3</v>
      </c>
      <c r="N98" s="125"/>
      <c r="O98" s="150">
        <v>1</v>
      </c>
      <c r="P98" s="32">
        <f t="shared" si="27"/>
        <v>-6.2084101945175663E-3</v>
      </c>
      <c r="Q98" s="25">
        <f t="shared" si="19"/>
        <v>0.17381637450563425</v>
      </c>
      <c r="R98" s="25">
        <f t="shared" si="23"/>
        <v>1.3268839625786506</v>
      </c>
      <c r="S98" s="25">
        <f>(1+R98)/(1+MAX(R$3:R98))-1</f>
        <v>-8.6743837017516645E-3</v>
      </c>
      <c r="T98" s="66">
        <f t="shared" si="24"/>
        <v>2326.8839625786509</v>
      </c>
      <c r="U98" s="138"/>
      <c r="V98" s="139"/>
      <c r="W98" s="139"/>
      <c r="X98" s="139"/>
      <c r="Y98" s="139"/>
      <c r="Z98" s="139"/>
      <c r="AA98" s="139"/>
      <c r="AB98" s="139"/>
      <c r="AC98" s="78"/>
      <c r="AD98" s="78"/>
    </row>
    <row r="99" spans="1:30" s="54" customFormat="1" ht="15" outlineLevel="1" thickBot="1" x14ac:dyDescent="0.35">
      <c r="A99" s="54" t="s">
        <v>664</v>
      </c>
      <c r="B99" s="48" t="str">
        <f t="shared" si="28"/>
        <v>2026-1</v>
      </c>
      <c r="C99" s="120">
        <v>46023</v>
      </c>
      <c r="D99" s="161">
        <v>1.9866000413894651</v>
      </c>
      <c r="E99" s="10">
        <f>D99/D98-1</f>
        <v>4.5357433465849084E-3</v>
      </c>
      <c r="F99" s="5">
        <f>+E99</f>
        <v>4.5357433465849084E-3</v>
      </c>
      <c r="G99" s="5">
        <f>+(1+E99)*(1+G98)-1</f>
        <v>-2.5058078889003688E-2</v>
      </c>
      <c r="H99" s="3">
        <f>(1+G99)/(1+MAX(G$3:G99))-1</f>
        <v>-6.2778582628276181E-2</v>
      </c>
      <c r="I99" s="161">
        <v>32.633579254150391</v>
      </c>
      <c r="J99" s="10">
        <f>I99/I98-1</f>
        <v>1.2714432419915767E-3</v>
      </c>
      <c r="K99" s="5">
        <f>+J99</f>
        <v>1.2714432419915767E-3</v>
      </c>
      <c r="L99" s="5">
        <f>+(1+J99)*(1+L98)-1</f>
        <v>1.7125254546078619</v>
      </c>
      <c r="M99" s="3">
        <f>(1+L99)/(1+MAX(L$3:L99))-1</f>
        <v>-7.4139694462960204E-3</v>
      </c>
      <c r="N99" s="124"/>
      <c r="O99" s="150">
        <v>1</v>
      </c>
      <c r="P99" s="10">
        <f>IF(O99=1,J99,E99)</f>
        <v>1.2714432419915767E-3</v>
      </c>
      <c r="Q99" s="5">
        <f>+P99</f>
        <v>1.2714432419915767E-3</v>
      </c>
      <c r="R99" s="5">
        <f t="shared" ref="R99:R104" si="29">+(1+P99)*(1+R98)-1</f>
        <v>1.3298424634677697</v>
      </c>
      <c r="S99" s="5">
        <f>(1+R99)/(1+MAX(R$3:R99))-1</f>
        <v>-7.4139694462961314E-3</v>
      </c>
      <c r="T99" s="51">
        <f t="shared" ref="T99:T104" si="30">T98*(1+P99)</f>
        <v>2329.8424634677699</v>
      </c>
      <c r="U99" s="137"/>
      <c r="V99" s="70"/>
      <c r="W99" s="70"/>
      <c r="X99" s="70"/>
      <c r="Y99" s="70"/>
      <c r="Z99" s="70"/>
      <c r="AA99" s="70"/>
      <c r="AB99" s="70"/>
      <c r="AC99" s="81"/>
      <c r="AD99" s="81"/>
    </row>
    <row r="100" spans="1:30" s="61" customFormat="1" ht="15" outlineLevel="1" thickBot="1" x14ac:dyDescent="0.35">
      <c r="A100" s="61" t="s">
        <v>664</v>
      </c>
      <c r="B100" s="55" t="str">
        <f t="shared" si="28"/>
        <v>2026-2</v>
      </c>
      <c r="C100" s="121">
        <v>46054</v>
      </c>
      <c r="D100" s="157">
        <v>1.9962799549102781</v>
      </c>
      <c r="E100" s="20">
        <v>7.9000000000000008E-3</v>
      </c>
      <c r="F100" s="15">
        <f>+(1+E100)*(1+F99)-1</f>
        <v>1.247157571902302E-2</v>
      </c>
      <c r="G100" s="15">
        <f>+(1+E100)*(1+G99)-1</f>
        <v>-1.7356037712226824E-2</v>
      </c>
      <c r="H100" s="13">
        <f>(1+G100)/(1+MAX(G$3:G100))-1</f>
        <v>-5.5374533431039596E-2</v>
      </c>
      <c r="I100" s="149">
        <v>32.263050079345703</v>
      </c>
      <c r="J100" s="20">
        <v>-1.43E-2</v>
      </c>
      <c r="K100" s="15">
        <f>+(1+J100)*(1+K99)-1</f>
        <v>-1.3046738396368829E-2</v>
      </c>
      <c r="L100" s="15">
        <f>+(1+J100)*(1+L99)-1</f>
        <v>1.6737363406069696</v>
      </c>
      <c r="M100" s="13">
        <f>(1+L100)/(1+MAX(L$3:L100))-1</f>
        <v>-2.160794968321389E-2</v>
      </c>
      <c r="N100" s="124"/>
      <c r="O100" s="150">
        <v>1</v>
      </c>
      <c r="P100" s="10">
        <f>IF(O100=1,J100,E100)</f>
        <v>-1.43E-2</v>
      </c>
      <c r="Q100" s="15">
        <f>+(1+P100)*(1+Q99)-1</f>
        <v>-1.3046738396368829E-2</v>
      </c>
      <c r="R100" s="15">
        <f t="shared" si="29"/>
        <v>1.2965257162401804</v>
      </c>
      <c r="S100" s="15">
        <f>(1+R100)/(1+MAX(R$3:R100))-1</f>
        <v>-2.1607949683214112E-2</v>
      </c>
      <c r="T100" s="58">
        <f t="shared" si="30"/>
        <v>2296.5257162401808</v>
      </c>
      <c r="U100" s="137"/>
      <c r="V100" s="70"/>
      <c r="W100" s="70"/>
      <c r="X100" s="70"/>
      <c r="Y100" s="70"/>
      <c r="Z100" s="70"/>
      <c r="AA100" s="70"/>
      <c r="AB100" s="70"/>
      <c r="AC100" s="81"/>
      <c r="AD100" s="81"/>
    </row>
    <row r="101" spans="1:30" s="61" customFormat="1" ht="15" customHeight="1" outlineLevel="1" thickBot="1" x14ac:dyDescent="0.35">
      <c r="A101" s="61" t="s">
        <v>664</v>
      </c>
      <c r="B101" s="55" t="str">
        <f t="shared" si="28"/>
        <v>2026-3</v>
      </c>
      <c r="C101" s="121">
        <v>46082</v>
      </c>
      <c r="D101" s="157"/>
      <c r="E101" s="20">
        <v>-2.0199999999999999E-2</v>
      </c>
      <c r="F101" s="15"/>
      <c r="G101" s="15"/>
      <c r="H101" s="13"/>
      <c r="I101" s="157"/>
      <c r="J101" s="20">
        <v>-2.8899999999999999E-2</v>
      </c>
      <c r="K101" s="15">
        <f t="shared" ref="K101:K107" si="31">+(1+J101)*(1+K100)-1</f>
        <v>-4.1569687656713761E-2</v>
      </c>
      <c r="L101" s="15">
        <f t="shared" ref="L101:L107" si="32">+(1+J101)*(1+L100)-1</f>
        <v>1.5964653603634282</v>
      </c>
      <c r="M101" s="13">
        <f>(1+L101)/(1+MAX(L$3:L101))-1</f>
        <v>-4.988347993736908E-2</v>
      </c>
      <c r="N101" s="124"/>
      <c r="O101" s="150">
        <v>1</v>
      </c>
      <c r="P101" s="10">
        <f>IF(O101=1,J101,E101)</f>
        <v>-2.8899999999999999E-2</v>
      </c>
      <c r="Q101" s="15">
        <f>+(1+P101)*(1+Q100)-1</f>
        <v>-4.1569687656713761E-2</v>
      </c>
      <c r="R101" s="15">
        <f t="shared" si="29"/>
        <v>1.2301561230408393</v>
      </c>
      <c r="S101" s="15">
        <f>(1+R101)/(1+MAX(R$3:R101))-1</f>
        <v>-4.9883479937369191E-2</v>
      </c>
      <c r="T101" s="58">
        <f t="shared" si="30"/>
        <v>2230.1561230408397</v>
      </c>
      <c r="U101" s="137"/>
      <c r="V101" s="70"/>
      <c r="W101" s="70"/>
      <c r="X101" s="70"/>
      <c r="Y101" s="70"/>
      <c r="Z101" s="70"/>
      <c r="AA101" s="70"/>
      <c r="AB101" s="70"/>
      <c r="AC101" s="81"/>
      <c r="AD101" s="81"/>
    </row>
    <row r="102" spans="1:30" s="61" customFormat="1" ht="15" customHeight="1" outlineLevel="1" thickBot="1" x14ac:dyDescent="0.35">
      <c r="A102" s="61" t="s">
        <v>664</v>
      </c>
      <c r="B102" s="55" t="str">
        <f t="shared" si="28"/>
        <v>2026-4</v>
      </c>
      <c r="C102" s="121">
        <v>46113</v>
      </c>
      <c r="D102" s="157"/>
      <c r="E102" s="20">
        <v>2.8E-3</v>
      </c>
      <c r="F102" s="15"/>
      <c r="G102" s="15"/>
      <c r="H102" s="13"/>
      <c r="I102" s="157"/>
      <c r="J102" s="20">
        <v>0.1004</v>
      </c>
      <c r="K102" s="15">
        <f t="shared" si="31"/>
        <v>5.465671570255215E-2</v>
      </c>
      <c r="L102" s="15">
        <f t="shared" si="32"/>
        <v>1.8571504825439167</v>
      </c>
      <c r="M102" s="13">
        <f>(1+L102)/(1+MAX(L$3:L102))-1</f>
        <v>0</v>
      </c>
      <c r="N102" s="124"/>
      <c r="O102" s="150">
        <v>1</v>
      </c>
      <c r="P102" s="10">
        <f>IF(O102=1,J102,E102)</f>
        <v>0.1004</v>
      </c>
      <c r="Q102" s="15">
        <f>+(1+P102)*(1+Q101)-1</f>
        <v>5.465671570255215E-2</v>
      </c>
      <c r="R102" s="15">
        <f t="shared" si="29"/>
        <v>1.4540637977941397</v>
      </c>
      <c r="S102" s="15">
        <f>(1+R102)/(1+MAX(R$3:R102))-1</f>
        <v>0</v>
      </c>
      <c r="T102" s="58">
        <f t="shared" si="30"/>
        <v>2454.0637977941401</v>
      </c>
      <c r="U102" s="137"/>
      <c r="V102" s="70"/>
      <c r="W102" s="70"/>
      <c r="X102" s="70"/>
      <c r="Y102" s="70"/>
      <c r="Z102" s="70"/>
      <c r="AA102" s="70"/>
      <c r="AB102" s="70"/>
      <c r="AC102" s="81"/>
      <c r="AD102" s="81"/>
    </row>
    <row r="103" spans="1:30" s="61" customFormat="1" ht="15" customHeight="1" outlineLevel="1" thickBot="1" x14ac:dyDescent="0.35">
      <c r="A103" s="61" t="s">
        <v>664</v>
      </c>
      <c r="B103" s="55" t="str">
        <f t="shared" si="28"/>
        <v>2026-5</v>
      </c>
      <c r="C103" s="121">
        <v>46143</v>
      </c>
      <c r="D103" s="157"/>
      <c r="E103" s="20">
        <v>7.9000000000000008E-3</v>
      </c>
      <c r="F103" s="15"/>
      <c r="G103" s="15"/>
      <c r="H103" s="13"/>
      <c r="I103" s="157"/>
      <c r="J103" s="20">
        <v>6.4000000000000001E-2</v>
      </c>
      <c r="K103" s="15">
        <f t="shared" si="31"/>
        <v>0.12215474550751559</v>
      </c>
      <c r="L103" s="15">
        <f t="shared" si="32"/>
        <v>2.0400081134267274</v>
      </c>
      <c r="M103" s="13">
        <f>(1+L103)/(1+MAX(L$3:L103))-1</f>
        <v>0</v>
      </c>
      <c r="N103" s="124"/>
      <c r="O103" s="150">
        <v>1</v>
      </c>
      <c r="P103" s="10">
        <f t="shared" ref="P103:P107" si="33">IF(O103=1,J103,E103)</f>
        <v>6.4000000000000001E-2</v>
      </c>
      <c r="Q103" s="15">
        <f>+(1+P103)*(1+Q102)-1</f>
        <v>0.12215474550751559</v>
      </c>
      <c r="R103" s="15">
        <f t="shared" si="29"/>
        <v>1.6111238808529649</v>
      </c>
      <c r="S103" s="15">
        <f>(1+R103)/(1+MAX(R$3:R103))-1</f>
        <v>0</v>
      </c>
      <c r="T103" s="58">
        <f t="shared" si="30"/>
        <v>2611.1238808529652</v>
      </c>
      <c r="U103" s="137"/>
      <c r="V103" s="70"/>
      <c r="W103" s="70"/>
      <c r="X103" s="70"/>
      <c r="Y103" s="70"/>
      <c r="Z103" s="70"/>
      <c r="AA103" s="70"/>
      <c r="AB103" s="70"/>
      <c r="AC103" s="81"/>
      <c r="AD103" s="81"/>
    </row>
    <row r="104" spans="1:30" s="61" customFormat="1" ht="15" outlineLevel="1" thickBot="1" x14ac:dyDescent="0.35">
      <c r="A104" s="61" t="s">
        <v>664</v>
      </c>
      <c r="B104" s="55" t="str">
        <f t="shared" si="28"/>
        <v>2026-6</v>
      </c>
      <c r="C104" s="121">
        <v>46174</v>
      </c>
      <c r="D104" s="157"/>
      <c r="E104" s="20">
        <v>3.0999999999999999E-3</v>
      </c>
      <c r="F104" s="15"/>
      <c r="G104" s="15"/>
      <c r="H104" s="13"/>
      <c r="I104" s="157"/>
      <c r="J104" s="20">
        <v>1.52E-2</v>
      </c>
      <c r="K104" s="15">
        <f t="shared" si="31"/>
        <v>0.13921149763923002</v>
      </c>
      <c r="L104" s="15">
        <f t="shared" si="32"/>
        <v>2.0862162367508139</v>
      </c>
      <c r="M104" s="13">
        <f>(1+L104)/(1+MAX(L$3:L104))-1</f>
        <v>0</v>
      </c>
      <c r="N104" s="124"/>
      <c r="O104" s="150">
        <v>1</v>
      </c>
      <c r="P104" s="10">
        <f t="shared" si="33"/>
        <v>1.52E-2</v>
      </c>
      <c r="Q104" s="15">
        <f>+(1+P104)*(1+Q103)-1</f>
        <v>0.13921149763923002</v>
      </c>
      <c r="R104" s="15">
        <f t="shared" si="29"/>
        <v>1.65081296384193</v>
      </c>
      <c r="S104" s="15">
        <f>(1+R104)/(1+MAX(R$3:R104))-1</f>
        <v>0</v>
      </c>
      <c r="T104" s="58">
        <f t="shared" si="30"/>
        <v>2650.8129638419305</v>
      </c>
      <c r="U104" s="137"/>
      <c r="V104" s="70"/>
      <c r="W104" s="70"/>
      <c r="X104" s="70"/>
      <c r="Y104" s="70"/>
      <c r="Z104" s="70"/>
      <c r="AA104" s="70"/>
      <c r="AB104" s="70"/>
      <c r="AC104" s="81"/>
      <c r="AD104" s="81"/>
    </row>
    <row r="105" spans="1:30" s="61" customFormat="1" ht="15" customHeight="1" outlineLevel="1" thickBot="1" x14ac:dyDescent="0.35">
      <c r="A105" s="61" t="s">
        <v>664</v>
      </c>
      <c r="B105" s="55" t="str">
        <f t="shared" si="28"/>
        <v>2026-7</v>
      </c>
      <c r="C105" s="121">
        <v>46204</v>
      </c>
      <c r="D105" s="157"/>
      <c r="E105" s="20">
        <v>-1.06E-2</v>
      </c>
      <c r="F105" s="15"/>
      <c r="G105" s="15"/>
      <c r="H105" s="13"/>
      <c r="I105" s="157"/>
      <c r="J105" s="20">
        <v>-1.7600000000000001E-2</v>
      </c>
      <c r="K105" s="15">
        <f t="shared" si="31"/>
        <v>0.11916137528077964</v>
      </c>
      <c r="L105" s="15">
        <f t="shared" si="32"/>
        <v>2.0318988309839998</v>
      </c>
      <c r="M105" s="13">
        <f>(1+L105)/(1+MAX(L$3:L105))-1</f>
        <v>-1.7599999999999949E-2</v>
      </c>
      <c r="N105" s="124"/>
      <c r="O105" s="150">
        <v>1</v>
      </c>
      <c r="P105" s="10">
        <f t="shared" si="33"/>
        <v>-1.7600000000000001E-2</v>
      </c>
      <c r="Q105" s="15">
        <f t="shared" ref="Q105:Q107" si="34">+(1+P105)*(1+Q104)-1</f>
        <v>0.11916137528077964</v>
      </c>
      <c r="R105" s="15">
        <f t="shared" ref="R105:R107" si="35">+(1+P105)*(1+R104)-1</f>
        <v>1.6041586556783121</v>
      </c>
      <c r="S105" s="15">
        <f>(1+R105)/(1+MAX(R$3:R105))-1</f>
        <v>-1.7599999999999949E-2</v>
      </c>
      <c r="T105" s="58">
        <f t="shared" ref="T105:T107" si="36">T104*(1+P105)</f>
        <v>2604.1586556783127</v>
      </c>
      <c r="U105" s="137"/>
      <c r="V105" s="70"/>
      <c r="W105" s="70"/>
      <c r="X105" s="70"/>
      <c r="Y105" s="70"/>
      <c r="Z105" s="70"/>
      <c r="AA105" s="70"/>
      <c r="AB105" s="70"/>
      <c r="AC105" s="81"/>
      <c r="AD105" s="81"/>
    </row>
    <row r="106" spans="1:30" s="61" customFormat="1" outlineLevel="1" x14ac:dyDescent="0.3">
      <c r="A106" s="61" t="s">
        <v>664</v>
      </c>
      <c r="B106" s="55" t="str">
        <f t="shared" si="28"/>
        <v>2026-8</v>
      </c>
      <c r="C106" s="121">
        <v>46235</v>
      </c>
      <c r="D106" s="157"/>
      <c r="E106" s="20"/>
      <c r="F106" s="15"/>
      <c r="G106" s="15"/>
      <c r="H106" s="13"/>
      <c r="I106" s="157"/>
      <c r="J106" s="20">
        <v>2.4199999999999999E-2</v>
      </c>
      <c r="K106" s="15">
        <f t="shared" si="31"/>
        <v>0.14624508056257457</v>
      </c>
      <c r="L106" s="15">
        <f t="shared" si="32"/>
        <v>2.1052707826938124</v>
      </c>
      <c r="M106" s="13">
        <f>(1+L106)/(1+MAX(L$3:L106))-1</f>
        <v>0</v>
      </c>
      <c r="N106" s="124"/>
      <c r="O106" s="150">
        <v>1</v>
      </c>
      <c r="P106" s="10">
        <f t="shared" si="33"/>
        <v>2.4199999999999999E-2</v>
      </c>
      <c r="Q106" s="15">
        <f t="shared" si="34"/>
        <v>0.14624508056257457</v>
      </c>
      <c r="R106" s="15">
        <f t="shared" si="35"/>
        <v>1.6671792951457274</v>
      </c>
      <c r="S106" s="15">
        <f>(1+R106)/(1+MAX(R$3:R106))-1</f>
        <v>0</v>
      </c>
      <c r="T106" s="58">
        <f t="shared" si="36"/>
        <v>2667.1792951457278</v>
      </c>
      <c r="U106" s="137"/>
      <c r="V106" s="70"/>
      <c r="W106" s="70"/>
      <c r="X106" s="70"/>
      <c r="Y106" s="70"/>
      <c r="Z106" s="70"/>
      <c r="AA106" s="70"/>
      <c r="AB106" s="70"/>
      <c r="AC106" s="81"/>
      <c r="AD106" s="81"/>
    </row>
    <row r="107" spans="1:30" s="61" customFormat="1" ht="14.4" customHeight="1" outlineLevel="1" x14ac:dyDescent="0.3">
      <c r="A107" s="61" t="s">
        <v>664</v>
      </c>
      <c r="B107" s="55" t="str">
        <f t="shared" si="28"/>
        <v>2026-9</v>
      </c>
      <c r="C107" s="121">
        <v>46266</v>
      </c>
      <c r="D107" s="157"/>
      <c r="E107" s="20"/>
      <c r="F107" s="15"/>
      <c r="G107" s="15"/>
      <c r="H107" s="13"/>
      <c r="I107" s="157"/>
      <c r="J107" s="20">
        <v>2.5999999999999999E-2</v>
      </c>
      <c r="K107" s="15">
        <f t="shared" si="31"/>
        <v>0.17604745265720156</v>
      </c>
      <c r="L107" s="15">
        <f t="shared" si="32"/>
        <v>2.1860078230438518</v>
      </c>
      <c r="M107" s="13">
        <f>(1+L107)/(1+MAX(L$3:L107))-1</f>
        <v>0</v>
      </c>
      <c r="N107" s="124"/>
      <c r="O107" s="150">
        <v>1</v>
      </c>
      <c r="P107" s="20">
        <f t="shared" si="33"/>
        <v>2.5999999999999999E-2</v>
      </c>
      <c r="Q107" s="15">
        <f t="shared" si="34"/>
        <v>0.17604745265720156</v>
      </c>
      <c r="R107" s="15">
        <f t="shared" si="35"/>
        <v>1.7365259568195164</v>
      </c>
      <c r="S107" s="15">
        <f>(1+R107)/(1+MAX(R$3:R107))-1</f>
        <v>0</v>
      </c>
      <c r="T107" s="58">
        <f t="shared" si="36"/>
        <v>2736.525956819517</v>
      </c>
      <c r="U107" s="137"/>
      <c r="V107" s="70"/>
      <c r="W107" s="70"/>
      <c r="X107" s="70"/>
      <c r="Y107" s="70"/>
      <c r="Z107" s="70"/>
      <c r="AA107" s="70"/>
      <c r="AB107" s="70"/>
      <c r="AC107" s="81"/>
      <c r="AD107" s="81"/>
    </row>
    <row r="108" spans="1:30" s="61" customFormat="1" outlineLevel="1" x14ac:dyDescent="0.3">
      <c r="A108" s="61" t="s">
        <v>664</v>
      </c>
      <c r="B108" s="55" t="str">
        <f t="shared" si="28"/>
        <v>2026-10</v>
      </c>
      <c r="C108" s="121">
        <v>46296</v>
      </c>
      <c r="D108" s="157"/>
      <c r="E108" s="20"/>
      <c r="F108" s="15"/>
      <c r="G108" s="15"/>
      <c r="H108" s="13"/>
      <c r="I108" s="157"/>
      <c r="J108" s="20"/>
      <c r="K108" s="15"/>
      <c r="L108" s="15"/>
      <c r="M108" s="13"/>
      <c r="N108" s="124"/>
      <c r="O108" s="150"/>
      <c r="P108" s="20"/>
      <c r="Q108" s="15"/>
      <c r="R108" s="15"/>
      <c r="S108" s="15"/>
      <c r="T108" s="58"/>
      <c r="U108" s="137"/>
      <c r="V108" s="70"/>
      <c r="W108" s="70"/>
      <c r="X108" s="70"/>
      <c r="Y108" s="70"/>
      <c r="Z108" s="70"/>
      <c r="AA108" s="70"/>
      <c r="AB108" s="70"/>
      <c r="AC108" s="81"/>
      <c r="AD108" s="81"/>
    </row>
    <row r="109" spans="1:30" s="61" customFormat="1" outlineLevel="1" x14ac:dyDescent="0.3">
      <c r="A109" s="61" t="s">
        <v>664</v>
      </c>
      <c r="B109" s="55" t="str">
        <f t="shared" si="28"/>
        <v>2026-11</v>
      </c>
      <c r="C109" s="121">
        <v>46327</v>
      </c>
      <c r="D109" s="157"/>
      <c r="E109" s="20"/>
      <c r="F109" s="15"/>
      <c r="G109" s="15"/>
      <c r="H109" s="13"/>
      <c r="I109" s="149"/>
      <c r="J109" s="20"/>
      <c r="K109" s="15"/>
      <c r="L109" s="15"/>
      <c r="M109" s="13"/>
      <c r="N109" s="124"/>
      <c r="O109" s="150"/>
      <c r="P109" s="20"/>
      <c r="Q109" s="15"/>
      <c r="R109" s="15"/>
      <c r="S109" s="15"/>
      <c r="T109" s="58"/>
      <c r="U109" s="137"/>
      <c r="V109" s="70"/>
      <c r="W109" s="70"/>
      <c r="X109" s="70"/>
      <c r="Y109" s="70"/>
      <c r="Z109" s="70"/>
      <c r="AA109" s="70"/>
      <c r="AB109" s="70"/>
      <c r="AC109" s="81"/>
      <c r="AD109" s="81"/>
    </row>
    <row r="110" spans="1:30" s="27" customFormat="1" ht="15" thickBot="1" x14ac:dyDescent="0.35">
      <c r="A110" s="27" t="s">
        <v>664</v>
      </c>
      <c r="B110" s="63" t="str">
        <f t="shared" si="28"/>
        <v>2026-12</v>
      </c>
      <c r="C110" s="122">
        <v>46357</v>
      </c>
      <c r="D110" s="147"/>
      <c r="E110" s="32"/>
      <c r="F110" s="25"/>
      <c r="G110" s="25"/>
      <c r="H110" s="26"/>
      <c r="I110" s="147"/>
      <c r="J110" s="32"/>
      <c r="K110" s="25"/>
      <c r="L110" s="25"/>
      <c r="M110" s="26"/>
      <c r="N110" s="125"/>
      <c r="O110" s="151"/>
      <c r="P110" s="32"/>
      <c r="Q110" s="25"/>
      <c r="R110" s="25"/>
      <c r="S110" s="25"/>
      <c r="T110" s="66"/>
      <c r="U110" s="138"/>
      <c r="V110" s="139"/>
      <c r="W110" s="139"/>
      <c r="X110" s="139"/>
      <c r="Y110" s="139"/>
      <c r="Z110" s="139"/>
      <c r="AA110" s="139"/>
      <c r="AB110" s="139"/>
      <c r="AC110" s="78"/>
      <c r="AD110" s="78"/>
    </row>
    <row r="112" spans="1:30" x14ac:dyDescent="0.3">
      <c r="E112" s="92">
        <f>COUNTA(E$3:E$107)/12</f>
        <v>8.5833333333333339</v>
      </c>
      <c r="F112" s="86" t="s">
        <v>83</v>
      </c>
      <c r="J112" s="92">
        <f>COUNTA(J$3:J$107)/12</f>
        <v>8.75</v>
      </c>
      <c r="K112" s="86" t="s">
        <v>83</v>
      </c>
      <c r="P112" s="92">
        <f>COUNTA(P$3:P$107)/12</f>
        <v>8.75</v>
      </c>
      <c r="Q112" s="86" t="s">
        <v>83</v>
      </c>
    </row>
    <row r="113" spans="4:17" x14ac:dyDescent="0.3">
      <c r="E113" s="100">
        <f>(1+G107)^(1/E112)-1</f>
        <v>0</v>
      </c>
      <c r="F113" s="86" t="s">
        <v>15</v>
      </c>
      <c r="J113" s="100">
        <f>(1+L107)^(1/J112)-1</f>
        <v>0.14159990594512317</v>
      </c>
      <c r="K113" s="86" t="s">
        <v>15</v>
      </c>
      <c r="P113" s="100">
        <f>(1+R107)^(1/P112)-1</f>
        <v>0.12192975279635077</v>
      </c>
      <c r="Q113" s="86" t="s">
        <v>15</v>
      </c>
    </row>
    <row r="114" spans="4:17" x14ac:dyDescent="0.3">
      <c r="E114" s="100">
        <f>_xlfn.STDEV.S(E$3:E107)*SQRT(12)</f>
        <v>3.4531060492788736E-2</v>
      </c>
      <c r="F114" s="86" t="s">
        <v>16</v>
      </c>
      <c r="J114" s="100">
        <f>_xlfn.STDEV.S(J$3:J107)*SQRT(12)</f>
        <v>0.14924374733640414</v>
      </c>
      <c r="K114" s="86" t="s">
        <v>16</v>
      </c>
      <c r="P114" s="100">
        <f>_xlfn.STDEV.S(P$3:P107)*SQRT(12)</f>
        <v>0.11128443592429035</v>
      </c>
      <c r="Q114" s="86" t="s">
        <v>16</v>
      </c>
    </row>
    <row r="115" spans="4:17" x14ac:dyDescent="0.3">
      <c r="E115" s="106">
        <f>AVERAGE(E$3:E107)/_xlfn.STDEV.S(E$3:E107)*SQRT(12)</f>
        <v>-0.1002534532196145</v>
      </c>
      <c r="F115" s="86" t="s">
        <v>17</v>
      </c>
      <c r="J115" s="106">
        <f>AVERAGE(J$3:J107)/_xlfn.STDEV.S(J$3:J107)*SQRT(12)</f>
        <v>0.96633175626027112</v>
      </c>
      <c r="K115" s="86" t="s">
        <v>17</v>
      </c>
      <c r="P115" s="106">
        <f>AVERAGE(P$3:P107)/_xlfn.STDEV.S(P$3:P107)*SQRT(12)</f>
        <v>1.0935297193982345</v>
      </c>
      <c r="Q115" s="86" t="s">
        <v>17</v>
      </c>
    </row>
    <row r="116" spans="4:17" x14ac:dyDescent="0.3">
      <c r="E116" s="110">
        <f>MIN(H$3:H107)</f>
        <v>-0.14681999068672957</v>
      </c>
      <c r="F116" s="86" t="s">
        <v>18</v>
      </c>
      <c r="J116" s="110">
        <f>MIN(M$3:M107)</f>
        <v>-0.17946679764427109</v>
      </c>
      <c r="K116" s="86" t="s">
        <v>18</v>
      </c>
      <c r="P116" s="110">
        <f>MIN(S$3:S107)</f>
        <v>-0.19279774848096343</v>
      </c>
      <c r="Q116" s="86" t="s">
        <v>18</v>
      </c>
    </row>
    <row r="119" spans="4:17" x14ac:dyDescent="0.3">
      <c r="D119" s="70">
        <v>45989</v>
      </c>
      <c r="E119" s="76">
        <v>1.983549952507019</v>
      </c>
      <c r="F119" s="73">
        <v>32.795749664306641</v>
      </c>
    </row>
    <row r="120" spans="4:17" x14ac:dyDescent="0.3">
      <c r="D120" s="70">
        <v>46022</v>
      </c>
      <c r="E120" s="76">
        <v>1.977630019187927</v>
      </c>
      <c r="F120" s="73">
        <v>32.592140197753913</v>
      </c>
      <c r="P120" s="92"/>
    </row>
    <row r="121" spans="4:17" x14ac:dyDescent="0.3">
      <c r="D121" s="70">
        <v>46052</v>
      </c>
      <c r="E121" s="76">
        <v>1.9866000413894651</v>
      </c>
      <c r="F121" s="73">
        <v>32.633579254150391</v>
      </c>
      <c r="L121" s="86" t="s">
        <v>151</v>
      </c>
      <c r="M121" s="153" t="s">
        <v>152</v>
      </c>
      <c r="N121" s="154" t="s">
        <v>153</v>
      </c>
      <c r="O121" s="155" t="s">
        <v>154</v>
      </c>
      <c r="P121" s="156" t="s">
        <v>155</v>
      </c>
    </row>
    <row r="122" spans="4:17" x14ac:dyDescent="0.3">
      <c r="D122" s="70">
        <v>46077</v>
      </c>
      <c r="E122" s="76">
        <v>1.9962799549102781</v>
      </c>
      <c r="F122" s="73">
        <v>32.263050079345703</v>
      </c>
      <c r="L122" s="86"/>
      <c r="M122" s="153"/>
      <c r="N122" s="154"/>
      <c r="O122" s="155"/>
      <c r="P122" s="156"/>
    </row>
    <row r="123" spans="4:17" x14ac:dyDescent="0.3">
      <c r="P123" s="100"/>
    </row>
    <row r="124" spans="4:17" x14ac:dyDescent="0.3">
      <c r="P124" s="106"/>
    </row>
    <row r="125" spans="4:17" x14ac:dyDescent="0.3">
      <c r="P125" s="110"/>
    </row>
  </sheetData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outlinePr summaryRight="0"/>
  </sheetPr>
  <dimension ref="A1:AQ142"/>
  <sheetViews>
    <sheetView showGridLines="0" zoomScale="80" zoomScaleNormal="80" workbookViewId="0">
      <pane xSplit="3" ySplit="1" topLeftCell="D109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44140625" defaultRowHeight="14.4" outlineLevelRow="1" x14ac:dyDescent="0.3"/>
  <cols>
    <col min="1" max="1" width="11.44140625" style="81"/>
    <col min="2" max="2" width="10.44140625" style="71" bestFit="1" customWidth="1"/>
    <col min="3" max="3" width="10.44140625" style="123" customWidth="1"/>
    <col min="4" max="4" width="9.33203125" style="76" customWidth="1"/>
    <col min="5" max="5" width="8.44140625" style="73" customWidth="1"/>
    <col min="6" max="6" width="10.5546875" style="73" customWidth="1"/>
    <col min="7" max="7" width="8.44140625" style="74" customWidth="1"/>
    <col min="8" max="8" width="8.44140625" style="76" bestFit="1" customWidth="1"/>
    <col min="9" max="9" width="8.44140625" style="73" customWidth="1"/>
    <col min="10" max="10" width="10.5546875" style="73" customWidth="1"/>
    <col min="11" max="11" width="8.44140625" style="74" customWidth="1"/>
    <col min="12" max="12" width="8.44140625" style="76" bestFit="1" customWidth="1"/>
    <col min="13" max="13" width="8.44140625" style="73" customWidth="1"/>
    <col min="14" max="14" width="10.5546875" style="73" customWidth="1"/>
    <col min="15" max="15" width="8.44140625" style="74" customWidth="1"/>
    <col min="16" max="16" width="9.33203125" style="76" customWidth="1"/>
    <col min="17" max="17" width="8.44140625" style="73" customWidth="1"/>
    <col min="18" max="18" width="10.5546875" style="73" customWidth="1"/>
    <col min="19" max="19" width="8.44140625" style="74" customWidth="1"/>
    <col min="20" max="20" width="9.6640625" style="76" customWidth="1"/>
    <col min="21" max="21" width="8.44140625" style="73" customWidth="1"/>
    <col min="22" max="22" width="10.5546875" style="73" customWidth="1"/>
    <col min="23" max="23" width="8.44140625" style="74" customWidth="1"/>
    <col min="24" max="24" width="8.44140625" style="76" bestFit="1" customWidth="1"/>
    <col min="25" max="25" width="8.44140625" style="73" customWidth="1"/>
    <col min="26" max="26" width="10.5546875" style="73" customWidth="1"/>
    <col min="27" max="27" width="8.44140625" style="74" customWidth="1"/>
    <col min="28" max="28" width="6.33203125" style="124" customWidth="1"/>
    <col min="29" max="29" width="8.44140625" style="76" bestFit="1" customWidth="1"/>
    <col min="30" max="30" width="8.5546875" style="73" customWidth="1"/>
    <col min="31" max="31" width="10.5546875" style="73" customWidth="1"/>
    <col min="32" max="32" width="8.44140625" style="73" customWidth="1"/>
    <col min="33" max="33" width="7.6640625" style="77" customWidth="1"/>
    <col min="34" max="34" width="6.33203125" style="137" customWidth="1"/>
    <col min="35" max="41" width="6.33203125" style="70" customWidth="1"/>
    <col min="42" max="16384" width="11.44140625" style="81"/>
  </cols>
  <sheetData>
    <row r="1" spans="1:43" s="134" customFormat="1" ht="48.75" customHeight="1" thickBot="1" x14ac:dyDescent="0.35">
      <c r="A1" s="35" t="s">
        <v>665</v>
      </c>
      <c r="B1" s="126" t="s">
        <v>22</v>
      </c>
      <c r="C1" s="127" t="s">
        <v>23</v>
      </c>
      <c r="D1" s="152" t="s">
        <v>13</v>
      </c>
      <c r="E1" s="129">
        <v>0.15</v>
      </c>
      <c r="F1" s="129" t="s">
        <v>84</v>
      </c>
      <c r="G1" s="130" t="s">
        <v>21</v>
      </c>
      <c r="H1" s="152" t="s">
        <v>0</v>
      </c>
      <c r="I1" s="129">
        <v>0.15</v>
      </c>
      <c r="J1" s="129" t="s">
        <v>84</v>
      </c>
      <c r="K1" s="130" t="s">
        <v>21</v>
      </c>
      <c r="L1" s="152" t="s">
        <v>12</v>
      </c>
      <c r="M1" s="129">
        <v>0.25</v>
      </c>
      <c r="N1" s="129" t="s">
        <v>84</v>
      </c>
      <c r="O1" s="130" t="s">
        <v>21</v>
      </c>
      <c r="P1" s="152" t="s">
        <v>2</v>
      </c>
      <c r="Q1" s="129">
        <v>0.15</v>
      </c>
      <c r="R1" s="129" t="s">
        <v>84</v>
      </c>
      <c r="S1" s="130" t="s">
        <v>21</v>
      </c>
      <c r="T1" s="152" t="s">
        <v>14</v>
      </c>
      <c r="U1" s="129">
        <v>0.2</v>
      </c>
      <c r="V1" s="129" t="s">
        <v>84</v>
      </c>
      <c r="W1" s="130" t="s">
        <v>21</v>
      </c>
      <c r="X1" s="152" t="s">
        <v>1</v>
      </c>
      <c r="Y1" s="129">
        <v>0.1</v>
      </c>
      <c r="Z1" s="129" t="s">
        <v>84</v>
      </c>
      <c r="AA1" s="130" t="s">
        <v>21</v>
      </c>
      <c r="AB1" s="131"/>
      <c r="AC1" s="128" t="s">
        <v>100</v>
      </c>
      <c r="AD1" s="132" t="s">
        <v>85</v>
      </c>
      <c r="AE1" s="132" t="s">
        <v>84</v>
      </c>
      <c r="AF1" s="132" t="s">
        <v>21</v>
      </c>
      <c r="AG1" s="133" t="s">
        <v>19</v>
      </c>
      <c r="AH1" s="135"/>
      <c r="AI1" s="136"/>
      <c r="AJ1" s="136"/>
      <c r="AK1" s="136"/>
      <c r="AL1" s="136"/>
      <c r="AM1" s="136"/>
      <c r="AN1" s="136"/>
      <c r="AO1" s="136"/>
      <c r="AP1" s="140"/>
      <c r="AQ1" s="140"/>
    </row>
    <row r="2" spans="1:43" s="54" customFormat="1" outlineLevel="1" x14ac:dyDescent="0.3">
      <c r="A2" s="54" t="s">
        <v>663</v>
      </c>
      <c r="B2" s="48" t="str">
        <f t="shared" ref="B2:B65" si="0">YEAR(C2)&amp;"-"&amp;MONTH(C2)</f>
        <v>2016-1</v>
      </c>
      <c r="C2" s="120">
        <v>42370</v>
      </c>
      <c r="D2" s="10">
        <v>-1.5800000000000002E-2</v>
      </c>
      <c r="E2" s="5">
        <f>+D2</f>
        <v>-1.5800000000000002E-2</v>
      </c>
      <c r="F2" s="5">
        <f>+D2</f>
        <v>-1.5800000000000002E-2</v>
      </c>
      <c r="G2" s="3">
        <f>(1+F2)/(1+MAX(F$2:F2))-1</f>
        <v>0</v>
      </c>
      <c r="H2" s="10">
        <v>5.3499999999999999E-2</v>
      </c>
      <c r="I2" s="5">
        <f>+H2</f>
        <v>5.3499999999999999E-2</v>
      </c>
      <c r="J2" s="5">
        <f>+H2</f>
        <v>5.3499999999999999E-2</v>
      </c>
      <c r="K2" s="3">
        <f>(1+J2)/(1+MAX(J$2:J2))-1</f>
        <v>0</v>
      </c>
      <c r="L2" s="10">
        <v>1.0800000000000001E-2</v>
      </c>
      <c r="M2" s="5">
        <f>+L2</f>
        <v>1.0800000000000001E-2</v>
      </c>
      <c r="N2" s="5">
        <f>+L2</f>
        <v>1.0800000000000001E-2</v>
      </c>
      <c r="O2" s="3">
        <f>(1+N2)/(1+MAX(N$2:N2))-1</f>
        <v>0</v>
      </c>
      <c r="P2" s="10">
        <v>-6.1600000000000002E-2</v>
      </c>
      <c r="Q2" s="5">
        <f>+P2</f>
        <v>-6.1600000000000002E-2</v>
      </c>
      <c r="R2" s="5">
        <f>+P2</f>
        <v>-6.1600000000000002E-2</v>
      </c>
      <c r="S2" s="3">
        <f>(1+R2)/(1+MAX(R$2:R2))-1</f>
        <v>0</v>
      </c>
      <c r="T2" s="10">
        <v>1.5299999999999999E-2</v>
      </c>
      <c r="U2" s="5">
        <f>+T2</f>
        <v>1.5299999999999999E-2</v>
      </c>
      <c r="V2" s="5">
        <f>+T2</f>
        <v>1.5299999999999999E-2</v>
      </c>
      <c r="W2" s="3">
        <f>(1+V2)/(1+MAX(V$2:V2))-1</f>
        <v>0</v>
      </c>
      <c r="X2" s="10">
        <v>-6.4799999999999996E-2</v>
      </c>
      <c r="Y2" s="5">
        <f>+X2</f>
        <v>-6.4799999999999996E-2</v>
      </c>
      <c r="Z2" s="5">
        <f>+X2</f>
        <v>-6.4799999999999996E-2</v>
      </c>
      <c r="AA2" s="3">
        <f>(1+Z2)/(1+MAX(Z$2:Z2))-1</f>
        <v>0</v>
      </c>
      <c r="AB2" s="124"/>
      <c r="AC2" s="10">
        <f t="shared" ref="AC2:AC33" si="1">D2*$E$1+H2*$I$1+L2*$M$1+P2*$Q$1+T2*$U$1+X2*$Y$1</f>
        <v>-4.3050000000000015E-3</v>
      </c>
      <c r="AD2" s="5">
        <f>+AC2</f>
        <v>-4.3050000000000015E-3</v>
      </c>
      <c r="AE2" s="5">
        <f>+AC2</f>
        <v>-4.3050000000000015E-3</v>
      </c>
      <c r="AF2" s="5">
        <f>(1+AE2)/(1+MAX(AE$2:AE2))-1</f>
        <v>0</v>
      </c>
      <c r="AG2" s="51">
        <f>1000*(1+AC2)</f>
        <v>995.69500000000005</v>
      </c>
      <c r="AH2" s="137"/>
      <c r="AI2" s="70"/>
      <c r="AJ2" s="70"/>
      <c r="AK2" s="70"/>
      <c r="AL2" s="70"/>
      <c r="AM2" s="70"/>
      <c r="AN2" s="70"/>
      <c r="AO2" s="70"/>
      <c r="AP2" s="81"/>
      <c r="AQ2" s="81"/>
    </row>
    <row r="3" spans="1:43" s="61" customFormat="1" outlineLevel="1" x14ac:dyDescent="0.3">
      <c r="A3" s="61" t="s">
        <v>663</v>
      </c>
      <c r="B3" s="55" t="str">
        <f t="shared" si="0"/>
        <v>2016-2</v>
      </c>
      <c r="C3" s="121">
        <v>42401</v>
      </c>
      <c r="D3" s="20">
        <v>-8.9999999999999998E-4</v>
      </c>
      <c r="E3" s="15">
        <f t="shared" ref="E3:E13" si="2">+(1+D3)*(1+E2)-1</f>
        <v>-1.6685780000000094E-2</v>
      </c>
      <c r="F3" s="15">
        <f t="shared" ref="F3:F66" si="3">+(1+D3)*(1+F2)-1</f>
        <v>-1.6685780000000094E-2</v>
      </c>
      <c r="G3" s="13">
        <f>(1+F3)/(1+MAX(F$2:F3))-1</f>
        <v>-9.000000000000119E-4</v>
      </c>
      <c r="H3" s="20">
        <v>0.11360000000000001</v>
      </c>
      <c r="I3" s="15">
        <f t="shared" ref="I3:I13" si="4">+(1+H3)*(1+I2)-1</f>
        <v>0.17317760000000004</v>
      </c>
      <c r="J3" s="15">
        <f t="shared" ref="J3:J66" si="5">+(1+H3)*(1+J2)-1</f>
        <v>0.17317760000000004</v>
      </c>
      <c r="K3" s="13">
        <f>(1+J3)/(1+MAX(J$2:J3))-1</f>
        <v>0</v>
      </c>
      <c r="L3" s="20">
        <v>6.7999999999999996E-3</v>
      </c>
      <c r="M3" s="15">
        <f t="shared" ref="M3:M13" si="6">+(1+L3)*(1+M2)-1</f>
        <v>1.7673439999999818E-2</v>
      </c>
      <c r="N3" s="15">
        <f t="shared" ref="N3:N66" si="7">+(1+L3)*(1+N2)-1</f>
        <v>1.7673439999999818E-2</v>
      </c>
      <c r="O3" s="13">
        <f>(1+N3)/(1+MAX(N$2:N3))-1</f>
        <v>0</v>
      </c>
      <c r="P3" s="20">
        <v>-1.0999999999999999E-2</v>
      </c>
      <c r="Q3" s="15">
        <f t="shared" ref="Q3:Q13" si="8">+(1+P3)*(1+Q2)-1</f>
        <v>-7.1922399999999942E-2</v>
      </c>
      <c r="R3" s="15">
        <f t="shared" ref="R3:R66" si="9">+(1+P3)*(1+R2)-1</f>
        <v>-7.1922399999999942E-2</v>
      </c>
      <c r="S3" s="13">
        <f>(1+R3)/(1+MAX(R$2:R3))-1</f>
        <v>-1.0999999999999899E-2</v>
      </c>
      <c r="T3" s="20">
        <v>1.1900000000000001E-2</v>
      </c>
      <c r="U3" s="15">
        <f t="shared" ref="U3:U13" si="10">+(1+T3)*(1+U2)-1</f>
        <v>2.7382070000000036E-2</v>
      </c>
      <c r="V3" s="15">
        <f t="shared" ref="V3:V66" si="11">+(1+T3)*(1+V2)-1</f>
        <v>2.7382070000000036E-2</v>
      </c>
      <c r="W3" s="13">
        <f>(1+V3)/(1+MAX(V$2:V3))-1</f>
        <v>0</v>
      </c>
      <c r="X3" s="20">
        <v>1.7100000000000001E-2</v>
      </c>
      <c r="Y3" s="15">
        <f t="shared" ref="Y3:Y13" si="12">+(1+X3)*(1+Y2)-1</f>
        <v>-4.8808080000000031E-2</v>
      </c>
      <c r="Z3" s="15">
        <f t="shared" ref="Z3:Z66" si="13">+(1+X3)*(1+Z2)-1</f>
        <v>-4.8808080000000031E-2</v>
      </c>
      <c r="AA3" s="13">
        <f>(1+Z3)/(1+MAX(Z$2:Z3))-1</f>
        <v>0</v>
      </c>
      <c r="AB3" s="124"/>
      <c r="AC3" s="20">
        <f t="shared" si="1"/>
        <v>2.1045000000000001E-2</v>
      </c>
      <c r="AD3" s="15">
        <f t="shared" ref="AD3:AD13" si="14">+(1+AC3)*(1+AD2)-1</f>
        <v>1.6649401275000031E-2</v>
      </c>
      <c r="AE3" s="15">
        <f t="shared" ref="AE3:AE66" si="15">+(1+AC3)*(1+AE2)-1</f>
        <v>1.6649401275000031E-2</v>
      </c>
      <c r="AF3" s="15">
        <f>(1+AE3)/(1+MAX(AE$2:AE3))-1</f>
        <v>0</v>
      </c>
      <c r="AG3" s="58">
        <f>AG2*(1+AC3)</f>
        <v>1016.6494012750001</v>
      </c>
      <c r="AH3" s="137"/>
      <c r="AI3" s="70"/>
      <c r="AJ3" s="70"/>
      <c r="AK3" s="70"/>
      <c r="AL3" s="70"/>
      <c r="AM3" s="70"/>
      <c r="AN3" s="70"/>
      <c r="AO3" s="70"/>
      <c r="AP3" s="81"/>
      <c r="AQ3" s="81"/>
    </row>
    <row r="4" spans="1:43" s="61" customFormat="1" outlineLevel="1" x14ac:dyDescent="0.3">
      <c r="A4" s="61" t="s">
        <v>663</v>
      </c>
      <c r="B4" s="55" t="str">
        <f>YEAR(C4)&amp;"-"&amp;MONTH(C4)</f>
        <v>2016-3</v>
      </c>
      <c r="C4" s="121">
        <v>42430</v>
      </c>
      <c r="D4" s="20">
        <v>1.4500000000000001E-2</v>
      </c>
      <c r="E4" s="15">
        <f t="shared" si="2"/>
        <v>-2.4277238100001153E-3</v>
      </c>
      <c r="F4" s="15">
        <f t="shared" si="3"/>
        <v>-2.4277238100001153E-3</v>
      </c>
      <c r="G4" s="13">
        <f>(1+F4)/(1+MAX(F$2:F4))-1</f>
        <v>0</v>
      </c>
      <c r="H4" s="20">
        <v>-4.5100000000000001E-2</v>
      </c>
      <c r="I4" s="15">
        <f t="shared" si="4"/>
        <v>0.12026729023999994</v>
      </c>
      <c r="J4" s="15">
        <f t="shared" si="5"/>
        <v>0.12026729023999994</v>
      </c>
      <c r="K4" s="13">
        <f>(1+J4)/(1+MAX(J$2:J4))-1</f>
        <v>-4.510000000000014E-2</v>
      </c>
      <c r="L4" s="20">
        <v>-2.6499999999999999E-2</v>
      </c>
      <c r="M4" s="15">
        <f t="shared" si="6"/>
        <v>-9.2949061600001714E-3</v>
      </c>
      <c r="N4" s="15">
        <f t="shared" si="7"/>
        <v>-9.2949061600001714E-3</v>
      </c>
      <c r="O4" s="13">
        <f>(1+N4)/(1+MAX(N$2:N4))-1</f>
        <v>-2.6499999999999968E-2</v>
      </c>
      <c r="P4" s="20">
        <v>3.6799999999999999E-2</v>
      </c>
      <c r="Q4" s="15">
        <f t="shared" si="8"/>
        <v>-3.7769144320000003E-2</v>
      </c>
      <c r="R4" s="15">
        <f t="shared" si="9"/>
        <v>-3.7769144320000003E-2</v>
      </c>
      <c r="S4" s="13">
        <f>(1+R4)/(1+MAX(R$2:R4))-1</f>
        <v>0</v>
      </c>
      <c r="T4" s="20">
        <v>-1.7999999999999999E-2</v>
      </c>
      <c r="U4" s="15">
        <f t="shared" si="10"/>
        <v>8.889192740000107E-3</v>
      </c>
      <c r="V4" s="15">
        <f t="shared" si="11"/>
        <v>8.889192740000107E-3</v>
      </c>
      <c r="W4" s="13">
        <f>(1+V4)/(1+MAX(V$2:V4))-1</f>
        <v>-1.7999999999999905E-2</v>
      </c>
      <c r="X4" s="20">
        <v>4.9500000000000002E-2</v>
      </c>
      <c r="Y4" s="15">
        <f t="shared" si="12"/>
        <v>-1.7240799599999024E-3</v>
      </c>
      <c r="Z4" s="15">
        <f t="shared" si="13"/>
        <v>-1.7240799599999024E-3</v>
      </c>
      <c r="AA4" s="13">
        <f>(1+Z4)/(1+MAX(Z$2:Z4))-1</f>
        <v>0</v>
      </c>
      <c r="AB4" s="124"/>
      <c r="AC4" s="20">
        <f t="shared" si="1"/>
        <v>-4.344999999999999E-3</v>
      </c>
      <c r="AD4" s="15">
        <f t="shared" si="14"/>
        <v>1.2232059626460012E-2</v>
      </c>
      <c r="AE4" s="15">
        <f t="shared" si="15"/>
        <v>1.2232059626460012E-2</v>
      </c>
      <c r="AF4" s="15">
        <f>(1+AE4)/(1+MAX(AE$2:AE4))-1</f>
        <v>-4.3450000000001543E-3</v>
      </c>
      <c r="AG4" s="58">
        <f t="shared" ref="AG4:AG67" si="16">AG3*(1+AC4)</f>
        <v>1012.2320596264601</v>
      </c>
      <c r="AH4" s="137"/>
      <c r="AI4" s="70"/>
      <c r="AJ4" s="70"/>
      <c r="AK4" s="70"/>
      <c r="AL4" s="70"/>
      <c r="AM4" s="70"/>
      <c r="AN4" s="70"/>
      <c r="AO4" s="70"/>
      <c r="AP4" s="81"/>
      <c r="AQ4" s="81"/>
    </row>
    <row r="5" spans="1:43" s="61" customFormat="1" outlineLevel="1" x14ac:dyDescent="0.3">
      <c r="A5" s="61" t="s">
        <v>663</v>
      </c>
      <c r="B5" s="55" t="str">
        <f t="shared" si="0"/>
        <v>2016-4</v>
      </c>
      <c r="C5" s="121">
        <v>42461</v>
      </c>
      <c r="D5" s="20">
        <v>2.01E-2</v>
      </c>
      <c r="E5" s="15">
        <f t="shared" si="2"/>
        <v>1.7623478941418913E-2</v>
      </c>
      <c r="F5" s="15">
        <f t="shared" si="3"/>
        <v>1.7623478941418913E-2</v>
      </c>
      <c r="G5" s="13">
        <f>(1+F5)/(1+MAX(F$2:F5))-1</f>
        <v>0</v>
      </c>
      <c r="H5" s="20">
        <v>4.8500000000000001E-2</v>
      </c>
      <c r="I5" s="15">
        <f t="shared" si="4"/>
        <v>0.17460025381664002</v>
      </c>
      <c r="J5" s="15">
        <f t="shared" si="5"/>
        <v>0.17460025381664002</v>
      </c>
      <c r="K5" s="13">
        <f>(1+J5)/(1+MAX(J$2:J5))-1</f>
        <v>0</v>
      </c>
      <c r="L5" s="20">
        <v>1.6999999999999999E-3</v>
      </c>
      <c r="M5" s="15">
        <f t="shared" si="6"/>
        <v>-7.6107075004721025E-3</v>
      </c>
      <c r="N5" s="15">
        <f t="shared" si="7"/>
        <v>-7.6107075004721025E-3</v>
      </c>
      <c r="O5" s="13">
        <f>(1+N5)/(1+MAX(N$2:N5))-1</f>
        <v>-2.4845049999999924E-2</v>
      </c>
      <c r="P5" s="20">
        <v>5.3E-3</v>
      </c>
      <c r="Q5" s="15">
        <f t="shared" si="8"/>
        <v>-3.2669320784895928E-2</v>
      </c>
      <c r="R5" s="15">
        <f t="shared" si="9"/>
        <v>-3.2669320784895928E-2</v>
      </c>
      <c r="S5" s="13">
        <f>(1+R5)/(1+MAX(R$2:R5))-1</f>
        <v>0</v>
      </c>
      <c r="T5" s="20">
        <v>-4.0000000000000002E-4</v>
      </c>
      <c r="U5" s="15">
        <f t="shared" si="10"/>
        <v>8.4856370629040612E-3</v>
      </c>
      <c r="V5" s="15">
        <f t="shared" si="11"/>
        <v>8.4856370629040612E-3</v>
      </c>
      <c r="W5" s="13">
        <f>(1+V5)/(1+MAX(V$2:V5))-1</f>
        <v>-1.8392799999999987E-2</v>
      </c>
      <c r="X5" s="20">
        <v>1.89E-2</v>
      </c>
      <c r="Y5" s="15">
        <f t="shared" si="12"/>
        <v>1.7143334928755971E-2</v>
      </c>
      <c r="Z5" s="15">
        <f t="shared" si="13"/>
        <v>1.7143334928755971E-2</v>
      </c>
      <c r="AA5" s="13">
        <f>(1+Z5)/(1+MAX(Z$2:Z5))-1</f>
        <v>0</v>
      </c>
      <c r="AB5" s="124"/>
      <c r="AC5" s="20">
        <f t="shared" si="1"/>
        <v>1.3320000000000002E-2</v>
      </c>
      <c r="AD5" s="15">
        <f t="shared" si="14"/>
        <v>2.5714990660684389E-2</v>
      </c>
      <c r="AE5" s="15">
        <f t="shared" si="15"/>
        <v>2.5714990660684389E-2</v>
      </c>
      <c r="AF5" s="15">
        <f>(1+AE5)/(1+MAX(AE$2:AE5))-1</f>
        <v>0</v>
      </c>
      <c r="AG5" s="58">
        <f t="shared" si="16"/>
        <v>1025.7149906606846</v>
      </c>
      <c r="AH5" s="137"/>
      <c r="AI5" s="70"/>
      <c r="AJ5" s="70"/>
      <c r="AK5" s="70"/>
      <c r="AL5" s="70"/>
      <c r="AM5" s="70"/>
      <c r="AN5" s="70"/>
      <c r="AO5" s="70"/>
      <c r="AP5" s="81"/>
      <c r="AQ5" s="81"/>
    </row>
    <row r="6" spans="1:43" s="61" customFormat="1" outlineLevel="1" x14ac:dyDescent="0.3">
      <c r="A6" s="61" t="s">
        <v>663</v>
      </c>
      <c r="B6" s="55" t="str">
        <f t="shared" si="0"/>
        <v>2016-5</v>
      </c>
      <c r="C6" s="121">
        <v>42491</v>
      </c>
      <c r="D6" s="20">
        <v>4.7000000000000002E-3</v>
      </c>
      <c r="E6" s="15">
        <f t="shared" si="2"/>
        <v>2.2406309292443582E-2</v>
      </c>
      <c r="F6" s="15">
        <f t="shared" si="3"/>
        <v>2.2406309292443582E-2</v>
      </c>
      <c r="G6" s="13">
        <f>(1+F6)/(1+MAX(F$2:F6))-1</f>
        <v>0</v>
      </c>
      <c r="H6" s="20">
        <v>-4.3400000000000001E-2</v>
      </c>
      <c r="I6" s="15">
        <f t="shared" si="4"/>
        <v>0.1236226028009979</v>
      </c>
      <c r="J6" s="15">
        <f t="shared" si="5"/>
        <v>0.1236226028009979</v>
      </c>
      <c r="K6" s="13">
        <f>(1+J6)/(1+MAX(J$2:J6))-1</f>
        <v>-4.3399999999999994E-2</v>
      </c>
      <c r="L6" s="20">
        <v>1.77E-2</v>
      </c>
      <c r="M6" s="15">
        <f t="shared" si="6"/>
        <v>9.9545829767695437E-3</v>
      </c>
      <c r="N6" s="15">
        <f t="shared" si="7"/>
        <v>9.9545829767695437E-3</v>
      </c>
      <c r="O6" s="13">
        <f>(1+N6)/(1+MAX(N$2:N6))-1</f>
        <v>-7.584807384999892E-3</v>
      </c>
      <c r="P6" s="20">
        <v>2.63E-2</v>
      </c>
      <c r="Q6" s="15">
        <f t="shared" si="8"/>
        <v>-7.2285239215387209E-3</v>
      </c>
      <c r="R6" s="15">
        <f t="shared" si="9"/>
        <v>-7.2285239215387209E-3</v>
      </c>
      <c r="S6" s="13">
        <f>(1+R6)/(1+MAX(R$2:R6))-1</f>
        <v>0</v>
      </c>
      <c r="T6" s="20">
        <v>1.18E-2</v>
      </c>
      <c r="U6" s="15">
        <f t="shared" si="10"/>
        <v>2.038576758024635E-2</v>
      </c>
      <c r="V6" s="15">
        <f t="shared" si="11"/>
        <v>2.038576758024635E-2</v>
      </c>
      <c r="W6" s="13">
        <f>(1+V6)/(1+MAX(V$2:V6))-1</f>
        <v>-6.8098350399999896E-3</v>
      </c>
      <c r="X6" s="20">
        <v>3.32E-2</v>
      </c>
      <c r="Y6" s="15">
        <f t="shared" si="12"/>
        <v>5.0912493648390456E-2</v>
      </c>
      <c r="Z6" s="15">
        <f t="shared" si="13"/>
        <v>5.0912493648390456E-2</v>
      </c>
      <c r="AA6" s="13">
        <f>(1+Z6)/(1+MAX(Z$2:Z6))-1</f>
        <v>0</v>
      </c>
      <c r="AB6" s="124"/>
      <c r="AC6" s="20">
        <f t="shared" si="1"/>
        <v>8.2449999999999989E-3</v>
      </c>
      <c r="AD6" s="15">
        <f t="shared" si="14"/>
        <v>3.4172010758681814E-2</v>
      </c>
      <c r="AE6" s="15">
        <f t="shared" si="15"/>
        <v>3.4172010758681814E-2</v>
      </c>
      <c r="AF6" s="15">
        <f>(1+AE6)/(1+MAX(AE$2:AE6))-1</f>
        <v>0</v>
      </c>
      <c r="AG6" s="58">
        <f t="shared" si="16"/>
        <v>1034.1720107586821</v>
      </c>
      <c r="AH6" s="137"/>
      <c r="AI6" s="70"/>
      <c r="AJ6" s="70"/>
      <c r="AK6" s="70"/>
      <c r="AL6" s="70"/>
      <c r="AM6" s="70"/>
      <c r="AN6" s="70"/>
      <c r="AO6" s="70"/>
      <c r="AP6" s="81"/>
      <c r="AQ6" s="81"/>
    </row>
    <row r="7" spans="1:43" s="61" customFormat="1" outlineLevel="1" x14ac:dyDescent="0.3">
      <c r="A7" s="61" t="s">
        <v>663</v>
      </c>
      <c r="B7" s="55" t="str">
        <f t="shared" si="0"/>
        <v>2016-6</v>
      </c>
      <c r="C7" s="121">
        <v>42522</v>
      </c>
      <c r="D7" s="20">
        <v>2.1700000000000001E-2</v>
      </c>
      <c r="E7" s="15">
        <f t="shared" si="2"/>
        <v>4.45925262040896E-2</v>
      </c>
      <c r="F7" s="15">
        <f t="shared" si="3"/>
        <v>4.45925262040896E-2</v>
      </c>
      <c r="G7" s="13">
        <f>(1+F7)/(1+MAX(F$2:F7))-1</f>
        <v>0</v>
      </c>
      <c r="H7" s="20">
        <v>9.0700000000000003E-2</v>
      </c>
      <c r="I7" s="15">
        <f t="shared" si="4"/>
        <v>0.22553517287504832</v>
      </c>
      <c r="J7" s="15">
        <f t="shared" si="5"/>
        <v>0.22553517287504832</v>
      </c>
      <c r="K7" s="13">
        <f>(1+J7)/(1+MAX(J$2:J7))-1</f>
        <v>0</v>
      </c>
      <c r="L7" s="20">
        <v>1.9300000000000001E-2</v>
      </c>
      <c r="M7" s="15">
        <f t="shared" si="6"/>
        <v>2.9446706428221336E-2</v>
      </c>
      <c r="N7" s="15">
        <f t="shared" si="7"/>
        <v>2.9446706428221336E-2</v>
      </c>
      <c r="O7" s="13">
        <f>(1+N7)/(1+MAX(N$2:N7))-1</f>
        <v>0</v>
      </c>
      <c r="P7" s="20">
        <v>-7.7999999999999996E-3</v>
      </c>
      <c r="Q7" s="15">
        <f t="shared" si="8"/>
        <v>-1.4972141434950736E-2</v>
      </c>
      <c r="R7" s="15">
        <f t="shared" si="9"/>
        <v>-1.4972141434950736E-2</v>
      </c>
      <c r="S7" s="13">
        <f>(1+R7)/(1+MAX(R$2:R7))-1</f>
        <v>-7.8000000000000291E-3</v>
      </c>
      <c r="T7" s="20">
        <v>2.4500000000000001E-2</v>
      </c>
      <c r="U7" s="15">
        <f t="shared" si="10"/>
        <v>4.5385218885962253E-2</v>
      </c>
      <c r="V7" s="15">
        <f t="shared" si="11"/>
        <v>4.5385218885962253E-2</v>
      </c>
      <c r="W7" s="13">
        <f>(1+V7)/(1+MAX(V$2:V7))-1</f>
        <v>0</v>
      </c>
      <c r="X7" s="20">
        <v>2.8999999999999998E-3</v>
      </c>
      <c r="Y7" s="15">
        <f t="shared" si="12"/>
        <v>5.3960139879970725E-2</v>
      </c>
      <c r="Z7" s="15">
        <f t="shared" si="13"/>
        <v>5.3960139879970725E-2</v>
      </c>
      <c r="AA7" s="13">
        <f>(1+Z7)/(1+MAX(Z$2:Z7))-1</f>
        <v>0</v>
      </c>
      <c r="AB7" s="124"/>
      <c r="AC7" s="20">
        <f t="shared" si="1"/>
        <v>2.5704999999999999E-2</v>
      </c>
      <c r="AD7" s="15">
        <f t="shared" si="14"/>
        <v>6.0755402295233907E-2</v>
      </c>
      <c r="AE7" s="15">
        <f t="shared" si="15"/>
        <v>6.0755402295233907E-2</v>
      </c>
      <c r="AF7" s="15">
        <f>(1+AE7)/(1+MAX(AE$2:AE7))-1</f>
        <v>0</v>
      </c>
      <c r="AG7" s="58">
        <f t="shared" si="16"/>
        <v>1060.755402295234</v>
      </c>
      <c r="AH7" s="137"/>
      <c r="AI7" s="70"/>
      <c r="AJ7" s="70"/>
      <c r="AK7" s="70"/>
      <c r="AL7" s="70"/>
      <c r="AM7" s="70"/>
      <c r="AN7" s="70"/>
      <c r="AO7" s="70"/>
      <c r="AP7" s="81"/>
      <c r="AQ7" s="81"/>
    </row>
    <row r="8" spans="1:43" s="61" customFormat="1" outlineLevel="1" x14ac:dyDescent="0.3">
      <c r="A8" s="61" t="s">
        <v>663</v>
      </c>
      <c r="B8" s="55" t="str">
        <f t="shared" si="0"/>
        <v>2016-7</v>
      </c>
      <c r="C8" s="121">
        <v>42552</v>
      </c>
      <c r="D8" s="20">
        <v>1.7600000000000001E-2</v>
      </c>
      <c r="E8" s="15">
        <f t="shared" si="2"/>
        <v>6.2977354665281648E-2</v>
      </c>
      <c r="F8" s="15">
        <f t="shared" si="3"/>
        <v>6.2977354665281648E-2</v>
      </c>
      <c r="G8" s="13">
        <f>(1+F8)/(1+MAX(F$2:F8))-1</f>
        <v>0</v>
      </c>
      <c r="H8" s="20">
        <v>2.4400000000000002E-2</v>
      </c>
      <c r="I8" s="15">
        <f t="shared" si="4"/>
        <v>0.25543823109319952</v>
      </c>
      <c r="J8" s="15">
        <f t="shared" si="5"/>
        <v>0.25543823109319952</v>
      </c>
      <c r="K8" s="13">
        <f>(1+J8)/(1+MAX(J$2:J8))-1</f>
        <v>0</v>
      </c>
      <c r="L8" s="20">
        <v>1.11E-2</v>
      </c>
      <c r="M8" s="15">
        <f t="shared" si="6"/>
        <v>4.0873564869574608E-2</v>
      </c>
      <c r="N8" s="15">
        <f t="shared" si="7"/>
        <v>4.0873564869574608E-2</v>
      </c>
      <c r="O8" s="13">
        <f>(1+N8)/(1+MAX(N$2:N8))-1</f>
        <v>0</v>
      </c>
      <c r="P8" s="20">
        <v>4.7600000000000003E-2</v>
      </c>
      <c r="Q8" s="15">
        <f t="shared" si="8"/>
        <v>3.1915184632745675E-2</v>
      </c>
      <c r="R8" s="15">
        <f t="shared" si="9"/>
        <v>3.1915184632745675E-2</v>
      </c>
      <c r="S8" s="13">
        <f>(1+R8)/(1+MAX(R$2:R8))-1</f>
        <v>0</v>
      </c>
      <c r="T8" s="20">
        <v>1.06E-2</v>
      </c>
      <c r="U8" s="15">
        <f t="shared" si="10"/>
        <v>5.646630220615334E-2</v>
      </c>
      <c r="V8" s="15">
        <f t="shared" si="11"/>
        <v>5.646630220615334E-2</v>
      </c>
      <c r="W8" s="13">
        <f>(1+V8)/(1+MAX(V$2:V8))-1</f>
        <v>0</v>
      </c>
      <c r="X8" s="20">
        <v>5.0999999999999997E-2</v>
      </c>
      <c r="Y8" s="15">
        <f t="shared" si="12"/>
        <v>0.10771210701384915</v>
      </c>
      <c r="Z8" s="15">
        <f t="shared" si="13"/>
        <v>0.10771210701384915</v>
      </c>
      <c r="AA8" s="13">
        <f>(1+Z8)/(1+MAX(Z$2:Z8))-1</f>
        <v>0</v>
      </c>
      <c r="AB8" s="124"/>
      <c r="AC8" s="20">
        <f t="shared" si="1"/>
        <v>2.3435000000000001E-2</v>
      </c>
      <c r="AD8" s="15">
        <f t="shared" si="14"/>
        <v>8.5614205148022871E-2</v>
      </c>
      <c r="AE8" s="15">
        <f t="shared" si="15"/>
        <v>8.5614205148022871E-2</v>
      </c>
      <c r="AF8" s="15">
        <f>(1+AE8)/(1+MAX(AE$2:AE8))-1</f>
        <v>0</v>
      </c>
      <c r="AG8" s="58">
        <f t="shared" si="16"/>
        <v>1085.6142051480228</v>
      </c>
      <c r="AH8" s="137"/>
      <c r="AI8" s="70"/>
      <c r="AJ8" s="70"/>
      <c r="AK8" s="70"/>
      <c r="AL8" s="70"/>
      <c r="AM8" s="70"/>
      <c r="AN8" s="70"/>
      <c r="AO8" s="70"/>
      <c r="AP8" s="81"/>
      <c r="AQ8" s="81"/>
    </row>
    <row r="9" spans="1:43" s="61" customFormat="1" outlineLevel="1" x14ac:dyDescent="0.3">
      <c r="A9" s="61" t="s">
        <v>663</v>
      </c>
      <c r="B9" s="55" t="str">
        <f t="shared" si="0"/>
        <v>2016-8</v>
      </c>
      <c r="C9" s="121">
        <v>42583</v>
      </c>
      <c r="D9" s="20">
        <v>4.3E-3</v>
      </c>
      <c r="E9" s="15">
        <f t="shared" si="2"/>
        <v>6.7548157290342248E-2</v>
      </c>
      <c r="F9" s="15">
        <f t="shared" si="3"/>
        <v>6.7548157290342248E-2</v>
      </c>
      <c r="G9" s="13">
        <f>(1+F9)/(1+MAX(F$2:F9))-1</f>
        <v>0</v>
      </c>
      <c r="H9" s="20">
        <v>-3.8199999999999998E-2</v>
      </c>
      <c r="I9" s="15">
        <f t="shared" si="4"/>
        <v>0.20748049066543928</v>
      </c>
      <c r="J9" s="15">
        <f t="shared" si="5"/>
        <v>0.20748049066543928</v>
      </c>
      <c r="K9" s="13">
        <f>(1+J9)/(1+MAX(J$2:J9))-1</f>
        <v>-3.8200000000000012E-2</v>
      </c>
      <c r="L9" s="20">
        <v>-7.3000000000000001E-3</v>
      </c>
      <c r="M9" s="15">
        <f t="shared" si="6"/>
        <v>3.3275187846026677E-2</v>
      </c>
      <c r="N9" s="15">
        <f t="shared" si="7"/>
        <v>3.3275187846026677E-2</v>
      </c>
      <c r="O9" s="13">
        <f>(1+N9)/(1+MAX(N$2:N9))-1</f>
        <v>-7.3000000000000842E-3</v>
      </c>
      <c r="P9" s="20">
        <v>-4.1999999999999997E-3</v>
      </c>
      <c r="Q9" s="15">
        <f t="shared" si="8"/>
        <v>2.7581140857288133E-2</v>
      </c>
      <c r="R9" s="15">
        <f t="shared" si="9"/>
        <v>2.7581140857288133E-2</v>
      </c>
      <c r="S9" s="13">
        <f>(1+R9)/(1+MAX(R$2:R9))-1</f>
        <v>-4.1999999999999815E-3</v>
      </c>
      <c r="T9" s="20">
        <v>-1.0500000000000001E-2</v>
      </c>
      <c r="U9" s="15">
        <f t="shared" si="10"/>
        <v>4.5373406032988672E-2</v>
      </c>
      <c r="V9" s="15">
        <f t="shared" si="11"/>
        <v>4.5373406032988672E-2</v>
      </c>
      <c r="W9" s="13">
        <f>(1+V9)/(1+MAX(V$2:V9))-1</f>
        <v>-1.0500000000000065E-2</v>
      </c>
      <c r="X9" s="20">
        <v>1E-3</v>
      </c>
      <c r="Y9" s="15">
        <f t="shared" si="12"/>
        <v>0.10881981912086292</v>
      </c>
      <c r="Z9" s="15">
        <f t="shared" si="13"/>
        <v>0.10881981912086292</v>
      </c>
      <c r="AA9" s="13">
        <f>(1+Z9)/(1+MAX(Z$2:Z9))-1</f>
        <v>0</v>
      </c>
      <c r="AB9" s="124"/>
      <c r="AC9" s="20">
        <f t="shared" si="1"/>
        <v>-9.5399999999999999E-3</v>
      </c>
      <c r="AD9" s="15">
        <f t="shared" si="14"/>
        <v>7.5257445630910746E-2</v>
      </c>
      <c r="AE9" s="15">
        <f t="shared" si="15"/>
        <v>7.5257445630910746E-2</v>
      </c>
      <c r="AF9" s="15">
        <f>(1+AE9)/(1+MAX(AE$2:AE9))-1</f>
        <v>-9.5399999999999929E-3</v>
      </c>
      <c r="AG9" s="58">
        <f t="shared" si="16"/>
        <v>1075.2574456309108</v>
      </c>
      <c r="AH9" s="137"/>
      <c r="AI9" s="70"/>
      <c r="AJ9" s="70"/>
      <c r="AK9" s="70"/>
      <c r="AL9" s="70"/>
      <c r="AM9" s="70"/>
      <c r="AN9" s="70"/>
      <c r="AO9" s="70"/>
      <c r="AP9" s="81"/>
      <c r="AQ9" s="81"/>
    </row>
    <row r="10" spans="1:43" s="61" customFormat="1" outlineLevel="1" x14ac:dyDescent="0.3">
      <c r="A10" s="61" t="s">
        <v>663</v>
      </c>
      <c r="B10" s="55" t="str">
        <f t="shared" si="0"/>
        <v>2016-9</v>
      </c>
      <c r="C10" s="121">
        <v>42614</v>
      </c>
      <c r="D10" s="20">
        <v>-4.0000000000000001E-3</v>
      </c>
      <c r="E10" s="15">
        <f t="shared" si="2"/>
        <v>6.3277964661180963E-2</v>
      </c>
      <c r="F10" s="15">
        <f t="shared" si="3"/>
        <v>6.3277964661180963E-2</v>
      </c>
      <c r="G10" s="13">
        <f>(1+F10)/(1+MAX(F$2:F10))-1</f>
        <v>-3.9999999999998925E-3</v>
      </c>
      <c r="H10" s="20">
        <v>1.1999999999999999E-3</v>
      </c>
      <c r="I10" s="15">
        <f t="shared" si="4"/>
        <v>0.20892946725423789</v>
      </c>
      <c r="J10" s="15">
        <f t="shared" si="5"/>
        <v>0.20892946725423789</v>
      </c>
      <c r="K10" s="13">
        <f>(1+J10)/(1+MAX(J$2:J10))-1</f>
        <v>-3.7045839999999997E-2</v>
      </c>
      <c r="L10" s="20">
        <v>-7.6E-3</v>
      </c>
      <c r="M10" s="15">
        <f t="shared" si="6"/>
        <v>2.5422296418396773E-2</v>
      </c>
      <c r="N10" s="15">
        <f t="shared" si="7"/>
        <v>2.5422296418396773E-2</v>
      </c>
      <c r="O10" s="13">
        <f>(1+N10)/(1+MAX(N$2:N10))-1</f>
        <v>-1.4844520000000139E-2</v>
      </c>
      <c r="P10" s="20">
        <v>1.01E-2</v>
      </c>
      <c r="Q10" s="15">
        <f t="shared" si="8"/>
        <v>3.7959710379946721E-2</v>
      </c>
      <c r="R10" s="15">
        <f t="shared" si="9"/>
        <v>3.7959710379946721E-2</v>
      </c>
      <c r="S10" s="13">
        <f>(1+R10)/(1+MAX(R$2:R10))-1</f>
        <v>0</v>
      </c>
      <c r="T10" s="20">
        <v>1.4E-3</v>
      </c>
      <c r="U10" s="15">
        <f t="shared" si="10"/>
        <v>4.6836928801434974E-2</v>
      </c>
      <c r="V10" s="15">
        <f t="shared" si="11"/>
        <v>4.6836928801434974E-2</v>
      </c>
      <c r="W10" s="13">
        <f>(1+V10)/(1+MAX(V$2:V10))-1</f>
        <v>-9.1146999999999201E-3</v>
      </c>
      <c r="X10" s="20">
        <v>-2.8E-3</v>
      </c>
      <c r="Y10" s="15">
        <f t="shared" si="12"/>
        <v>0.10571512362732438</v>
      </c>
      <c r="Z10" s="15">
        <f t="shared" si="13"/>
        <v>0.10571512362732438</v>
      </c>
      <c r="AA10" s="13">
        <f>(1+Z10)/(1+MAX(Z$2:Z10))-1</f>
        <v>-2.8000000000001357E-3</v>
      </c>
      <c r="AB10" s="124"/>
      <c r="AC10" s="20">
        <f t="shared" si="1"/>
        <v>-8.0500000000000016E-4</v>
      </c>
      <c r="AD10" s="15">
        <f t="shared" si="14"/>
        <v>7.4391863387177848E-2</v>
      </c>
      <c r="AE10" s="15">
        <f t="shared" si="15"/>
        <v>7.4391863387177848E-2</v>
      </c>
      <c r="AF10" s="15">
        <f>(1+AE10)/(1+MAX(AE$2:AE10))-1</f>
        <v>-1.0337320300000008E-2</v>
      </c>
      <c r="AG10" s="58">
        <f t="shared" si="16"/>
        <v>1074.3918633871779</v>
      </c>
      <c r="AH10" s="137"/>
      <c r="AI10" s="70"/>
      <c r="AJ10" s="70"/>
      <c r="AK10" s="70"/>
      <c r="AL10" s="70"/>
      <c r="AM10" s="70"/>
      <c r="AN10" s="70"/>
      <c r="AO10" s="70"/>
      <c r="AP10" s="81"/>
      <c r="AQ10" s="81"/>
    </row>
    <row r="11" spans="1:43" s="61" customFormat="1" outlineLevel="1" x14ac:dyDescent="0.3">
      <c r="A11" s="61" t="s">
        <v>663</v>
      </c>
      <c r="B11" s="55" t="str">
        <f t="shared" si="0"/>
        <v>2016-10</v>
      </c>
      <c r="C11" s="121">
        <v>42644</v>
      </c>
      <c r="D11" s="20">
        <v>2.6200000000000001E-2</v>
      </c>
      <c r="E11" s="15">
        <f t="shared" si="2"/>
        <v>9.1135847335303888E-2</v>
      </c>
      <c r="F11" s="15">
        <f t="shared" si="3"/>
        <v>9.1135847335303888E-2</v>
      </c>
      <c r="G11" s="13">
        <f>(1+F11)/(1+MAX(F$2:F11))-1</f>
        <v>0</v>
      </c>
      <c r="H11" s="20">
        <v>-8.3999999999999995E-3</v>
      </c>
      <c r="I11" s="15">
        <f t="shared" si="4"/>
        <v>0.19877445972930241</v>
      </c>
      <c r="J11" s="15">
        <f t="shared" si="5"/>
        <v>0.19877445972930241</v>
      </c>
      <c r="K11" s="13">
        <f>(1+J11)/(1+MAX(J$2:J11))-1</f>
        <v>-4.5134654943999819E-2</v>
      </c>
      <c r="L11" s="20">
        <v>1.2999999999999999E-2</v>
      </c>
      <c r="M11" s="15">
        <f t="shared" si="6"/>
        <v>3.875278627183576E-2</v>
      </c>
      <c r="N11" s="15">
        <f t="shared" si="7"/>
        <v>3.875278627183576E-2</v>
      </c>
      <c r="O11" s="13">
        <f>(1+N11)/(1+MAX(N$2:N11))-1</f>
        <v>-2.0374987600002559E-3</v>
      </c>
      <c r="P11" s="20">
        <v>-2.0999999999999999E-3</v>
      </c>
      <c r="Q11" s="15">
        <f t="shared" si="8"/>
        <v>3.5779994988148767E-2</v>
      </c>
      <c r="R11" s="15">
        <f t="shared" si="9"/>
        <v>3.5779994988148767E-2</v>
      </c>
      <c r="S11" s="13">
        <f>(1+R11)/(1+MAX(R$2:R11))-1</f>
        <v>-2.1000000000001018E-3</v>
      </c>
      <c r="T11" s="20">
        <v>1.6199999999999999E-2</v>
      </c>
      <c r="U11" s="15">
        <f t="shared" si="10"/>
        <v>6.3795687048018301E-2</v>
      </c>
      <c r="V11" s="15">
        <f t="shared" si="11"/>
        <v>6.3795687048018301E-2</v>
      </c>
      <c r="W11" s="13">
        <f>(1+V11)/(1+MAX(V$2:V11))-1</f>
        <v>0</v>
      </c>
      <c r="X11" s="20">
        <v>-9.2999999999999992E-3</v>
      </c>
      <c r="Y11" s="15">
        <f t="shared" si="12"/>
        <v>9.5431972977590318E-2</v>
      </c>
      <c r="Z11" s="15">
        <f t="shared" si="13"/>
        <v>9.5431972977590318E-2</v>
      </c>
      <c r="AA11" s="13">
        <f>(1+Z11)/(1+MAX(Z$2:Z11))-1</f>
        <v>-1.207396000000005E-2</v>
      </c>
      <c r="AB11" s="124"/>
      <c r="AC11" s="20">
        <f t="shared" si="1"/>
        <v>7.9149999999999984E-3</v>
      </c>
      <c r="AD11" s="15">
        <f t="shared" si="14"/>
        <v>8.2895674985887347E-2</v>
      </c>
      <c r="AE11" s="15">
        <f t="shared" si="15"/>
        <v>8.2895674985887347E-2</v>
      </c>
      <c r="AF11" s="15">
        <f>(1+AE11)/(1+MAX(AE$2:AE11))-1</f>
        <v>-2.5041401901745308E-3</v>
      </c>
      <c r="AG11" s="58">
        <f t="shared" si="16"/>
        <v>1082.8956749858874</v>
      </c>
      <c r="AH11" s="137"/>
      <c r="AI11" s="70"/>
      <c r="AJ11" s="70"/>
      <c r="AK11" s="70"/>
      <c r="AL11" s="70"/>
      <c r="AM11" s="70"/>
      <c r="AN11" s="70"/>
      <c r="AO11" s="70"/>
      <c r="AP11" s="81"/>
      <c r="AQ11" s="81"/>
    </row>
    <row r="12" spans="1:43" s="61" customFormat="1" outlineLevel="1" x14ac:dyDescent="0.3">
      <c r="A12" s="61" t="s">
        <v>663</v>
      </c>
      <c r="B12" s="55" t="str">
        <f t="shared" si="0"/>
        <v>2016-11</v>
      </c>
      <c r="C12" s="121">
        <v>42675</v>
      </c>
      <c r="D12" s="20">
        <v>1.3100000000000001E-2</v>
      </c>
      <c r="E12" s="15">
        <f t="shared" si="2"/>
        <v>0.10542972693539654</v>
      </c>
      <c r="F12" s="15">
        <f t="shared" si="3"/>
        <v>0.10542972693539654</v>
      </c>
      <c r="G12" s="13">
        <f>(1+F12)/(1+MAX(F$2:F12))-1</f>
        <v>0</v>
      </c>
      <c r="H12" s="20">
        <v>-5.4699999999999999E-2</v>
      </c>
      <c r="I12" s="15">
        <f t="shared" si="4"/>
        <v>0.13320149678210957</v>
      </c>
      <c r="J12" s="15">
        <f t="shared" si="5"/>
        <v>0.13320149678210957</v>
      </c>
      <c r="K12" s="13">
        <f>(1+J12)/(1+MAX(J$2:J12))-1</f>
        <v>-9.7365789318563101E-2</v>
      </c>
      <c r="L12" s="20">
        <v>6.1000000000000004E-3</v>
      </c>
      <c r="M12" s="15">
        <f t="shared" si="6"/>
        <v>4.5089178268093999E-2</v>
      </c>
      <c r="N12" s="15">
        <f t="shared" si="7"/>
        <v>4.5089178268093999E-2</v>
      </c>
      <c r="O12" s="13">
        <f>(1+N12)/(1+MAX(N$2:N12))-1</f>
        <v>0</v>
      </c>
      <c r="P12" s="20">
        <v>4.1200000000000001E-2</v>
      </c>
      <c r="Q12" s="15">
        <f t="shared" si="8"/>
        <v>7.8454130781660414E-2</v>
      </c>
      <c r="R12" s="15">
        <f t="shared" si="9"/>
        <v>7.8454130781660414E-2</v>
      </c>
      <c r="S12" s="13">
        <f>(1+R12)/(1+MAX(R$2:R12))-1</f>
        <v>0</v>
      </c>
      <c r="T12" s="20">
        <v>1.0500000000000001E-2</v>
      </c>
      <c r="U12" s="15">
        <f t="shared" si="10"/>
        <v>7.4965541762022525E-2</v>
      </c>
      <c r="V12" s="15">
        <f t="shared" si="11"/>
        <v>7.4965541762022525E-2</v>
      </c>
      <c r="W12" s="13">
        <f>(1+V12)/(1+MAX(V$2:V12))-1</f>
        <v>0</v>
      </c>
      <c r="X12" s="20">
        <v>0.1376</v>
      </c>
      <c r="Y12" s="15">
        <f t="shared" si="12"/>
        <v>0.24616341245930662</v>
      </c>
      <c r="Z12" s="15">
        <f t="shared" si="13"/>
        <v>0.24616341245930662</v>
      </c>
      <c r="AA12" s="13">
        <f>(1+Z12)/(1+MAX(Z$2:Z12))-1</f>
        <v>0</v>
      </c>
      <c r="AB12" s="124"/>
      <c r="AC12" s="20">
        <f t="shared" si="1"/>
        <v>1.7325000000000004E-2</v>
      </c>
      <c r="AD12" s="15">
        <f t="shared" si="14"/>
        <v>0.10165684255501795</v>
      </c>
      <c r="AE12" s="15">
        <f t="shared" si="15"/>
        <v>0.10165684255501795</v>
      </c>
      <c r="AF12" s="15">
        <f>(1+AE12)/(1+MAX(AE$2:AE12))-1</f>
        <v>0</v>
      </c>
      <c r="AG12" s="58">
        <f t="shared" si="16"/>
        <v>1101.6568425550179</v>
      </c>
      <c r="AH12" s="137"/>
      <c r="AI12" s="70"/>
      <c r="AJ12" s="70"/>
      <c r="AK12" s="70"/>
      <c r="AL12" s="70"/>
      <c r="AM12" s="70"/>
      <c r="AN12" s="70"/>
      <c r="AO12" s="70"/>
      <c r="AP12" s="81"/>
      <c r="AQ12" s="81"/>
    </row>
    <row r="13" spans="1:43" s="27" customFormat="1" ht="15" thickBot="1" x14ac:dyDescent="0.35">
      <c r="A13" s="27" t="s">
        <v>663</v>
      </c>
      <c r="B13" s="63" t="str">
        <f t="shared" si="0"/>
        <v>2016-12</v>
      </c>
      <c r="C13" s="122">
        <v>42705</v>
      </c>
      <c r="D13" s="32">
        <v>1.6199999999999999E-2</v>
      </c>
      <c r="E13" s="25">
        <f t="shared" si="2"/>
        <v>0.12333768851174987</v>
      </c>
      <c r="F13" s="25">
        <f t="shared" si="3"/>
        <v>0.12333768851174987</v>
      </c>
      <c r="G13" s="26">
        <f>(1+F13)/(1+MAX(F$2:F13))-1</f>
        <v>0</v>
      </c>
      <c r="H13" s="32">
        <v>-1.18E-2</v>
      </c>
      <c r="I13" s="25">
        <f t="shared" si="4"/>
        <v>0.11982971912008056</v>
      </c>
      <c r="J13" s="25">
        <f t="shared" si="5"/>
        <v>0.11982971912008056</v>
      </c>
      <c r="K13" s="26">
        <f>(1+J13)/(1+MAX(J$2:J13))-1</f>
        <v>-0.10801687300460416</v>
      </c>
      <c r="L13" s="32">
        <v>2.0299999999999999E-2</v>
      </c>
      <c r="M13" s="25">
        <f t="shared" si="6"/>
        <v>6.6304488586936383E-2</v>
      </c>
      <c r="N13" s="25">
        <f t="shared" si="7"/>
        <v>6.6304488586936383E-2</v>
      </c>
      <c r="O13" s="26">
        <f>(1+N13)/(1+MAX(N$2:N13))-1</f>
        <v>0</v>
      </c>
      <c r="P13" s="32">
        <v>2.1700000000000001E-2</v>
      </c>
      <c r="Q13" s="25">
        <f t="shared" si="8"/>
        <v>0.1018565854196225</v>
      </c>
      <c r="R13" s="25">
        <f t="shared" si="9"/>
        <v>0.1018565854196225</v>
      </c>
      <c r="S13" s="26">
        <f>(1+R13)/(1+MAX(R$2:R13))-1</f>
        <v>0</v>
      </c>
      <c r="T13" s="32">
        <v>-5.3E-3</v>
      </c>
      <c r="U13" s="25">
        <f t="shared" si="10"/>
        <v>6.9268224390683919E-2</v>
      </c>
      <c r="V13" s="25">
        <f t="shared" si="11"/>
        <v>6.9268224390683919E-2</v>
      </c>
      <c r="W13" s="26">
        <f>(1+V13)/(1+MAX(V$2:V13))-1</f>
        <v>-5.2999999999998604E-3</v>
      </c>
      <c r="X13" s="32">
        <v>3.5299999999999998E-2</v>
      </c>
      <c r="Y13" s="25">
        <f t="shared" si="12"/>
        <v>0.2901529809191199</v>
      </c>
      <c r="Z13" s="25">
        <f t="shared" si="13"/>
        <v>0.2901529809191199</v>
      </c>
      <c r="AA13" s="26">
        <f>(1+Z13)/(1+MAX(Z$2:Z13))-1</f>
        <v>0</v>
      </c>
      <c r="AB13" s="125"/>
      <c r="AC13" s="32">
        <f t="shared" si="1"/>
        <v>1.146E-2</v>
      </c>
      <c r="AD13" s="25">
        <f t="shared" si="14"/>
        <v>0.11428182997069847</v>
      </c>
      <c r="AE13" s="25">
        <f t="shared" si="15"/>
        <v>0.11428182997069847</v>
      </c>
      <c r="AF13" s="25">
        <f>(1+AE13)/(1+MAX(AE$2:AE13))-1</f>
        <v>0</v>
      </c>
      <c r="AG13" s="66">
        <f t="shared" si="16"/>
        <v>1114.2818299706985</v>
      </c>
      <c r="AH13" s="138"/>
      <c r="AI13" s="139"/>
      <c r="AJ13" s="139"/>
      <c r="AK13" s="139"/>
      <c r="AL13" s="139"/>
      <c r="AM13" s="139"/>
      <c r="AN13" s="139"/>
      <c r="AO13" s="139"/>
      <c r="AP13" s="78"/>
      <c r="AQ13" s="78"/>
    </row>
    <row r="14" spans="1:43" s="54" customFormat="1" outlineLevel="1" x14ac:dyDescent="0.3">
      <c r="A14" s="54" t="s">
        <v>664</v>
      </c>
      <c r="B14" s="48" t="str">
        <f t="shared" si="0"/>
        <v>2017-1</v>
      </c>
      <c r="C14" s="120">
        <v>42736</v>
      </c>
      <c r="D14" s="10">
        <v>-2.8999999999999998E-3</v>
      </c>
      <c r="E14" s="5">
        <f>+D14</f>
        <v>-2.8999999999999998E-3</v>
      </c>
      <c r="F14" s="5">
        <f t="shared" si="3"/>
        <v>0.12008000921506579</v>
      </c>
      <c r="G14" s="3">
        <f>(1+F14)/(1+MAX(F$2:F14))-1</f>
        <v>-2.9000000000000137E-3</v>
      </c>
      <c r="H14" s="10">
        <v>4.0099999999999997E-2</v>
      </c>
      <c r="I14" s="5">
        <f>+H14</f>
        <v>4.0099999999999997E-2</v>
      </c>
      <c r="J14" s="5">
        <f t="shared" si="5"/>
        <v>0.16473489085679582</v>
      </c>
      <c r="K14" s="3">
        <f>(1+J14)/(1+MAX(J$2:J14))-1</f>
        <v>-7.2248349612088703E-2</v>
      </c>
      <c r="L14" s="10">
        <v>-1.0500000000000001E-2</v>
      </c>
      <c r="M14" s="5">
        <f>+L14</f>
        <v>-1.0500000000000001E-2</v>
      </c>
      <c r="N14" s="5">
        <f t="shared" si="7"/>
        <v>5.5108291456773539E-2</v>
      </c>
      <c r="O14" s="3">
        <f>(1+N14)/(1+MAX(N$2:N14))-1</f>
        <v>-1.0500000000000065E-2</v>
      </c>
      <c r="P14" s="10">
        <v>2.5700000000000001E-2</v>
      </c>
      <c r="Q14" s="5">
        <f>+P14</f>
        <v>2.5700000000000001E-2</v>
      </c>
      <c r="R14" s="5">
        <f t="shared" si="9"/>
        <v>0.1301742996649069</v>
      </c>
      <c r="S14" s="3">
        <f>(1+R14)/(1+MAX(R$2:R14))-1</f>
        <v>0</v>
      </c>
      <c r="T14" s="10">
        <v>-2.5999999999999999E-3</v>
      </c>
      <c r="U14" s="5">
        <f>+T14</f>
        <v>-2.5999999999999999E-3</v>
      </c>
      <c r="V14" s="5">
        <f t="shared" si="11"/>
        <v>6.6488127007268139E-2</v>
      </c>
      <c r="W14" s="3">
        <f>(1+V14)/(1+MAX(V$2:V14))-1</f>
        <v>-7.8862199999999438E-3</v>
      </c>
      <c r="X14" s="10">
        <v>-5.7999999999999996E-3</v>
      </c>
      <c r="Y14" s="5">
        <f>+X14</f>
        <v>-5.7999999999999996E-3</v>
      </c>
      <c r="Z14" s="5">
        <f t="shared" si="13"/>
        <v>0.28267009362978901</v>
      </c>
      <c r="AA14" s="3">
        <f>(1+Z14)/(1+MAX(Z$2:Z14))-1</f>
        <v>-5.8000000000000274E-3</v>
      </c>
      <c r="AB14" s="124"/>
      <c r="AC14" s="10">
        <f t="shared" si="1"/>
        <v>5.7100000000000007E-3</v>
      </c>
      <c r="AD14" s="5">
        <f>+AC14</f>
        <v>5.7100000000000007E-3</v>
      </c>
      <c r="AE14" s="5">
        <f t="shared" si="15"/>
        <v>0.12064437921983129</v>
      </c>
      <c r="AF14" s="5">
        <f>(1+AE14)/(1+MAX(AE$2:AE14))-1</f>
        <v>0</v>
      </c>
      <c r="AG14" s="51">
        <f t="shared" si="16"/>
        <v>1120.6443792198313</v>
      </c>
      <c r="AH14" s="137"/>
      <c r="AI14" s="70"/>
      <c r="AJ14" s="70"/>
      <c r="AK14" s="70"/>
      <c r="AL14" s="70"/>
      <c r="AM14" s="70"/>
      <c r="AN14" s="70"/>
      <c r="AO14" s="70"/>
      <c r="AP14" s="81"/>
      <c r="AQ14" s="81"/>
    </row>
    <row r="15" spans="1:43" s="61" customFormat="1" outlineLevel="1" x14ac:dyDescent="0.3">
      <c r="A15" s="61" t="s">
        <v>664</v>
      </c>
      <c r="B15" s="55" t="str">
        <f t="shared" si="0"/>
        <v>2017-2</v>
      </c>
      <c r="C15" s="121">
        <v>42767</v>
      </c>
      <c r="D15" s="20">
        <v>2.53E-2</v>
      </c>
      <c r="E15" s="15">
        <f t="shared" ref="E15:E25" si="17">+(1+D15)*(1+E14)-1</f>
        <v>2.2326630000000014E-2</v>
      </c>
      <c r="F15" s="15">
        <f t="shared" si="3"/>
        <v>0.14841803344820703</v>
      </c>
      <c r="G15" s="13">
        <f>(1+F15)/(1+MAX(F$2:F15))-1</f>
        <v>0</v>
      </c>
      <c r="H15" s="20">
        <v>4.3799999999999999E-2</v>
      </c>
      <c r="I15" s="15">
        <f t="shared" ref="I15:I25" si="18">+(1+H15)*(1+I14)-1</f>
        <v>8.5656380000000087E-2</v>
      </c>
      <c r="J15" s="15">
        <f t="shared" si="5"/>
        <v>0.21575027907632349</v>
      </c>
      <c r="K15" s="13">
        <f>(1+J15)/(1+MAX(J$2:J15))-1</f>
        <v>-3.1612827325098181E-2</v>
      </c>
      <c r="L15" s="20">
        <v>1.7299999999999999E-2</v>
      </c>
      <c r="M15" s="15">
        <f t="shared" ref="M15:M25" si="19">+(1+L15)*(1+M14)-1</f>
        <v>6.6183500000001061E-3</v>
      </c>
      <c r="N15" s="15">
        <f t="shared" si="7"/>
        <v>7.3361664898975887E-2</v>
      </c>
      <c r="O15" s="13">
        <f>(1+N15)/(1+MAX(N$2:N15))-1</f>
        <v>0</v>
      </c>
      <c r="P15" s="20">
        <v>2.9000000000000001E-2</v>
      </c>
      <c r="Q15" s="15">
        <f t="shared" ref="Q15:Q25" si="20">+(1+P15)*(1+Q14)-1</f>
        <v>5.544529999999992E-2</v>
      </c>
      <c r="R15" s="15">
        <f t="shared" si="9"/>
        <v>0.1629493543551892</v>
      </c>
      <c r="S15" s="13">
        <f>(1+R15)/(1+MAX(R$2:R15))-1</f>
        <v>0</v>
      </c>
      <c r="T15" s="20">
        <v>1.5599999999999999E-2</v>
      </c>
      <c r="U15" s="15">
        <f t="shared" ref="U15:U25" si="21">+(1+T15)*(1+U14)-1</f>
        <v>1.2959439999999933E-2</v>
      </c>
      <c r="V15" s="15">
        <f t="shared" si="11"/>
        <v>8.3125341788581553E-2</v>
      </c>
      <c r="W15" s="13">
        <f>(1+V15)/(1+MAX(V$2:V15))-1</f>
        <v>0</v>
      </c>
      <c r="X15" s="20">
        <v>3.2599999999999997E-2</v>
      </c>
      <c r="Y15" s="15">
        <f t="shared" ref="Y15:Y25" si="22">+(1+X15)*(1+Y14)-1</f>
        <v>2.6610919999999982E-2</v>
      </c>
      <c r="Z15" s="15">
        <f t="shared" si="13"/>
        <v>0.32448513868212014</v>
      </c>
      <c r="AA15" s="13">
        <f>(1+Z15)/(1+MAX(Z$2:Z15))-1</f>
        <v>0</v>
      </c>
      <c r="AB15" s="124"/>
      <c r="AC15" s="20">
        <f t="shared" si="1"/>
        <v>2.5419999999999998E-2</v>
      </c>
      <c r="AD15" s="15">
        <f t="shared" ref="AD15:AD25" si="23">+(1+AC15)*(1+AD14)-1</f>
        <v>3.1275148200000213E-2</v>
      </c>
      <c r="AE15" s="15">
        <f t="shared" si="15"/>
        <v>0.14913115933959942</v>
      </c>
      <c r="AF15" s="15">
        <f>(1+AE15)/(1+MAX(AE$2:AE15))-1</f>
        <v>0</v>
      </c>
      <c r="AG15" s="58">
        <f t="shared" si="16"/>
        <v>1149.1311593395994</v>
      </c>
      <c r="AH15" s="137"/>
      <c r="AI15" s="70"/>
      <c r="AJ15" s="70"/>
      <c r="AK15" s="70"/>
      <c r="AL15" s="70"/>
      <c r="AM15" s="70"/>
      <c r="AN15" s="70"/>
      <c r="AO15" s="70"/>
      <c r="AP15" s="81"/>
      <c r="AQ15" s="81"/>
    </row>
    <row r="16" spans="1:43" s="61" customFormat="1" outlineLevel="1" x14ac:dyDescent="0.3">
      <c r="A16" s="61" t="s">
        <v>664</v>
      </c>
      <c r="B16" s="55" t="str">
        <f t="shared" si="0"/>
        <v>2017-3</v>
      </c>
      <c r="C16" s="121">
        <v>42795</v>
      </c>
      <c r="D16" s="20">
        <v>1.6000000000000001E-3</v>
      </c>
      <c r="E16" s="15">
        <f t="shared" si="17"/>
        <v>2.396235260800017E-2</v>
      </c>
      <c r="F16" s="15">
        <f t="shared" si="3"/>
        <v>0.15025550230172424</v>
      </c>
      <c r="G16" s="13">
        <f>(1+F16)/(1+MAX(F$2:F16))-1</f>
        <v>0</v>
      </c>
      <c r="H16" s="20">
        <v>-1.21E-2</v>
      </c>
      <c r="I16" s="15">
        <f t="shared" si="18"/>
        <v>7.2519937802000056E-2</v>
      </c>
      <c r="J16" s="15">
        <f t="shared" si="5"/>
        <v>0.20103970069949995</v>
      </c>
      <c r="K16" s="13">
        <f>(1+J16)/(1+MAX(J$2:J16))-1</f>
        <v>-4.3330312114464475E-2</v>
      </c>
      <c r="L16" s="20">
        <v>-1.0699999999999999E-2</v>
      </c>
      <c r="M16" s="15">
        <f t="shared" si="19"/>
        <v>-4.1524663449998833E-3</v>
      </c>
      <c r="N16" s="15">
        <f t="shared" si="7"/>
        <v>6.1876695084556843E-2</v>
      </c>
      <c r="O16" s="13">
        <f>(1+N16)/(1+MAX(N$2:N16))-1</f>
        <v>-1.0700000000000043E-2</v>
      </c>
      <c r="P16" s="20">
        <v>7.4000000000000003E-3</v>
      </c>
      <c r="Q16" s="15">
        <f t="shared" si="20"/>
        <v>6.3255595220000016E-2</v>
      </c>
      <c r="R16" s="15">
        <f t="shared" si="9"/>
        <v>0.17155517957741773</v>
      </c>
      <c r="S16" s="13">
        <f>(1+R16)/(1+MAX(R$2:R16))-1</f>
        <v>0</v>
      </c>
      <c r="T16" s="20">
        <v>-9.4999999999999998E-3</v>
      </c>
      <c r="U16" s="15">
        <f t="shared" si="21"/>
        <v>3.3363253200000553E-3</v>
      </c>
      <c r="V16" s="15">
        <f t="shared" si="11"/>
        <v>7.2835651041590177E-2</v>
      </c>
      <c r="W16" s="13">
        <f>(1+V16)/(1+MAX(V$2:V16))-1</f>
        <v>-9.4999999999998419E-3</v>
      </c>
      <c r="X16" s="20">
        <v>-1.7000000000000001E-2</v>
      </c>
      <c r="Y16" s="15">
        <f t="shared" si="22"/>
        <v>9.1585343600000257E-3</v>
      </c>
      <c r="Z16" s="15">
        <f t="shared" si="13"/>
        <v>0.30196889132452398</v>
      </c>
      <c r="AA16" s="13">
        <f>(1+Z16)/(1+MAX(Z$2:Z16))-1</f>
        <v>-1.7000000000000126E-2</v>
      </c>
      <c r="AB16" s="124"/>
      <c r="AC16" s="20">
        <f t="shared" si="1"/>
        <v>-6.7399999999999995E-3</v>
      </c>
      <c r="AD16" s="15">
        <f t="shared" si="23"/>
        <v>2.4324353701132173E-2</v>
      </c>
      <c r="AE16" s="15">
        <f t="shared" si="15"/>
        <v>0.14138601532565054</v>
      </c>
      <c r="AF16" s="15">
        <f>(1+AE16)/(1+MAX(AE$2:AE16))-1</f>
        <v>-6.7399999999999682E-3</v>
      </c>
      <c r="AG16" s="58">
        <f t="shared" si="16"/>
        <v>1141.3860153256505</v>
      </c>
      <c r="AH16" s="137"/>
      <c r="AI16" s="70"/>
      <c r="AJ16" s="70"/>
      <c r="AK16" s="70"/>
      <c r="AL16" s="70"/>
      <c r="AM16" s="70"/>
      <c r="AN16" s="70"/>
      <c r="AO16" s="70"/>
      <c r="AP16" s="81"/>
      <c r="AQ16" s="81"/>
    </row>
    <row r="17" spans="1:43" s="61" customFormat="1" outlineLevel="1" x14ac:dyDescent="0.3">
      <c r="A17" s="61" t="s">
        <v>664</v>
      </c>
      <c r="B17" s="55" t="str">
        <f t="shared" si="0"/>
        <v>2017-4</v>
      </c>
      <c r="C17" s="121">
        <v>42826</v>
      </c>
      <c r="D17" s="20">
        <v>-9.9000000000000008E-3</v>
      </c>
      <c r="E17" s="15">
        <f t="shared" si="17"/>
        <v>1.3825125317181053E-2</v>
      </c>
      <c r="F17" s="15">
        <f t="shared" si="3"/>
        <v>0.13886797282893726</v>
      </c>
      <c r="G17" s="13">
        <f>(1+F17)/(1+MAX(F$2:F17))-1</f>
        <v>-9.8999999999999089E-3</v>
      </c>
      <c r="H17" s="20">
        <v>1E-4</v>
      </c>
      <c r="I17" s="15">
        <f t="shared" si="18"/>
        <v>7.26271897957802E-2</v>
      </c>
      <c r="J17" s="15">
        <f t="shared" si="5"/>
        <v>0.20115980466956995</v>
      </c>
      <c r="K17" s="13">
        <f>(1+J17)/(1+MAX(J$2:J17))-1</f>
        <v>-4.3234645145675876E-2</v>
      </c>
      <c r="L17" s="20">
        <v>-9.9000000000000008E-3</v>
      </c>
      <c r="M17" s="15">
        <f t="shared" si="19"/>
        <v>-1.4011356928184449E-2</v>
      </c>
      <c r="N17" s="15">
        <f t="shared" si="7"/>
        <v>5.1364115803219645E-2</v>
      </c>
      <c r="O17" s="13">
        <f>(1+N17)/(1+MAX(N$2:N17))-1</f>
        <v>-2.0494070000000031E-2</v>
      </c>
      <c r="P17" s="20">
        <v>1.06E-2</v>
      </c>
      <c r="Q17" s="15">
        <f t="shared" si="20"/>
        <v>7.4526104529331949E-2</v>
      </c>
      <c r="R17" s="15">
        <f t="shared" si="9"/>
        <v>0.18397366448093821</v>
      </c>
      <c r="S17" s="13">
        <f>(1+R17)/(1+MAX(R$2:R17))-1</f>
        <v>0</v>
      </c>
      <c r="T17" s="20">
        <v>-1.18E-2</v>
      </c>
      <c r="U17" s="15">
        <f t="shared" si="21"/>
        <v>-8.503043318775938E-3</v>
      </c>
      <c r="V17" s="15">
        <f t="shared" si="11"/>
        <v>6.0176190359299442E-2</v>
      </c>
      <c r="W17" s="13">
        <f>(1+V17)/(1+MAX(V$2:V17))-1</f>
        <v>-2.1187899999999815E-2</v>
      </c>
      <c r="X17" s="20">
        <v>-1.2200000000000001E-2</v>
      </c>
      <c r="Y17" s="15">
        <f t="shared" si="22"/>
        <v>-3.153199759191927E-3</v>
      </c>
      <c r="Z17" s="15">
        <f t="shared" si="13"/>
        <v>0.28608487085036471</v>
      </c>
      <c r="AA17" s="13">
        <f>(1+Z17)/(1+MAX(Z$2:Z17))-1</f>
        <v>-2.8992600000000146E-2</v>
      </c>
      <c r="AB17" s="124"/>
      <c r="AC17" s="20">
        <f t="shared" si="1"/>
        <v>-5.935000000000001E-3</v>
      </c>
      <c r="AD17" s="15">
        <f t="shared" si="23"/>
        <v>1.824498866191604E-2</v>
      </c>
      <c r="AE17" s="15">
        <f t="shared" si="15"/>
        <v>0.13461188932469281</v>
      </c>
      <c r="AF17" s="15">
        <f>(1+AE17)/(1+MAX(AE$2:AE17))-1</f>
        <v>-1.2634998100000017E-2</v>
      </c>
      <c r="AG17" s="58">
        <f t="shared" si="16"/>
        <v>1134.6118893246928</v>
      </c>
      <c r="AH17" s="137"/>
      <c r="AI17" s="70"/>
      <c r="AJ17" s="70"/>
      <c r="AK17" s="70"/>
      <c r="AL17" s="70"/>
      <c r="AM17" s="70"/>
      <c r="AN17" s="70"/>
      <c r="AO17" s="70"/>
      <c r="AP17" s="81"/>
      <c r="AQ17" s="81"/>
    </row>
    <row r="18" spans="1:43" s="61" customFormat="1" outlineLevel="1" x14ac:dyDescent="0.3">
      <c r="A18" s="61" t="s">
        <v>664</v>
      </c>
      <c r="B18" s="55" t="str">
        <f t="shared" si="0"/>
        <v>2017-5</v>
      </c>
      <c r="C18" s="121">
        <v>42856</v>
      </c>
      <c r="D18" s="20">
        <v>-1.9400000000000001E-2</v>
      </c>
      <c r="E18" s="15">
        <f t="shared" si="17"/>
        <v>-5.84308211397222E-3</v>
      </c>
      <c r="F18" s="15">
        <f t="shared" si="3"/>
        <v>0.11677393415605586</v>
      </c>
      <c r="G18" s="13">
        <f>(1+F18)/(1+MAX(F$2:F18))-1</f>
        <v>-2.9107939999999943E-2</v>
      </c>
      <c r="H18" s="20">
        <v>-2.8299999999999999E-2</v>
      </c>
      <c r="I18" s="15">
        <f t="shared" si="18"/>
        <v>4.2271840324559662E-2</v>
      </c>
      <c r="J18" s="15">
        <f t="shared" si="5"/>
        <v>0.1671669821974211</v>
      </c>
      <c r="K18" s="13">
        <f>(1+J18)/(1+MAX(J$2:J18))-1</f>
        <v>-7.031110468805335E-2</v>
      </c>
      <c r="L18" s="20">
        <v>-2.0400000000000001E-2</v>
      </c>
      <c r="M18" s="15">
        <f t="shared" si="19"/>
        <v>-3.412552524684942E-2</v>
      </c>
      <c r="N18" s="15">
        <f t="shared" si="7"/>
        <v>2.9916287840833888E-2</v>
      </c>
      <c r="O18" s="13">
        <f>(1+N18)/(1+MAX(N$2:N18))-1</f>
        <v>-4.0475990972000164E-2</v>
      </c>
      <c r="P18" s="20">
        <v>1.1999999999999999E-3</v>
      </c>
      <c r="Q18" s="15">
        <f t="shared" si="20"/>
        <v>7.5815535854767191E-2</v>
      </c>
      <c r="R18" s="15">
        <f t="shared" si="9"/>
        <v>0.18539443287831547</v>
      </c>
      <c r="S18" s="13">
        <f>(1+R18)/(1+MAX(R$2:R18))-1</f>
        <v>0</v>
      </c>
      <c r="T18" s="20">
        <v>-2.75E-2</v>
      </c>
      <c r="U18" s="15">
        <f t="shared" si="21"/>
        <v>-3.5769209627509624E-2</v>
      </c>
      <c r="V18" s="15">
        <f t="shared" si="11"/>
        <v>3.1021345124418787E-2</v>
      </c>
      <c r="W18" s="13">
        <f>(1+V18)/(1+MAX(V$2:V18))-1</f>
        <v>-4.8105232749999782E-2</v>
      </c>
      <c r="X18" s="20">
        <v>-5.0299999999999997E-2</v>
      </c>
      <c r="Y18" s="15">
        <f t="shared" si="22"/>
        <v>-5.3294593811304636E-2</v>
      </c>
      <c r="Z18" s="15">
        <f t="shared" si="13"/>
        <v>0.22139480184659144</v>
      </c>
      <c r="AA18" s="13">
        <f>(1+Z18)/(1+MAX(Z$2:Z18))-1</f>
        <v>-7.7834272220000056E-2</v>
      </c>
      <c r="AB18" s="124"/>
      <c r="AC18" s="20">
        <f t="shared" si="1"/>
        <v>-2.2605E-2</v>
      </c>
      <c r="AD18" s="15">
        <f t="shared" si="23"/>
        <v>-4.7724393067866133E-3</v>
      </c>
      <c r="AE18" s="15">
        <f t="shared" si="15"/>
        <v>0.10896398756650805</v>
      </c>
      <c r="AF18" s="15">
        <f>(1+AE18)/(1+MAX(AE$2:AE18))-1</f>
        <v>-3.4954383967949587E-2</v>
      </c>
      <c r="AG18" s="58">
        <f t="shared" si="16"/>
        <v>1108.9639875665082</v>
      </c>
      <c r="AH18" s="137"/>
      <c r="AI18" s="70"/>
      <c r="AJ18" s="70"/>
      <c r="AK18" s="70"/>
      <c r="AL18" s="70"/>
      <c r="AM18" s="70"/>
      <c r="AN18" s="70"/>
      <c r="AO18" s="70"/>
      <c r="AP18" s="81"/>
      <c r="AQ18" s="81"/>
    </row>
    <row r="19" spans="1:43" s="61" customFormat="1" outlineLevel="1" x14ac:dyDescent="0.3">
      <c r="A19" s="61" t="s">
        <v>664</v>
      </c>
      <c r="B19" s="55" t="str">
        <f t="shared" si="0"/>
        <v>2017-6</v>
      </c>
      <c r="C19" s="121">
        <v>42887</v>
      </c>
      <c r="D19" s="20">
        <v>-1.6400000000000001E-2</v>
      </c>
      <c r="E19" s="15">
        <f t="shared" si="17"/>
        <v>-2.2147255567303015E-2</v>
      </c>
      <c r="F19" s="15">
        <f t="shared" si="3"/>
        <v>9.8458841635896466E-2</v>
      </c>
      <c r="G19" s="13">
        <f>(1+F19)/(1+MAX(F$2:F19))-1</f>
        <v>-4.5030569783999996E-2</v>
      </c>
      <c r="H19" s="20">
        <v>-4.4400000000000002E-2</v>
      </c>
      <c r="I19" s="15">
        <f t="shared" si="18"/>
        <v>-4.005029385850789E-3</v>
      </c>
      <c r="J19" s="15">
        <f t="shared" si="5"/>
        <v>0.11534476818785566</v>
      </c>
      <c r="K19" s="13">
        <f>(1+J19)/(1+MAX(J$2:J19))-1</f>
        <v>-0.11158929163990372</v>
      </c>
      <c r="L19" s="20">
        <v>-2.4500000000000001E-2</v>
      </c>
      <c r="M19" s="15">
        <f t="shared" si="19"/>
        <v>-5.7789449878301591E-2</v>
      </c>
      <c r="N19" s="15">
        <f t="shared" si="7"/>
        <v>4.6833387887335043E-3</v>
      </c>
      <c r="O19" s="13">
        <f>(1+N19)/(1+MAX(N$2:N19))-1</f>
        <v>-6.3984329193186085E-2</v>
      </c>
      <c r="P19" s="20">
        <v>-1.6E-2</v>
      </c>
      <c r="Q19" s="15">
        <f t="shared" si="20"/>
        <v>5.8602487281090854E-2</v>
      </c>
      <c r="R19" s="15">
        <f t="shared" si="9"/>
        <v>0.16642812195226231</v>
      </c>
      <c r="S19" s="13">
        <f>(1+R19)/(1+MAX(R$2:R19))-1</f>
        <v>-1.6000000000000125E-2</v>
      </c>
      <c r="T19" s="20">
        <v>-3.2899999999999999E-2</v>
      </c>
      <c r="U19" s="15">
        <f t="shared" si="21"/>
        <v>-6.7492402630764614E-2</v>
      </c>
      <c r="V19" s="15">
        <f t="shared" si="11"/>
        <v>-2.8992571301745818E-3</v>
      </c>
      <c r="W19" s="13">
        <f>(1+V19)/(1+MAX(V$2:V19))-1</f>
        <v>-7.9422570592524777E-2</v>
      </c>
      <c r="X19" s="20">
        <v>0</v>
      </c>
      <c r="Y19" s="15">
        <f t="shared" si="22"/>
        <v>-5.3294593811304636E-2</v>
      </c>
      <c r="Z19" s="15">
        <f t="shared" si="13"/>
        <v>0.22139480184659144</v>
      </c>
      <c r="AA19" s="13">
        <f>(1+Z19)/(1+MAX(Z$2:Z19))-1</f>
        <v>-7.7834272220000056E-2</v>
      </c>
      <c r="AB19" s="124"/>
      <c r="AC19" s="20">
        <f t="shared" si="1"/>
        <v>-2.4225E-2</v>
      </c>
      <c r="AD19" s="15">
        <f t="shared" si="23"/>
        <v>-2.8881826964579749E-2</v>
      </c>
      <c r="AE19" s="15">
        <f t="shared" si="15"/>
        <v>8.209933496770927E-2</v>
      </c>
      <c r="AF19" s="15">
        <f>(1+AE19)/(1+MAX(AE$2:AE19))-1</f>
        <v>-5.8332614016326056E-2</v>
      </c>
      <c r="AG19" s="58">
        <f t="shared" si="16"/>
        <v>1082.0993349677094</v>
      </c>
      <c r="AH19" s="137"/>
      <c r="AI19" s="70"/>
      <c r="AJ19" s="70"/>
      <c r="AK19" s="70"/>
      <c r="AL19" s="70"/>
      <c r="AM19" s="70"/>
      <c r="AN19" s="70"/>
      <c r="AO19" s="70"/>
      <c r="AP19" s="81"/>
      <c r="AQ19" s="81"/>
    </row>
    <row r="20" spans="1:43" s="61" customFormat="1" outlineLevel="1" x14ac:dyDescent="0.3">
      <c r="A20" s="61" t="s">
        <v>664</v>
      </c>
      <c r="B20" s="55" t="str">
        <f t="shared" si="0"/>
        <v>2017-7</v>
      </c>
      <c r="C20" s="121">
        <v>42917</v>
      </c>
      <c r="D20" s="20">
        <v>-1.44E-2</v>
      </c>
      <c r="E20" s="15">
        <f t="shared" si="17"/>
        <v>-3.6228335087133856E-2</v>
      </c>
      <c r="F20" s="15">
        <f t="shared" si="3"/>
        <v>8.2641034316339512E-2</v>
      </c>
      <c r="G20" s="13">
        <f>(1+F20)/(1+MAX(F$2:F20))-1</f>
        <v>-5.8782129579110443E-2</v>
      </c>
      <c r="H20" s="20">
        <v>-3.2000000000000002E-3</v>
      </c>
      <c r="I20" s="15">
        <f t="shared" si="18"/>
        <v>-7.1922132918160742E-3</v>
      </c>
      <c r="J20" s="15">
        <f t="shared" si="5"/>
        <v>0.11177566492965463</v>
      </c>
      <c r="K20" s="13">
        <f>(1+J20)/(1+MAX(J$2:J20))-1</f>
        <v>-0.11443220590665593</v>
      </c>
      <c r="L20" s="20">
        <v>-2.1999999999999999E-2</v>
      </c>
      <c r="M20" s="15">
        <f t="shared" si="19"/>
        <v>-7.8518081980978982E-2</v>
      </c>
      <c r="N20" s="15">
        <f t="shared" si="7"/>
        <v>-1.7419694664618679E-2</v>
      </c>
      <c r="O20" s="13">
        <f>(1+N20)/(1+MAX(N$2:N20))-1</f>
        <v>-8.4576673950936043E-2</v>
      </c>
      <c r="P20" s="20">
        <v>-6.9999999999999999E-4</v>
      </c>
      <c r="Q20" s="15">
        <f t="shared" si="20"/>
        <v>5.786146553999405E-2</v>
      </c>
      <c r="R20" s="15">
        <f t="shared" si="9"/>
        <v>0.16561162226689574</v>
      </c>
      <c r="S20" s="13">
        <f>(1+R20)/(1+MAX(R$2:R20))-1</f>
        <v>-1.6688800000000059E-2</v>
      </c>
      <c r="T20" s="20">
        <v>-2.0799999999999999E-2</v>
      </c>
      <c r="U20" s="15">
        <f t="shared" si="21"/>
        <v>-8.6888560656044778E-2</v>
      </c>
      <c r="V20" s="15">
        <f t="shared" si="11"/>
        <v>-2.363895258186699E-2</v>
      </c>
      <c r="W20" s="13">
        <f>(1+V20)/(1+MAX(V$2:V20))-1</f>
        <v>-9.8570581124200252E-2</v>
      </c>
      <c r="X20" s="20">
        <v>-1.6799999999999999E-2</v>
      </c>
      <c r="Y20" s="15">
        <f t="shared" si="22"/>
        <v>-6.9199244635274715E-2</v>
      </c>
      <c r="Z20" s="15">
        <f t="shared" si="13"/>
        <v>0.2008753691755687</v>
      </c>
      <c r="AA20" s="13">
        <f>(1+Z20)/(1+MAX(Z$2:Z20))-1</f>
        <v>-9.3326656446704126E-2</v>
      </c>
      <c r="AB20" s="124"/>
      <c r="AC20" s="20">
        <f t="shared" si="1"/>
        <v>-1.4085E-2</v>
      </c>
      <c r="AD20" s="15">
        <f t="shared" si="23"/>
        <v>-4.2560026431783693E-2</v>
      </c>
      <c r="AE20" s="15">
        <f t="shared" si="15"/>
        <v>6.6857965834689059E-2</v>
      </c>
      <c r="AF20" s="15">
        <f>(1+AE20)/(1+MAX(AE$2:AE20))-1</f>
        <v>-7.1595999147906153E-2</v>
      </c>
      <c r="AG20" s="58">
        <f t="shared" si="16"/>
        <v>1066.8579658346891</v>
      </c>
      <c r="AH20" s="137"/>
      <c r="AI20" s="70"/>
      <c r="AJ20" s="70"/>
      <c r="AK20" s="70"/>
      <c r="AL20" s="70"/>
      <c r="AM20" s="70"/>
      <c r="AN20" s="70"/>
      <c r="AO20" s="70"/>
      <c r="AP20" s="81"/>
      <c r="AQ20" s="81"/>
    </row>
    <row r="21" spans="1:43" s="61" customFormat="1" outlineLevel="1" x14ac:dyDescent="0.3">
      <c r="A21" s="61" t="s">
        <v>664</v>
      </c>
      <c r="B21" s="55" t="str">
        <f t="shared" si="0"/>
        <v>2017-8</v>
      </c>
      <c r="C21" s="121">
        <v>42948</v>
      </c>
      <c r="D21" s="20">
        <v>-9.5999999999999992E-3</v>
      </c>
      <c r="E21" s="15">
        <f t="shared" si="17"/>
        <v>-4.5480543070297474E-2</v>
      </c>
      <c r="F21" s="15">
        <f t="shared" si="3"/>
        <v>7.2247680386902546E-2</v>
      </c>
      <c r="G21" s="13">
        <f>(1+F21)/(1+MAX(F$2:F21))-1</f>
        <v>-6.7817821135151113E-2</v>
      </c>
      <c r="H21" s="20">
        <v>2.81E-2</v>
      </c>
      <c r="I21" s="15">
        <f t="shared" si="18"/>
        <v>2.070568551468388E-2</v>
      </c>
      <c r="J21" s="15">
        <f t="shared" si="5"/>
        <v>0.14301656111417804</v>
      </c>
      <c r="K21" s="13">
        <f>(1+J21)/(1+MAX(J$2:J21))-1</f>
        <v>-8.9547750892632894E-2</v>
      </c>
      <c r="L21" s="20">
        <v>-4.0000000000000001E-3</v>
      </c>
      <c r="M21" s="15">
        <f t="shared" si="19"/>
        <v>-8.2204009653055077E-2</v>
      </c>
      <c r="N21" s="15">
        <f t="shared" si="7"/>
        <v>-2.1350015885960194E-2</v>
      </c>
      <c r="O21" s="13">
        <f>(1+N21)/(1+MAX(N$2:N21))-1</f>
        <v>-8.8238367255132344E-2</v>
      </c>
      <c r="P21" s="20">
        <v>-2.8E-3</v>
      </c>
      <c r="Q21" s="15">
        <f t="shared" si="20"/>
        <v>5.4899453436481949E-2</v>
      </c>
      <c r="R21" s="15">
        <f t="shared" si="9"/>
        <v>0.16234790972454838</v>
      </c>
      <c r="S21" s="13">
        <f>(1+R21)/(1+MAX(R$2:R21))-1</f>
        <v>-1.9442071360000091E-2</v>
      </c>
      <c r="T21" s="20">
        <v>-3.3E-3</v>
      </c>
      <c r="U21" s="15">
        <f t="shared" si="21"/>
        <v>-8.9901828405879791E-2</v>
      </c>
      <c r="V21" s="15">
        <f t="shared" si="11"/>
        <v>-2.6860944038346823E-2</v>
      </c>
      <c r="W21" s="13">
        <f>(1+V21)/(1+MAX(V$2:V21))-1</f>
        <v>-0.10154529820649039</v>
      </c>
      <c r="X21" s="20">
        <v>-2.64E-2</v>
      </c>
      <c r="Y21" s="15">
        <f t="shared" si="22"/>
        <v>-9.37723845769034E-2</v>
      </c>
      <c r="Z21" s="15">
        <f t="shared" si="13"/>
        <v>0.16917225942933367</v>
      </c>
      <c r="AA21" s="13">
        <f>(1+Z21)/(1+MAX(Z$2:Z21))-1</f>
        <v>-0.11726283271651106</v>
      </c>
      <c r="AB21" s="124"/>
      <c r="AC21" s="20">
        <f t="shared" si="1"/>
        <v>-1.9449999999999999E-3</v>
      </c>
      <c r="AD21" s="15">
        <f t="shared" si="23"/>
        <v>-4.4422247180373797E-2</v>
      </c>
      <c r="AE21" s="15">
        <f t="shared" si="15"/>
        <v>6.4782927091140641E-2</v>
      </c>
      <c r="AF21" s="15">
        <f>(1+AE21)/(1+MAX(AE$2:AE21))-1</f>
        <v>-7.3401744929563417E-2</v>
      </c>
      <c r="AG21" s="58">
        <f t="shared" si="16"/>
        <v>1064.7829270911407</v>
      </c>
      <c r="AH21" s="137"/>
      <c r="AI21" s="70"/>
      <c r="AJ21" s="70"/>
      <c r="AK21" s="70"/>
      <c r="AL21" s="70"/>
      <c r="AM21" s="70"/>
      <c r="AN21" s="70"/>
      <c r="AO21" s="70"/>
      <c r="AP21" s="81"/>
      <c r="AQ21" s="81"/>
    </row>
    <row r="22" spans="1:43" s="61" customFormat="1" outlineLevel="1" x14ac:dyDescent="0.3">
      <c r="A22" s="61" t="s">
        <v>664</v>
      </c>
      <c r="B22" s="55" t="str">
        <f t="shared" si="0"/>
        <v>2017-9</v>
      </c>
      <c r="C22" s="121">
        <v>42979</v>
      </c>
      <c r="D22" s="20">
        <v>1.3100000000000001E-2</v>
      </c>
      <c r="E22" s="15">
        <f t="shared" si="17"/>
        <v>-3.2976338184518283E-2</v>
      </c>
      <c r="F22" s="15">
        <f t="shared" si="3"/>
        <v>8.6294124999971134E-2</v>
      </c>
      <c r="G22" s="13">
        <f>(1+F22)/(1+MAX(F$2:F22))-1</f>
        <v>-5.5606234592021409E-2</v>
      </c>
      <c r="H22" s="20">
        <v>-2.3099999999999999E-2</v>
      </c>
      <c r="I22" s="15">
        <f t="shared" si="18"/>
        <v>-2.8726158207053043E-3</v>
      </c>
      <c r="J22" s="15">
        <f t="shared" si="5"/>
        <v>0.11661287855244051</v>
      </c>
      <c r="K22" s="13">
        <f>(1+J22)/(1+MAX(J$2:J22))-1</f>
        <v>-0.11057919784701309</v>
      </c>
      <c r="L22" s="20">
        <v>3.8E-3</v>
      </c>
      <c r="M22" s="15">
        <f t="shared" si="19"/>
        <v>-7.8716384889736646E-2</v>
      </c>
      <c r="N22" s="15">
        <f t="shared" si="7"/>
        <v>-1.7631145946326865E-2</v>
      </c>
      <c r="O22" s="13">
        <f>(1+N22)/(1+MAX(N$2:N22))-1</f>
        <v>-8.4773673050701825E-2</v>
      </c>
      <c r="P22" s="20">
        <v>2.76E-2</v>
      </c>
      <c r="Q22" s="15">
        <f t="shared" si="20"/>
        <v>8.401467835132892E-2</v>
      </c>
      <c r="R22" s="15">
        <f t="shared" si="9"/>
        <v>0.19442871203294598</v>
      </c>
      <c r="S22" s="13">
        <f>(1+R22)/(1+MAX(R$2:R22))-1</f>
        <v>0</v>
      </c>
      <c r="T22" s="20">
        <v>2.3E-3</v>
      </c>
      <c r="U22" s="15">
        <f t="shared" si="21"/>
        <v>-8.7808602611213371E-2</v>
      </c>
      <c r="V22" s="15">
        <f t="shared" si="11"/>
        <v>-2.4622724209635072E-2</v>
      </c>
      <c r="W22" s="13">
        <f>(1+V22)/(1+MAX(V$2:V22))-1</f>
        <v>-9.9478852392365424E-2</v>
      </c>
      <c r="X22" s="20">
        <v>5.8999999999999997E-2</v>
      </c>
      <c r="Y22" s="15">
        <f t="shared" si="22"/>
        <v>-4.0304955266940778E-2</v>
      </c>
      <c r="Z22" s="15">
        <f t="shared" si="13"/>
        <v>0.23815342273566431</v>
      </c>
      <c r="AA22" s="13">
        <f>(1+Z22)/(1+MAX(Z$2:Z22))-1</f>
        <v>-6.5181339846785313E-2</v>
      </c>
      <c r="AB22" s="124"/>
      <c r="AC22" s="20">
        <f t="shared" si="1"/>
        <v>9.9500000000000005E-3</v>
      </c>
      <c r="AD22" s="15">
        <f t="shared" si="23"/>
        <v>-3.4914248539818615E-2</v>
      </c>
      <c r="AE22" s="15">
        <f t="shared" si="15"/>
        <v>7.5377517215697409E-2</v>
      </c>
      <c r="AF22" s="15">
        <f>(1+AE22)/(1+MAX(AE$2:AE22))-1</f>
        <v>-6.4182092291612647E-2</v>
      </c>
      <c r="AG22" s="58">
        <f t="shared" si="16"/>
        <v>1075.3775172156975</v>
      </c>
      <c r="AH22" s="137"/>
      <c r="AI22" s="70"/>
      <c r="AJ22" s="70"/>
      <c r="AK22" s="70"/>
      <c r="AL22" s="70"/>
      <c r="AM22" s="70"/>
      <c r="AN22" s="70"/>
      <c r="AO22" s="70"/>
      <c r="AP22" s="81"/>
      <c r="AQ22" s="81"/>
    </row>
    <row r="23" spans="1:43" s="61" customFormat="1" outlineLevel="1" x14ac:dyDescent="0.3">
      <c r="A23" s="61" t="s">
        <v>664</v>
      </c>
      <c r="B23" s="55" t="str">
        <f t="shared" si="0"/>
        <v>2017-10</v>
      </c>
      <c r="C23" s="121">
        <v>43009</v>
      </c>
      <c r="D23" s="20">
        <v>1.0200000000000001E-2</v>
      </c>
      <c r="E23" s="15">
        <f t="shared" si="17"/>
        <v>-2.3112696834000412E-2</v>
      </c>
      <c r="F23" s="15">
        <f t="shared" si="3"/>
        <v>9.7374325074970791E-2</v>
      </c>
      <c r="G23" s="13">
        <f>(1+F23)/(1+MAX(F$2:F23))-1</f>
        <v>-4.5973418184860115E-2</v>
      </c>
      <c r="H23" s="20">
        <v>2.8999999999999998E-3</v>
      </c>
      <c r="I23" s="15">
        <f t="shared" si="18"/>
        <v>1.9053593414586345E-5</v>
      </c>
      <c r="J23" s="15">
        <f t="shared" si="5"/>
        <v>0.11985105590024259</v>
      </c>
      <c r="K23" s="13">
        <f>(1+J23)/(1+MAX(J$2:J23))-1</f>
        <v>-0.10799987752076945</v>
      </c>
      <c r="L23" s="20">
        <v>1.1900000000000001E-2</v>
      </c>
      <c r="M23" s="15">
        <f t="shared" si="19"/>
        <v>-6.7753109869924444E-2</v>
      </c>
      <c r="N23" s="15">
        <f t="shared" si="7"/>
        <v>-5.9409565830881306E-3</v>
      </c>
      <c r="O23" s="13">
        <f>(1+N23)/(1+MAX(N$2:N23))-1</f>
        <v>-7.3882479760005171E-2</v>
      </c>
      <c r="P23" s="20">
        <v>4.3799999999999999E-2</v>
      </c>
      <c r="Q23" s="15">
        <f t="shared" si="20"/>
        <v>0.13149452126311711</v>
      </c>
      <c r="R23" s="15">
        <f t="shared" si="9"/>
        <v>0.24674468961998919</v>
      </c>
      <c r="S23" s="13">
        <f>(1+R23)/(1+MAX(R$2:R23))-1</f>
        <v>0</v>
      </c>
      <c r="T23" s="20">
        <v>1.34E-2</v>
      </c>
      <c r="U23" s="15">
        <f t="shared" si="21"/>
        <v>-7.5585237886203527E-2</v>
      </c>
      <c r="V23" s="15">
        <f t="shared" si="11"/>
        <v>-1.1552668714044145E-2</v>
      </c>
      <c r="W23" s="13">
        <f>(1+V23)/(1+MAX(V$2:V23))-1</f>
        <v>-8.7411869014423105E-2</v>
      </c>
      <c r="X23" s="20">
        <v>1.9900000000000001E-2</v>
      </c>
      <c r="Y23" s="15">
        <f t="shared" si="22"/>
        <v>-2.1207023876752884E-2</v>
      </c>
      <c r="Z23" s="15">
        <f t="shared" si="13"/>
        <v>0.26279267584810406</v>
      </c>
      <c r="AA23" s="13">
        <f>(1+Z23)/(1+MAX(Z$2:Z23))-1</f>
        <v>-4.6578448509736359E-2</v>
      </c>
      <c r="AB23" s="124"/>
      <c r="AC23" s="20">
        <f t="shared" si="1"/>
        <v>1.618E-2</v>
      </c>
      <c r="AD23" s="15">
        <f t="shared" si="23"/>
        <v>-1.9299161081192784E-2</v>
      </c>
      <c r="AE23" s="15">
        <f t="shared" si="15"/>
        <v>9.2777125444247543E-2</v>
      </c>
      <c r="AF23" s="15">
        <f>(1+AE23)/(1+MAX(AE$2:AE23))-1</f>
        <v>-4.9040558544890755E-2</v>
      </c>
      <c r="AG23" s="58">
        <f t="shared" si="16"/>
        <v>1092.7771254442475</v>
      </c>
      <c r="AH23" s="137"/>
      <c r="AI23" s="70"/>
      <c r="AJ23" s="70"/>
      <c r="AK23" s="70"/>
      <c r="AL23" s="70"/>
      <c r="AM23" s="70"/>
      <c r="AN23" s="70"/>
      <c r="AO23" s="70"/>
      <c r="AP23" s="81"/>
      <c r="AQ23" s="81"/>
    </row>
    <row r="24" spans="1:43" s="61" customFormat="1" outlineLevel="1" x14ac:dyDescent="0.3">
      <c r="A24" s="61" t="s">
        <v>664</v>
      </c>
      <c r="B24" s="55" t="str">
        <f t="shared" si="0"/>
        <v>2017-11</v>
      </c>
      <c r="C24" s="121">
        <v>43040</v>
      </c>
      <c r="D24" s="20">
        <v>-1.24E-2</v>
      </c>
      <c r="E24" s="15">
        <f t="shared" si="17"/>
        <v>-3.5226099393258825E-2</v>
      </c>
      <c r="F24" s="15">
        <f t="shared" si="3"/>
        <v>8.3766883444041262E-2</v>
      </c>
      <c r="G24" s="13">
        <f>(1+F24)/(1+MAX(F$2:F24))-1</f>
        <v>-5.7803347799367688E-2</v>
      </c>
      <c r="H24" s="20">
        <v>-1.3599999999999999E-2</v>
      </c>
      <c r="I24" s="15">
        <f t="shared" si="18"/>
        <v>-1.3581205535455831E-2</v>
      </c>
      <c r="J24" s="15">
        <f t="shared" si="5"/>
        <v>0.10462108153999927</v>
      </c>
      <c r="K24" s="13">
        <f>(1+J24)/(1+MAX(J$2:J24))-1</f>
        <v>-0.12013107918648691</v>
      </c>
      <c r="L24" s="20">
        <v>-1.89E-2</v>
      </c>
      <c r="M24" s="15">
        <f t="shared" si="19"/>
        <v>-8.537257609338289E-2</v>
      </c>
      <c r="N24" s="15">
        <f t="shared" si="7"/>
        <v>-2.4728672503667837E-2</v>
      </c>
      <c r="O24" s="13">
        <f>(1+N24)/(1+MAX(N$2:N24))-1</f>
        <v>-9.1386100892541067E-2</v>
      </c>
      <c r="P24" s="20">
        <v>-5.7000000000000002E-3</v>
      </c>
      <c r="Q24" s="15">
        <f t="shared" si="20"/>
        <v>0.12504500249191741</v>
      </c>
      <c r="R24" s="15">
        <f t="shared" si="9"/>
        <v>0.23963824488915519</v>
      </c>
      <c r="S24" s="13">
        <f>(1+R24)/(1+MAX(R$2:R24))-1</f>
        <v>-5.7000000000000384E-3</v>
      </c>
      <c r="T24" s="20">
        <v>-1.61E-2</v>
      </c>
      <c r="U24" s="15">
        <f t="shared" si="21"/>
        <v>-9.046831555623569E-2</v>
      </c>
      <c r="V24" s="15">
        <f t="shared" si="11"/>
        <v>-2.7466670747748001E-2</v>
      </c>
      <c r="W24" s="13">
        <f>(1+V24)/(1+MAX(V$2:V24))-1</f>
        <v>-0.10210453792329077</v>
      </c>
      <c r="X24" s="20">
        <v>1.41E-2</v>
      </c>
      <c r="Y24" s="15">
        <f t="shared" si="22"/>
        <v>-7.4060429134150674E-3</v>
      </c>
      <c r="Z24" s="15">
        <f t="shared" si="13"/>
        <v>0.28059805257756243</v>
      </c>
      <c r="AA24" s="13">
        <f>(1+Z24)/(1+MAX(Z$2:Z24))-1</f>
        <v>-3.3135204633723547E-2</v>
      </c>
      <c r="AB24" s="124"/>
      <c r="AC24" s="20">
        <f t="shared" si="1"/>
        <v>-1.1290000000000001E-2</v>
      </c>
      <c r="AD24" s="15">
        <f t="shared" si="23"/>
        <v>-3.0371273552586175E-2</v>
      </c>
      <c r="AE24" s="15">
        <f t="shared" si="15"/>
        <v>8.0439671697982051E-2</v>
      </c>
      <c r="AF24" s="15">
        <f>(1+AE24)/(1+MAX(AE$2:AE24))-1</f>
        <v>-5.9776890638918889E-2</v>
      </c>
      <c r="AG24" s="58">
        <f t="shared" si="16"/>
        <v>1080.439671697982</v>
      </c>
      <c r="AH24" s="137"/>
      <c r="AI24" s="70"/>
      <c r="AJ24" s="70"/>
      <c r="AK24" s="70"/>
      <c r="AL24" s="70"/>
      <c r="AM24" s="70"/>
      <c r="AN24" s="70"/>
      <c r="AO24" s="70"/>
      <c r="AP24" s="81"/>
      <c r="AQ24" s="81"/>
    </row>
    <row r="25" spans="1:43" s="27" customFormat="1" ht="15" thickBot="1" x14ac:dyDescent="0.35">
      <c r="A25" s="27" t="s">
        <v>664</v>
      </c>
      <c r="B25" s="63" t="str">
        <f t="shared" si="0"/>
        <v>2017-12</v>
      </c>
      <c r="C25" s="122">
        <v>43070</v>
      </c>
      <c r="D25" s="32">
        <v>-4.7999999999999996E-3</v>
      </c>
      <c r="E25" s="25">
        <f t="shared" si="17"/>
        <v>-3.9857014116171263E-2</v>
      </c>
      <c r="F25" s="25">
        <f t="shared" si="3"/>
        <v>7.8564802403509937E-2</v>
      </c>
      <c r="G25" s="26">
        <f>(1+F25)/(1+MAX(F$2:F25))-1</f>
        <v>-6.2325891729930638E-2</v>
      </c>
      <c r="H25" s="32">
        <v>1.3599999999999999E-2</v>
      </c>
      <c r="I25" s="25">
        <f t="shared" si="18"/>
        <v>-1.6590993073795079E-4</v>
      </c>
      <c r="J25" s="25">
        <f t="shared" si="5"/>
        <v>0.11964392824894343</v>
      </c>
      <c r="K25" s="26">
        <f>(1+J25)/(1+MAX(J$2:J25))-1</f>
        <v>-0.108164861863423</v>
      </c>
      <c r="L25" s="32">
        <v>-2.0000000000000001E-4</v>
      </c>
      <c r="M25" s="25">
        <f t="shared" si="19"/>
        <v>-8.5555501578164161E-2</v>
      </c>
      <c r="N25" s="25">
        <f t="shared" si="7"/>
        <v>-2.4923726769167098E-2</v>
      </c>
      <c r="O25" s="26">
        <f>(1+N25)/(1+MAX(N$2:N25))-1</f>
        <v>-9.1567823672362603E-2</v>
      </c>
      <c r="P25" s="32">
        <v>5.7999999999999996E-3</v>
      </c>
      <c r="Q25" s="25">
        <f t="shared" si="20"/>
        <v>0.13157026350637047</v>
      </c>
      <c r="R25" s="25">
        <f t="shared" si="9"/>
        <v>0.24682814670951236</v>
      </c>
      <c r="S25" s="26">
        <f>(1+R25)/(1+MAX(R$2:R25))-1</f>
        <v>0</v>
      </c>
      <c r="T25" s="32">
        <v>1.1000000000000001E-3</v>
      </c>
      <c r="U25" s="25">
        <f t="shared" si="21"/>
        <v>-8.9467830703347406E-2</v>
      </c>
      <c r="V25" s="25">
        <f t="shared" si="11"/>
        <v>-2.6396884085570393E-2</v>
      </c>
      <c r="W25" s="26">
        <f>(1+V25)/(1+MAX(V$2:V25))-1</f>
        <v>-0.10111685291500627</v>
      </c>
      <c r="X25" s="32">
        <v>-2.5999999999999999E-3</v>
      </c>
      <c r="Y25" s="25">
        <f t="shared" si="22"/>
        <v>-9.9867872018402082E-3</v>
      </c>
      <c r="Z25" s="25">
        <f t="shared" si="13"/>
        <v>0.27726849764086081</v>
      </c>
      <c r="AA25" s="26">
        <f>(1+Z25)/(1+MAX(Z$2:Z25))-1</f>
        <v>-3.5649053101675765E-2</v>
      </c>
      <c r="AB25" s="125"/>
      <c r="AC25" s="32">
        <f t="shared" si="1"/>
        <v>2.0999999999999999E-3</v>
      </c>
      <c r="AD25" s="25">
        <f t="shared" si="23"/>
        <v>-2.8335053227046658E-2</v>
      </c>
      <c r="AE25" s="25">
        <f t="shared" si="15"/>
        <v>8.2708595008547769E-2</v>
      </c>
      <c r="AF25" s="25">
        <f>(1+AE25)/(1+MAX(AE$2:AE25))-1</f>
        <v>-5.7802422109260676E-2</v>
      </c>
      <c r="AG25" s="66">
        <f t="shared" si="16"/>
        <v>1082.7085950085477</v>
      </c>
      <c r="AH25" s="138"/>
      <c r="AI25" s="139"/>
      <c r="AJ25" s="139"/>
      <c r="AK25" s="139"/>
      <c r="AL25" s="139"/>
      <c r="AM25" s="139"/>
      <c r="AN25" s="139"/>
      <c r="AO25" s="139"/>
      <c r="AP25" s="78"/>
      <c r="AQ25" s="78"/>
    </row>
    <row r="26" spans="1:43" s="54" customFormat="1" outlineLevel="1" x14ac:dyDescent="0.3">
      <c r="A26" s="54" t="s">
        <v>664</v>
      </c>
      <c r="B26" s="48" t="str">
        <f t="shared" si="0"/>
        <v>2018-1</v>
      </c>
      <c r="C26" s="120">
        <v>43101</v>
      </c>
      <c r="D26" s="10">
        <v>-2.7099999999999999E-2</v>
      </c>
      <c r="E26" s="5">
        <f>+D26</f>
        <v>-2.7099999999999999E-2</v>
      </c>
      <c r="F26" s="5">
        <f t="shared" si="3"/>
        <v>4.9335696258374862E-2</v>
      </c>
      <c r="G26" s="3">
        <f>(1+F26)/(1+MAX(F$2:F26))-1</f>
        <v>-8.7736860064049571E-2</v>
      </c>
      <c r="H26" s="10">
        <v>-6.1999999999999998E-3</v>
      </c>
      <c r="I26" s="5">
        <f>+H26</f>
        <v>-6.1999999999999998E-3</v>
      </c>
      <c r="J26" s="5">
        <f t="shared" si="5"/>
        <v>0.11270213589380007</v>
      </c>
      <c r="K26" s="3">
        <f>(1+J26)/(1+MAX(J$2:J26))-1</f>
        <v>-0.11369423971986969</v>
      </c>
      <c r="L26" s="10">
        <v>-4.8800000000000003E-2</v>
      </c>
      <c r="M26" s="5">
        <f>+L26</f>
        <v>-4.8800000000000003E-2</v>
      </c>
      <c r="N26" s="5">
        <f t="shared" si="7"/>
        <v>-7.2507448902831673E-2</v>
      </c>
      <c r="O26" s="3">
        <f>(1+N26)/(1+MAX(N$2:N26))-1</f>
        <v>-0.13589931387715126</v>
      </c>
      <c r="P26" s="10">
        <v>1.9199999999999998E-2</v>
      </c>
      <c r="Q26" s="5">
        <f>+P26</f>
        <v>1.9199999999999998E-2</v>
      </c>
      <c r="R26" s="5">
        <f t="shared" si="9"/>
        <v>0.27076724712633515</v>
      </c>
      <c r="S26" s="3">
        <f>(1+R26)/(1+MAX(R$2:R26))-1</f>
        <v>0</v>
      </c>
      <c r="T26" s="10">
        <v>-4.6600000000000003E-2</v>
      </c>
      <c r="U26" s="5">
        <f>+T26</f>
        <v>-4.6600000000000003E-2</v>
      </c>
      <c r="V26" s="5">
        <f t="shared" si="11"/>
        <v>-7.1766789287182831E-2</v>
      </c>
      <c r="W26" s="3">
        <f>(1+V26)/(1+MAX(V$2:V26))-1</f>
        <v>-0.143004807569167</v>
      </c>
      <c r="X26" s="10">
        <v>-1.8599999999999998E-2</v>
      </c>
      <c r="Y26" s="5">
        <f>+X26</f>
        <v>-1.8599999999999998E-2</v>
      </c>
      <c r="Z26" s="5">
        <f t="shared" si="13"/>
        <v>0.25351130358474094</v>
      </c>
      <c r="AA26" s="3">
        <f>(1+Z26)/(1+MAX(Z$2:Z26))-1</f>
        <v>-5.3585980713984571E-2</v>
      </c>
      <c r="AB26" s="124"/>
      <c r="AC26" s="10">
        <f t="shared" si="1"/>
        <v>-2.5495000000000004E-2</v>
      </c>
      <c r="AD26" s="5">
        <f>+AC26</f>
        <v>-2.5495000000000004E-2</v>
      </c>
      <c r="AE26" s="5">
        <f t="shared" si="15"/>
        <v>5.5104939378804785E-2</v>
      </c>
      <c r="AF26" s="5">
        <f>(1+AE26)/(1+MAX(AE$2:AE26))-1</f>
        <v>-8.1823749357585185E-2</v>
      </c>
      <c r="AG26" s="51">
        <f t="shared" si="16"/>
        <v>1055.1049393788048</v>
      </c>
      <c r="AH26" s="137"/>
      <c r="AI26" s="70"/>
      <c r="AJ26" s="70"/>
      <c r="AK26" s="70"/>
      <c r="AL26" s="70"/>
      <c r="AM26" s="70"/>
      <c r="AN26" s="70"/>
      <c r="AO26" s="70"/>
      <c r="AP26" s="81"/>
      <c r="AQ26" s="81"/>
    </row>
    <row r="27" spans="1:43" s="61" customFormat="1" outlineLevel="1" x14ac:dyDescent="0.3">
      <c r="A27" s="61" t="s">
        <v>664</v>
      </c>
      <c r="B27" s="55" t="str">
        <f t="shared" si="0"/>
        <v>2018-2</v>
      </c>
      <c r="C27" s="121">
        <v>43132</v>
      </c>
      <c r="D27" s="20">
        <v>4.4999999999999997E-3</v>
      </c>
      <c r="E27" s="15">
        <f t="shared" ref="E27:E37" si="24">+(1+D27)*(1+E26)-1</f>
        <v>-2.2721950000000102E-2</v>
      </c>
      <c r="F27" s="15">
        <f t="shared" si="3"/>
        <v>5.4057706891537549E-2</v>
      </c>
      <c r="G27" s="13">
        <f>(1+F27)/(1+MAX(F$2:F27))-1</f>
        <v>-8.3631675934337735E-2</v>
      </c>
      <c r="H27" s="20">
        <v>-5.7999999999999996E-3</v>
      </c>
      <c r="I27" s="15">
        <f t="shared" ref="I27:I37" si="25">+(1+H27)*(1+I26)-1</f>
        <v>-1.1964040000000065E-2</v>
      </c>
      <c r="J27" s="15">
        <f t="shared" si="5"/>
        <v>0.10624846350561601</v>
      </c>
      <c r="K27" s="13">
        <f>(1+J27)/(1+MAX(J$2:J27))-1</f>
        <v>-0.11883481312949451</v>
      </c>
      <c r="L27" s="20">
        <v>4.0000000000000001E-3</v>
      </c>
      <c r="M27" s="15">
        <f t="shared" ref="M27:M37" si="26">+(1+L27)*(1+M26)-1</f>
        <v>-4.4995199999999902E-2</v>
      </c>
      <c r="N27" s="15">
        <f t="shared" si="7"/>
        <v>-6.8797478698442993E-2</v>
      </c>
      <c r="O27" s="13">
        <f>(1+N27)/(1+MAX(N$2:N27))-1</f>
        <v>-0.13244291113265982</v>
      </c>
      <c r="P27" s="20">
        <v>-2.9700000000000001E-2</v>
      </c>
      <c r="Q27" s="15">
        <f t="shared" ref="Q27:Q37" si="27">+(1+P27)*(1+Q26)-1</f>
        <v>-1.1070239999999898E-2</v>
      </c>
      <c r="R27" s="15">
        <f t="shared" si="9"/>
        <v>0.233025459886683</v>
      </c>
      <c r="S27" s="13">
        <f>(1+R27)/(1+MAX(R$2:R27))-1</f>
        <v>-2.9699999999999949E-2</v>
      </c>
      <c r="T27" s="20">
        <v>5.1999999999999998E-3</v>
      </c>
      <c r="U27" s="15">
        <f t="shared" ref="U27:U37" si="28">+(1+T27)*(1+U26)-1</f>
        <v>-4.1642319999999899E-2</v>
      </c>
      <c r="V27" s="15">
        <f t="shared" si="11"/>
        <v>-6.6939976591476102E-2</v>
      </c>
      <c r="W27" s="13">
        <f>(1+V27)/(1+MAX(V$2:V27))-1</f>
        <v>-0.13854843256852667</v>
      </c>
      <c r="X27" s="20">
        <v>-3.3500000000000002E-2</v>
      </c>
      <c r="Y27" s="15">
        <f t="shared" ref="Y27:Y37" si="29">+(1+X27)*(1+Y26)-1</f>
        <v>-5.1476899999999937E-2</v>
      </c>
      <c r="Z27" s="15">
        <f t="shared" si="13"/>
        <v>0.21151867491465226</v>
      </c>
      <c r="AA27" s="13">
        <f>(1+Z27)/(1+MAX(Z$2:Z27))-1</f>
        <v>-8.5290850360065895E-2</v>
      </c>
      <c r="AB27" s="124"/>
      <c r="AC27" s="20">
        <f t="shared" si="1"/>
        <v>-5.96E-3</v>
      </c>
      <c r="AD27" s="15">
        <f t="shared" ref="AD27:AD37" si="30">+(1+AC27)*(1+AD26)-1</f>
        <v>-3.1303049799999982E-2</v>
      </c>
      <c r="AE27" s="15">
        <f t="shared" si="15"/>
        <v>4.8816513940107109E-2</v>
      </c>
      <c r="AF27" s="15">
        <f>(1+AE27)/(1+MAX(AE$2:AE27))-1</f>
        <v>-8.7296079811413962E-2</v>
      </c>
      <c r="AG27" s="58">
        <f t="shared" si="16"/>
        <v>1048.8165139401071</v>
      </c>
      <c r="AH27" s="137"/>
      <c r="AI27" s="70"/>
      <c r="AJ27" s="70"/>
      <c r="AK27" s="70"/>
      <c r="AL27" s="70"/>
      <c r="AM27" s="70"/>
      <c r="AN27" s="70"/>
      <c r="AO27" s="70"/>
      <c r="AP27" s="81"/>
      <c r="AQ27" s="81"/>
    </row>
    <row r="28" spans="1:43" s="61" customFormat="1" outlineLevel="1" x14ac:dyDescent="0.3">
      <c r="A28" s="61" t="s">
        <v>664</v>
      </c>
      <c r="B28" s="55" t="str">
        <f t="shared" si="0"/>
        <v>2018-3</v>
      </c>
      <c r="C28" s="121">
        <v>43160</v>
      </c>
      <c r="D28" s="20">
        <v>-1.4E-3</v>
      </c>
      <c r="E28" s="15">
        <f t="shared" si="24"/>
        <v>-2.4090139270000033E-2</v>
      </c>
      <c r="F28" s="15">
        <f t="shared" si="3"/>
        <v>5.2582026101889445E-2</v>
      </c>
      <c r="G28" s="13">
        <f>(1+F28)/(1+MAX(F$2:F28))-1</f>
        <v>-8.4914591588029609E-2</v>
      </c>
      <c r="H28" s="20">
        <v>-1E-3</v>
      </c>
      <c r="I28" s="15">
        <f t="shared" si="25"/>
        <v>-1.2952075960000031E-2</v>
      </c>
      <c r="J28" s="15">
        <f t="shared" si="5"/>
        <v>0.10514221504211041</v>
      </c>
      <c r="K28" s="13">
        <f>(1+J28)/(1+MAX(J$2:J28))-1</f>
        <v>-0.11971597831636505</v>
      </c>
      <c r="L28" s="20">
        <v>-8.9999999999999998E-4</v>
      </c>
      <c r="M28" s="15">
        <f t="shared" si="26"/>
        <v>-4.5854704319999939E-2</v>
      </c>
      <c r="N28" s="15">
        <f t="shared" si="7"/>
        <v>-6.9635560967614363E-2</v>
      </c>
      <c r="O28" s="13">
        <f>(1+N28)/(1+MAX(N$2:N28))-1</f>
        <v>-0.13322371251264042</v>
      </c>
      <c r="P28" s="20">
        <v>-1.5299999999999999E-2</v>
      </c>
      <c r="Q28" s="15">
        <f t="shared" si="27"/>
        <v>-2.6200865327999923E-2</v>
      </c>
      <c r="R28" s="15">
        <f t="shared" si="9"/>
        <v>0.21416017035041679</v>
      </c>
      <c r="S28" s="13">
        <f>(1+R28)/(1+MAX(R$2:R28))-1</f>
        <v>-4.4545589999999913E-2</v>
      </c>
      <c r="T28" s="20">
        <v>2.7000000000000001E-3</v>
      </c>
      <c r="U28" s="15">
        <f t="shared" si="28"/>
        <v>-3.9054754263999958E-2</v>
      </c>
      <c r="V28" s="15">
        <f t="shared" si="11"/>
        <v>-6.4420714528273137E-2</v>
      </c>
      <c r="W28" s="13">
        <f>(1+V28)/(1+MAX(V$2:V28))-1</f>
        <v>-0.13622251333646174</v>
      </c>
      <c r="X28" s="20">
        <v>1.6000000000000001E-3</v>
      </c>
      <c r="Y28" s="15">
        <f t="shared" si="29"/>
        <v>-4.9959263039999868E-2</v>
      </c>
      <c r="Z28" s="15">
        <f t="shared" si="13"/>
        <v>0.21345710479451574</v>
      </c>
      <c r="AA28" s="13">
        <f>(1+Z28)/(1+MAX(Z$2:Z28))-1</f>
        <v>-8.3827315720642059E-2</v>
      </c>
      <c r="AB28" s="124"/>
      <c r="AC28" s="20">
        <f t="shared" si="1"/>
        <v>-2.1799999999999996E-3</v>
      </c>
      <c r="AD28" s="15">
        <f t="shared" si="30"/>
        <v>-3.3414809151435909E-2</v>
      </c>
      <c r="AE28" s="15">
        <f t="shared" si="15"/>
        <v>4.6530093939717743E-2</v>
      </c>
      <c r="AF28" s="15">
        <f>(1+AE28)/(1+MAX(AE$2:AE28))-1</f>
        <v>-8.9285774357425018E-2</v>
      </c>
      <c r="AG28" s="58">
        <f t="shared" si="16"/>
        <v>1046.5300939397177</v>
      </c>
      <c r="AH28" s="137"/>
      <c r="AI28" s="70"/>
      <c r="AJ28" s="70"/>
      <c r="AK28" s="70"/>
      <c r="AL28" s="70"/>
      <c r="AM28" s="70"/>
      <c r="AN28" s="70"/>
      <c r="AO28" s="70"/>
      <c r="AP28" s="81"/>
      <c r="AQ28" s="81"/>
    </row>
    <row r="29" spans="1:43" s="61" customFormat="1" outlineLevel="1" x14ac:dyDescent="0.3">
      <c r="A29" s="61" t="s">
        <v>664</v>
      </c>
      <c r="B29" s="55" t="str">
        <f t="shared" si="0"/>
        <v>2018-4</v>
      </c>
      <c r="C29" s="121">
        <v>43191</v>
      </c>
      <c r="D29" s="20">
        <v>1.0800000000000001E-2</v>
      </c>
      <c r="E29" s="15">
        <f t="shared" si="24"/>
        <v>-1.3550312774116113E-2</v>
      </c>
      <c r="F29" s="15">
        <f t="shared" si="3"/>
        <v>6.3949911983789853E-2</v>
      </c>
      <c r="G29" s="13">
        <f>(1+F29)/(1+MAX(F$2:F29))-1</f>
        <v>-7.5031669177180405E-2</v>
      </c>
      <c r="H29" s="20">
        <v>6.7000000000000002E-3</v>
      </c>
      <c r="I29" s="15">
        <f t="shared" si="25"/>
        <v>-6.3388548689321533E-3</v>
      </c>
      <c r="J29" s="15">
        <f t="shared" si="5"/>
        <v>0.11254666788289236</v>
      </c>
      <c r="K29" s="13">
        <f>(1+J29)/(1+MAX(J$2:J29))-1</f>
        <v>-0.11381807537108479</v>
      </c>
      <c r="L29" s="20">
        <v>7.6E-3</v>
      </c>
      <c r="M29" s="15">
        <f t="shared" si="26"/>
        <v>-3.8603200072831911E-2</v>
      </c>
      <c r="N29" s="15">
        <f t="shared" si="7"/>
        <v>-6.2564791230968142E-2</v>
      </c>
      <c r="O29" s="13">
        <f>(1+N29)/(1+MAX(N$2:N29))-1</f>
        <v>-0.1266362127277364</v>
      </c>
      <c r="P29" s="20">
        <v>1.4800000000000001E-2</v>
      </c>
      <c r="Q29" s="15">
        <f t="shared" si="27"/>
        <v>-1.1788638134854423E-2</v>
      </c>
      <c r="R29" s="15">
        <f t="shared" si="9"/>
        <v>0.23212974087160276</v>
      </c>
      <c r="S29" s="13">
        <f>(1+R29)/(1+MAX(R$2:R29))-1</f>
        <v>-3.0404864732000103E-2</v>
      </c>
      <c r="T29" s="20">
        <v>1.47E-2</v>
      </c>
      <c r="U29" s="15">
        <f t="shared" si="28"/>
        <v>-2.492885915168086E-2</v>
      </c>
      <c r="V29" s="15">
        <f t="shared" si="11"/>
        <v>-5.0667699031838764E-2</v>
      </c>
      <c r="W29" s="13">
        <f>(1+V29)/(1+MAX(V$2:V29))-1</f>
        <v>-0.12352498428250769</v>
      </c>
      <c r="X29" s="20">
        <v>1.95E-2</v>
      </c>
      <c r="Y29" s="15">
        <f t="shared" si="29"/>
        <v>-3.1433468669279763E-2</v>
      </c>
      <c r="Z29" s="15">
        <f t="shared" si="13"/>
        <v>0.23711951833800882</v>
      </c>
      <c r="AA29" s="13">
        <f>(1+Z29)/(1+MAX(Z$2:Z29))-1</f>
        <v>-6.596194837719449E-2</v>
      </c>
      <c r="AB29" s="124"/>
      <c r="AC29" s="20">
        <f t="shared" si="1"/>
        <v>1.1635000000000001E-2</v>
      </c>
      <c r="AD29" s="15">
        <f t="shared" si="30"/>
        <v>-2.2168590455912796E-2</v>
      </c>
      <c r="AE29" s="15">
        <f t="shared" si="15"/>
        <v>5.8706471582706365E-2</v>
      </c>
      <c r="AF29" s="15">
        <f>(1+AE29)/(1+MAX(AE$2:AE29))-1</f>
        <v>-7.8689614342073666E-2</v>
      </c>
      <c r="AG29" s="58">
        <f t="shared" si="16"/>
        <v>1058.7064715827064</v>
      </c>
      <c r="AH29" s="137"/>
      <c r="AI29" s="70"/>
      <c r="AJ29" s="70"/>
      <c r="AK29" s="70"/>
      <c r="AL29" s="70"/>
      <c r="AM29" s="70"/>
      <c r="AN29" s="70"/>
      <c r="AO29" s="70"/>
      <c r="AP29" s="81"/>
      <c r="AQ29" s="81"/>
    </row>
    <row r="30" spans="1:43" s="61" customFormat="1" outlineLevel="1" x14ac:dyDescent="0.3">
      <c r="A30" s="61" t="s">
        <v>664</v>
      </c>
      <c r="B30" s="55" t="str">
        <f t="shared" si="0"/>
        <v>2018-5</v>
      </c>
      <c r="C30" s="121">
        <v>43221</v>
      </c>
      <c r="D30" s="20">
        <v>2.47E-2</v>
      </c>
      <c r="E30" s="15">
        <f t="shared" si="24"/>
        <v>1.0814994500363273E-2</v>
      </c>
      <c r="F30" s="15">
        <f t="shared" si="3"/>
        <v>9.0229474809789378E-2</v>
      </c>
      <c r="G30" s="13">
        <f>(1+F30)/(1+MAX(F$2:F30))-1</f>
        <v>-5.2184951405856772E-2</v>
      </c>
      <c r="H30" s="20">
        <v>2.5899999999999999E-2</v>
      </c>
      <c r="I30" s="15">
        <f t="shared" si="25"/>
        <v>1.9396968789962443E-2</v>
      </c>
      <c r="J30" s="15">
        <f t="shared" si="5"/>
        <v>0.14136162658105933</v>
      </c>
      <c r="K30" s="13">
        <f>(1+J30)/(1+MAX(J$2:J30))-1</f>
        <v>-9.086596352319587E-2</v>
      </c>
      <c r="L30" s="20">
        <v>4.58E-2</v>
      </c>
      <c r="M30" s="15">
        <f t="shared" si="26"/>
        <v>5.4287733638325175E-3</v>
      </c>
      <c r="N30" s="15">
        <f t="shared" si="7"/>
        <v>-1.9630258669346423E-2</v>
      </c>
      <c r="O30" s="13">
        <f>(1+N30)/(1+MAX(N$2:N30))-1</f>
        <v>-8.6636151270666706E-2</v>
      </c>
      <c r="P30" s="20">
        <v>5.0599999999999999E-2</v>
      </c>
      <c r="Q30" s="15">
        <f t="shared" si="27"/>
        <v>3.8214856775521833E-2</v>
      </c>
      <c r="R30" s="15">
        <f t="shared" si="9"/>
        <v>0.29447550575970594</v>
      </c>
      <c r="S30" s="13">
        <f>(1+R30)/(1+MAX(R$2:R30))-1</f>
        <v>0</v>
      </c>
      <c r="T30" s="20">
        <v>4.1500000000000002E-2</v>
      </c>
      <c r="U30" s="15">
        <f t="shared" si="28"/>
        <v>1.5536593193524517E-2</v>
      </c>
      <c r="V30" s="15">
        <f t="shared" si="11"/>
        <v>-1.1270408541659949E-2</v>
      </c>
      <c r="W30" s="13">
        <f>(1+V30)/(1+MAX(V$2:V30))-1</f>
        <v>-8.7151271130231689E-2</v>
      </c>
      <c r="X30" s="20">
        <v>8.5800000000000001E-2</v>
      </c>
      <c r="Y30" s="15">
        <f t="shared" si="29"/>
        <v>5.1669539718896207E-2</v>
      </c>
      <c r="Z30" s="15">
        <f t="shared" si="13"/>
        <v>0.34326437301141</v>
      </c>
      <c r="AA30" s="13">
        <f>(1+Z30)/(1+MAX(Z$2:Z30))-1</f>
        <v>0</v>
      </c>
      <c r="AB30" s="124"/>
      <c r="AC30" s="20">
        <f t="shared" si="1"/>
        <v>4.3510000000000007E-2</v>
      </c>
      <c r="AD30" s="15">
        <f t="shared" si="30"/>
        <v>2.0376854173350445E-2</v>
      </c>
      <c r="AE30" s="15">
        <f t="shared" si="15"/>
        <v>0.10477079016126978</v>
      </c>
      <c r="AF30" s="15">
        <f>(1+AE30)/(1+MAX(AE$2:AE30))-1</f>
        <v>-3.8603399462097343E-2</v>
      </c>
      <c r="AG30" s="58">
        <f t="shared" si="16"/>
        <v>1104.7707901612698</v>
      </c>
      <c r="AH30" s="137"/>
      <c r="AI30" s="70"/>
      <c r="AJ30" s="70"/>
      <c r="AK30" s="70"/>
      <c r="AL30" s="70"/>
      <c r="AM30" s="70"/>
      <c r="AN30" s="70"/>
      <c r="AO30" s="70"/>
      <c r="AP30" s="81"/>
      <c r="AQ30" s="81"/>
    </row>
    <row r="31" spans="1:43" s="61" customFormat="1" outlineLevel="1" x14ac:dyDescent="0.3">
      <c r="A31" s="61" t="s">
        <v>664</v>
      </c>
      <c r="B31" s="55" t="str">
        <f t="shared" si="0"/>
        <v>2018-6</v>
      </c>
      <c r="C31" s="121">
        <v>43252</v>
      </c>
      <c r="D31" s="20">
        <v>3.3999999999999998E-3</v>
      </c>
      <c r="E31" s="15">
        <f t="shared" si="24"/>
        <v>1.4251765481664513E-2</v>
      </c>
      <c r="F31" s="15">
        <f t="shared" si="3"/>
        <v>9.3936255024142712E-2</v>
      </c>
      <c r="G31" s="13">
        <f>(1+F31)/(1+MAX(F$2:F31))-1</f>
        <v>-4.8962380240636705E-2</v>
      </c>
      <c r="H31" s="20">
        <v>-2.6599999999999999E-2</v>
      </c>
      <c r="I31" s="15">
        <f t="shared" si="25"/>
        <v>-7.7189905798504821E-3</v>
      </c>
      <c r="J31" s="15">
        <f t="shared" si="5"/>
        <v>0.1110014073140031</v>
      </c>
      <c r="K31" s="13">
        <f>(1+J31)/(1+MAX(J$2:J31))-1</f>
        <v>-0.11504892889347884</v>
      </c>
      <c r="L31" s="20">
        <v>7.1000000000000004E-3</v>
      </c>
      <c r="M31" s="15">
        <f t="shared" si="26"/>
        <v>1.2567317654715859E-2</v>
      </c>
      <c r="N31" s="15">
        <f t="shared" si="7"/>
        <v>-1.266963350589867E-2</v>
      </c>
      <c r="O31" s="13">
        <f>(1+N31)/(1+MAX(N$2:N31))-1</f>
        <v>-8.0151267944688298E-2</v>
      </c>
      <c r="P31" s="20">
        <v>1.6999999999999999E-3</v>
      </c>
      <c r="Q31" s="15">
        <f t="shared" si="27"/>
        <v>3.9979822032040202E-2</v>
      </c>
      <c r="R31" s="15">
        <f t="shared" si="9"/>
        <v>0.29667611411949757</v>
      </c>
      <c r="S31" s="13">
        <f>(1+R31)/(1+MAX(R$2:R31))-1</f>
        <v>0</v>
      </c>
      <c r="T31" s="20">
        <v>1.52E-2</v>
      </c>
      <c r="U31" s="15">
        <f t="shared" si="28"/>
        <v>3.0972749410066225E-2</v>
      </c>
      <c r="V31" s="15">
        <f t="shared" si="11"/>
        <v>3.7582812485068562E-3</v>
      </c>
      <c r="W31" s="13">
        <f>(1+V31)/(1+MAX(V$2:V31))-1</f>
        <v>-7.3275970451411099E-2</v>
      </c>
      <c r="X31" s="20">
        <v>1.26E-2</v>
      </c>
      <c r="Y31" s="15">
        <f t="shared" si="29"/>
        <v>6.4920575919354295E-2</v>
      </c>
      <c r="Z31" s="15">
        <f t="shared" si="13"/>
        <v>0.36018950411135364</v>
      </c>
      <c r="AA31" s="13">
        <f>(1+Z31)/(1+MAX(Z$2:Z31))-1</f>
        <v>0</v>
      </c>
      <c r="AB31" s="124"/>
      <c r="AC31" s="20">
        <f t="shared" si="1"/>
        <v>2.850000000000001E-3</v>
      </c>
      <c r="AD31" s="15">
        <f t="shared" si="30"/>
        <v>2.3284928207744526E-2</v>
      </c>
      <c r="AE31" s="15">
        <f t="shared" si="15"/>
        <v>0.10791938691322933</v>
      </c>
      <c r="AF31" s="15">
        <f>(1+AE31)/(1+MAX(AE$2:AE31))-1</f>
        <v>-3.5863419150564457E-2</v>
      </c>
      <c r="AG31" s="58">
        <f t="shared" si="16"/>
        <v>1107.9193869132293</v>
      </c>
      <c r="AH31" s="137"/>
      <c r="AI31" s="70"/>
      <c r="AJ31" s="70"/>
      <c r="AK31" s="70"/>
      <c r="AL31" s="70"/>
      <c r="AM31" s="70"/>
      <c r="AN31" s="70"/>
      <c r="AO31" s="70"/>
      <c r="AP31" s="81"/>
      <c r="AQ31" s="81"/>
    </row>
    <row r="32" spans="1:43" s="61" customFormat="1" outlineLevel="1" x14ac:dyDescent="0.3">
      <c r="A32" s="61" t="s">
        <v>664</v>
      </c>
      <c r="B32" s="55" t="str">
        <f t="shared" si="0"/>
        <v>2018-7</v>
      </c>
      <c r="C32" s="121">
        <v>43282</v>
      </c>
      <c r="D32" s="20">
        <v>4.3E-3</v>
      </c>
      <c r="E32" s="15">
        <f t="shared" si="24"/>
        <v>1.8613048073235605E-2</v>
      </c>
      <c r="F32" s="15">
        <f t="shared" si="3"/>
        <v>9.8640180920746445E-2</v>
      </c>
      <c r="G32" s="13">
        <f>(1+F32)/(1+MAX(F$2:F32))-1</f>
        <v>-4.4872918475671431E-2</v>
      </c>
      <c r="H32" s="20">
        <v>-3.5299999999999998E-2</v>
      </c>
      <c r="I32" s="15">
        <f t="shared" si="25"/>
        <v>-4.2746510212381739E-2</v>
      </c>
      <c r="J32" s="15">
        <f t="shared" si="5"/>
        <v>7.1783057635818714E-2</v>
      </c>
      <c r="K32" s="13">
        <f>(1+J32)/(1+MAX(J$2:J32))-1</f>
        <v>-0.14628770170353911</v>
      </c>
      <c r="L32" s="20">
        <v>-1.2500000000000001E-2</v>
      </c>
      <c r="M32" s="15">
        <f t="shared" si="26"/>
        <v>-8.977381596808609E-5</v>
      </c>
      <c r="N32" s="15">
        <f t="shared" si="7"/>
        <v>-2.5011263087074909E-2</v>
      </c>
      <c r="O32" s="13">
        <f>(1+N32)/(1+MAX(N$2:N32))-1</f>
        <v>-9.164937709537968E-2</v>
      </c>
      <c r="P32" s="20">
        <v>1.6199999999999999E-2</v>
      </c>
      <c r="Q32" s="15">
        <f t="shared" si="27"/>
        <v>5.6827495148959351E-2</v>
      </c>
      <c r="R32" s="15">
        <f t="shared" si="9"/>
        <v>0.31768226716823333</v>
      </c>
      <c r="S32" s="13">
        <f>(1+R32)/(1+MAX(R$2:R32))-1</f>
        <v>0</v>
      </c>
      <c r="T32" s="20">
        <v>-1.6899999999999998E-2</v>
      </c>
      <c r="U32" s="15">
        <f t="shared" si="28"/>
        <v>1.3549309945036114E-2</v>
      </c>
      <c r="V32" s="15">
        <f t="shared" si="11"/>
        <v>-1.3205233704592922E-2</v>
      </c>
      <c r="W32" s="13">
        <f>(1+V32)/(1+MAX(V$2:V32))-1</f>
        <v>-8.8937606550782311E-2</v>
      </c>
      <c r="X32" s="20">
        <v>1.26E-2</v>
      </c>
      <c r="Y32" s="15">
        <f t="shared" si="29"/>
        <v>7.8338575175938008E-2</v>
      </c>
      <c r="Z32" s="15">
        <f t="shared" si="13"/>
        <v>0.37732789186315663</v>
      </c>
      <c r="AA32" s="13">
        <f>(1+Z32)/(1+MAX(Z$2:Z32))-1</f>
        <v>0</v>
      </c>
      <c r="AB32" s="124"/>
      <c r="AC32" s="20">
        <f t="shared" si="1"/>
        <v>-7.4650000000000003E-3</v>
      </c>
      <c r="AD32" s="15">
        <f t="shared" si="30"/>
        <v>1.5646106218673683E-2</v>
      </c>
      <c r="AE32" s="15">
        <f t="shared" si="15"/>
        <v>9.9648768689922118E-2</v>
      </c>
      <c r="AF32" s="15">
        <f>(1+AE32)/(1+MAX(AE$2:AE32))-1</f>
        <v>-4.3060698726605451E-2</v>
      </c>
      <c r="AG32" s="58">
        <f t="shared" si="16"/>
        <v>1099.648768689922</v>
      </c>
      <c r="AH32" s="137"/>
      <c r="AI32" s="70"/>
      <c r="AJ32" s="70"/>
      <c r="AK32" s="70"/>
      <c r="AL32" s="70"/>
      <c r="AM32" s="70"/>
      <c r="AN32" s="70"/>
      <c r="AO32" s="70"/>
      <c r="AP32" s="81"/>
      <c r="AQ32" s="81"/>
    </row>
    <row r="33" spans="1:43" s="61" customFormat="1" outlineLevel="1" x14ac:dyDescent="0.3">
      <c r="A33" s="61" t="s">
        <v>664</v>
      </c>
      <c r="B33" s="55" t="str">
        <f t="shared" si="0"/>
        <v>2018-8</v>
      </c>
      <c r="C33" s="121">
        <v>43313</v>
      </c>
      <c r="D33" s="20">
        <v>-8.3000000000000001E-3</v>
      </c>
      <c r="E33" s="15">
        <f t="shared" si="24"/>
        <v>1.0158559774227749E-2</v>
      </c>
      <c r="F33" s="15">
        <f t="shared" si="3"/>
        <v>8.9521467419104273E-2</v>
      </c>
      <c r="G33" s="13">
        <f>(1+F33)/(1+MAX(F$2:F33))-1</f>
        <v>-5.2800473252323399E-2</v>
      </c>
      <c r="H33" s="20">
        <v>-1.6899999999999998E-2</v>
      </c>
      <c r="I33" s="15">
        <f t="shared" si="25"/>
        <v>-5.8924094189792497E-2</v>
      </c>
      <c r="J33" s="15">
        <f t="shared" si="5"/>
        <v>5.366992396177328E-2</v>
      </c>
      <c r="K33" s="13">
        <f>(1+J33)/(1+MAX(J$2:J33))-1</f>
        <v>-0.16071543954474943</v>
      </c>
      <c r="L33" s="20">
        <v>8.6E-3</v>
      </c>
      <c r="M33" s="15">
        <f t="shared" si="26"/>
        <v>8.5094541292145554E-3</v>
      </c>
      <c r="N33" s="15">
        <f t="shared" si="7"/>
        <v>-1.6626359949623803E-2</v>
      </c>
      <c r="O33" s="13">
        <f>(1+N33)/(1+MAX(N$2:N33))-1</f>
        <v>-8.3837561738399957E-2</v>
      </c>
      <c r="P33" s="20">
        <v>1.2E-2</v>
      </c>
      <c r="Q33" s="15">
        <f t="shared" si="27"/>
        <v>6.9509425090746868E-2</v>
      </c>
      <c r="R33" s="15">
        <f t="shared" si="9"/>
        <v>0.33349445437425218</v>
      </c>
      <c r="S33" s="13">
        <f>(1+R33)/(1+MAX(R$2:R33))-1</f>
        <v>0</v>
      </c>
      <c r="T33" s="20">
        <v>9.9000000000000008E-3</v>
      </c>
      <c r="U33" s="15">
        <f t="shared" si="28"/>
        <v>2.3583448113492E-2</v>
      </c>
      <c r="V33" s="15">
        <f t="shared" si="11"/>
        <v>-3.4359655182684135E-3</v>
      </c>
      <c r="W33" s="13">
        <f>(1+V33)/(1+MAX(V$2:V33))-1</f>
        <v>-7.9918088855635117E-2</v>
      </c>
      <c r="X33" s="20">
        <v>2.8000000000000001E-2</v>
      </c>
      <c r="Y33" s="15">
        <f t="shared" si="29"/>
        <v>0.1085320552808644</v>
      </c>
      <c r="Z33" s="15">
        <f t="shared" si="13"/>
        <v>0.41589307283532495</v>
      </c>
      <c r="AA33" s="13">
        <f>(1+Z33)/(1+MAX(Z$2:Z33))-1</f>
        <v>0</v>
      </c>
      <c r="AB33" s="124"/>
      <c r="AC33" s="20">
        <f t="shared" si="1"/>
        <v>4.9500000000000013E-3</v>
      </c>
      <c r="AD33" s="15">
        <f t="shared" si="30"/>
        <v>2.0673554444456066E-2</v>
      </c>
      <c r="AE33" s="15">
        <f t="shared" si="15"/>
        <v>0.10509203009493717</v>
      </c>
      <c r="AF33" s="15">
        <f>(1+AE33)/(1+MAX(AE$2:AE33))-1</f>
        <v>-3.8323849185302183E-2</v>
      </c>
      <c r="AG33" s="58">
        <f t="shared" si="16"/>
        <v>1105.0920300949372</v>
      </c>
      <c r="AH33" s="137"/>
      <c r="AI33" s="70"/>
      <c r="AJ33" s="70"/>
      <c r="AK33" s="70"/>
      <c r="AL33" s="70"/>
      <c r="AM33" s="70"/>
      <c r="AN33" s="70"/>
      <c r="AO33" s="70"/>
      <c r="AP33" s="81"/>
      <c r="AQ33" s="81"/>
    </row>
    <row r="34" spans="1:43" s="61" customFormat="1" outlineLevel="1" x14ac:dyDescent="0.3">
      <c r="A34" s="61" t="s">
        <v>664</v>
      </c>
      <c r="B34" s="55" t="str">
        <f t="shared" si="0"/>
        <v>2018-9</v>
      </c>
      <c r="C34" s="121">
        <v>43344</v>
      </c>
      <c r="D34" s="20">
        <v>9.7999999999999997E-3</v>
      </c>
      <c r="E34" s="15">
        <f t="shared" si="24"/>
        <v>2.0058113660015309E-2</v>
      </c>
      <c r="F34" s="15">
        <f t="shared" si="3"/>
        <v>0.10019877779981146</v>
      </c>
      <c r="G34" s="13">
        <f>(1+F34)/(1+MAX(F$2:F34))-1</f>
        <v>-4.3517917890196212E-2</v>
      </c>
      <c r="H34" s="20">
        <v>-3.8E-3</v>
      </c>
      <c r="I34" s="15">
        <f t="shared" si="25"/>
        <v>-6.2500182631871293E-2</v>
      </c>
      <c r="J34" s="15">
        <f t="shared" si="5"/>
        <v>4.9665978250718501E-2</v>
      </c>
      <c r="K34" s="13">
        <f>(1+J34)/(1+MAX(J$2:J34))-1</f>
        <v>-0.16390472087447938</v>
      </c>
      <c r="L34" s="20">
        <v>-3.3999999999999998E-3</v>
      </c>
      <c r="M34" s="15">
        <f t="shared" si="26"/>
        <v>5.0805219851752792E-3</v>
      </c>
      <c r="N34" s="15">
        <f t="shared" si="7"/>
        <v>-1.9969830325795024E-2</v>
      </c>
      <c r="O34" s="13">
        <f>(1+N34)/(1+MAX(N$2:N34))-1</f>
        <v>-8.6952514028489358E-2</v>
      </c>
      <c r="P34" s="20">
        <v>-4.0000000000000002E-4</v>
      </c>
      <c r="Q34" s="15">
        <f t="shared" si="27"/>
        <v>6.9081621320710607E-2</v>
      </c>
      <c r="R34" s="15">
        <f t="shared" si="9"/>
        <v>0.33296105659250252</v>
      </c>
      <c r="S34" s="13">
        <f>(1+R34)/(1+MAX(R$2:R34))-1</f>
        <v>-3.9999999999995595E-4</v>
      </c>
      <c r="T34" s="20">
        <v>-7.1000000000000004E-3</v>
      </c>
      <c r="U34" s="15">
        <f t="shared" si="28"/>
        <v>1.6316005631886288E-2</v>
      </c>
      <c r="V34" s="15">
        <f t="shared" si="11"/>
        <v>-1.0511570163088679E-2</v>
      </c>
      <c r="W34" s="13">
        <f>(1+V34)/(1+MAX(V$2:V34))-1</f>
        <v>-8.6450670424760068E-2</v>
      </c>
      <c r="X34" s="20">
        <v>-1.5100000000000001E-2</v>
      </c>
      <c r="Y34" s="15">
        <f t="shared" si="29"/>
        <v>9.1793221246123435E-2</v>
      </c>
      <c r="Z34" s="15">
        <f t="shared" si="13"/>
        <v>0.39451308743551161</v>
      </c>
      <c r="AA34" s="13">
        <f>(1+Z34)/(1+MAX(Z$2:Z34))-1</f>
        <v>-1.5100000000000002E-2</v>
      </c>
      <c r="AB34" s="124"/>
      <c r="AC34" s="20">
        <f t="shared" ref="AC34:AC65" si="31">D34*$E$1+H34*$I$1+L34*$M$1+P34*$Q$1+T34*$U$1+X34*$Y$1</f>
        <v>-2.9400000000000003E-3</v>
      </c>
      <c r="AD34" s="15">
        <f t="shared" si="30"/>
        <v>1.7672774194389396E-2</v>
      </c>
      <c r="AE34" s="15">
        <f t="shared" si="15"/>
        <v>0.10184305952645789</v>
      </c>
      <c r="AF34" s="15">
        <f>(1+AE34)/(1+MAX(AE$2:AE34))-1</f>
        <v>-4.1151177068697531E-2</v>
      </c>
      <c r="AG34" s="58">
        <f t="shared" si="16"/>
        <v>1101.8430595264581</v>
      </c>
      <c r="AH34" s="137"/>
      <c r="AI34" s="70"/>
      <c r="AJ34" s="70"/>
      <c r="AK34" s="70"/>
      <c r="AL34" s="70"/>
      <c r="AM34" s="70"/>
      <c r="AN34" s="70"/>
      <c r="AO34" s="70"/>
      <c r="AP34" s="81"/>
      <c r="AQ34" s="81"/>
    </row>
    <row r="35" spans="1:43" s="61" customFormat="1" outlineLevel="1" x14ac:dyDescent="0.3">
      <c r="A35" s="61" t="s">
        <v>664</v>
      </c>
      <c r="B35" s="55" t="str">
        <f t="shared" si="0"/>
        <v>2018-10</v>
      </c>
      <c r="C35" s="121">
        <v>43374</v>
      </c>
      <c r="D35" s="20">
        <v>7.4999999999999997E-3</v>
      </c>
      <c r="E35" s="15">
        <f t="shared" si="24"/>
        <v>2.7708549512465597E-2</v>
      </c>
      <c r="F35" s="15">
        <f t="shared" si="3"/>
        <v>0.1084502686333102</v>
      </c>
      <c r="G35" s="13">
        <f>(1+F35)/(1+MAX(F$2:F35))-1</f>
        <v>-3.6344302274372464E-2</v>
      </c>
      <c r="H35" s="20">
        <v>4.7199999999999999E-2</v>
      </c>
      <c r="I35" s="15">
        <f t="shared" si="25"/>
        <v>-1.8250191252095704E-2</v>
      </c>
      <c r="J35" s="15">
        <f t="shared" si="5"/>
        <v>9.9210212424152289E-2</v>
      </c>
      <c r="K35" s="13">
        <f>(1+J35)/(1+MAX(J$2:J35))-1</f>
        <v>-0.12444102369975496</v>
      </c>
      <c r="L35" s="20">
        <v>1.5699999999999999E-2</v>
      </c>
      <c r="M35" s="15">
        <f t="shared" si="26"/>
        <v>2.0860286180342635E-2</v>
      </c>
      <c r="N35" s="15">
        <f t="shared" si="7"/>
        <v>-4.5833566619100097E-3</v>
      </c>
      <c r="O35" s="13">
        <f>(1+N35)/(1+MAX(N$2:N35))-1</f>
        <v>-7.2617668498736632E-2</v>
      </c>
      <c r="P35" s="20">
        <v>-5.74E-2</v>
      </c>
      <c r="Q35" s="15">
        <f t="shared" si="27"/>
        <v>7.7163362569017124E-3</v>
      </c>
      <c r="R35" s="15">
        <f t="shared" si="9"/>
        <v>0.25644909194409293</v>
      </c>
      <c r="S35" s="13">
        <f>(1+R35)/(1+MAX(R$2:R35))-1</f>
        <v>-5.7777039999999946E-2</v>
      </c>
      <c r="T35" s="20">
        <v>1.11E-2</v>
      </c>
      <c r="U35" s="15">
        <f t="shared" si="28"/>
        <v>2.7597113294400399E-2</v>
      </c>
      <c r="V35" s="15">
        <f t="shared" si="11"/>
        <v>4.7175140810118421E-4</v>
      </c>
      <c r="W35" s="13">
        <f>(1+V35)/(1+MAX(V$2:V35))-1</f>
        <v>-7.6310272866474738E-2</v>
      </c>
      <c r="X35" s="20">
        <v>-6.6699999999999995E-2</v>
      </c>
      <c r="Y35" s="15">
        <f t="shared" si="29"/>
        <v>1.8970613389007074E-2</v>
      </c>
      <c r="Z35" s="15">
        <f t="shared" si="13"/>
        <v>0.30149906450356312</v>
      </c>
      <c r="AA35" s="13">
        <f>(1+Z35)/(1+MAX(Z$2:Z35))-1</f>
        <v>-8.0792829999999816E-2</v>
      </c>
      <c r="AB35" s="124"/>
      <c r="AC35" s="20">
        <f t="shared" si="31"/>
        <v>-9.3000000000000114E-4</v>
      </c>
      <c r="AD35" s="15">
        <f t="shared" si="30"/>
        <v>1.6726338514388539E-2</v>
      </c>
      <c r="AE35" s="15">
        <f t="shared" si="15"/>
        <v>0.10081834548109825</v>
      </c>
      <c r="AF35" s="15">
        <f>(1+AE35)/(1+MAX(AE$2:AE35))-1</f>
        <v>-4.2042906474023645E-2</v>
      </c>
      <c r="AG35" s="58">
        <f t="shared" si="16"/>
        <v>1100.8183454810985</v>
      </c>
      <c r="AH35" s="137"/>
      <c r="AI35" s="70"/>
      <c r="AJ35" s="70"/>
      <c r="AK35" s="70"/>
      <c r="AL35" s="70"/>
      <c r="AM35" s="70"/>
      <c r="AN35" s="70"/>
      <c r="AO35" s="70"/>
      <c r="AP35" s="81"/>
      <c r="AQ35" s="81"/>
    </row>
    <row r="36" spans="1:43" s="61" customFormat="1" outlineLevel="1" x14ac:dyDescent="0.3">
      <c r="A36" s="61" t="s">
        <v>664</v>
      </c>
      <c r="B36" s="55" t="str">
        <f t="shared" si="0"/>
        <v>2018-11</v>
      </c>
      <c r="C36" s="121">
        <v>43405</v>
      </c>
      <c r="D36" s="20">
        <v>-2.2000000000000001E-3</v>
      </c>
      <c r="E36" s="15">
        <f t="shared" si="24"/>
        <v>2.5447590703538303E-2</v>
      </c>
      <c r="F36" s="15">
        <f t="shared" si="3"/>
        <v>0.10601167804231704</v>
      </c>
      <c r="G36" s="13">
        <f>(1+F36)/(1+MAX(F$2:F36))-1</f>
        <v>-3.8464344809368778E-2</v>
      </c>
      <c r="H36" s="20">
        <v>-6.9999999999999999E-4</v>
      </c>
      <c r="I36" s="15">
        <f t="shared" si="25"/>
        <v>-1.8937416118219308E-2</v>
      </c>
      <c r="J36" s="15">
        <f t="shared" si="5"/>
        <v>9.8440765275455311E-2</v>
      </c>
      <c r="K36" s="13">
        <f>(1+J36)/(1+MAX(J$2:J36))-1</f>
        <v>-0.12505391498316509</v>
      </c>
      <c r="L36" s="20">
        <v>1.2999999999999999E-3</v>
      </c>
      <c r="M36" s="15">
        <f t="shared" si="26"/>
        <v>2.218740455237711E-2</v>
      </c>
      <c r="N36" s="15">
        <f t="shared" si="7"/>
        <v>-3.289315025570394E-3</v>
      </c>
      <c r="O36" s="13">
        <f>(1+N36)/(1+MAX(N$2:N36))-1</f>
        <v>-7.1412071467784943E-2</v>
      </c>
      <c r="P36" s="20">
        <v>1.72E-2</v>
      </c>
      <c r="Q36" s="15">
        <f t="shared" si="27"/>
        <v>2.5049057240520423E-2</v>
      </c>
      <c r="R36" s="15">
        <f t="shared" si="9"/>
        <v>0.27806001632553157</v>
      </c>
      <c r="S36" s="13">
        <f>(1+R36)/(1+MAX(R$2:R36))-1</f>
        <v>-4.1570805087999707E-2</v>
      </c>
      <c r="T36" s="20">
        <v>-1E-4</v>
      </c>
      <c r="U36" s="15">
        <f t="shared" si="28"/>
        <v>2.7494353583070952E-2</v>
      </c>
      <c r="V36" s="15">
        <f t="shared" si="11"/>
        <v>3.7170423296029043E-4</v>
      </c>
      <c r="W36" s="13">
        <f>(1+V36)/(1+MAX(V$2:V36))-1</f>
        <v>-7.6402641839188212E-2</v>
      </c>
      <c r="X36" s="20">
        <v>1.9699999999999999E-2</v>
      </c>
      <c r="Y36" s="15">
        <f t="shared" si="29"/>
        <v>3.904433447277067E-2</v>
      </c>
      <c r="Z36" s="15">
        <f t="shared" si="13"/>
        <v>0.32713859607428342</v>
      </c>
      <c r="AA36" s="13">
        <f>(1+Z36)/(1+MAX(Z$2:Z36))-1</f>
        <v>-6.2684448750999766E-2</v>
      </c>
      <c r="AB36" s="124"/>
      <c r="AC36" s="20">
        <f t="shared" si="31"/>
        <v>4.4200000000000003E-3</v>
      </c>
      <c r="AD36" s="15">
        <f t="shared" si="30"/>
        <v>2.1220268930622233E-2</v>
      </c>
      <c r="AE36" s="15">
        <f t="shared" si="15"/>
        <v>0.10568396256812473</v>
      </c>
      <c r="AF36" s="15">
        <f>(1+AE36)/(1+MAX(AE$2:AE36))-1</f>
        <v>-3.7808736120638842E-2</v>
      </c>
      <c r="AG36" s="58">
        <f t="shared" si="16"/>
        <v>1105.683962568125</v>
      </c>
      <c r="AH36" s="137"/>
      <c r="AI36" s="70"/>
      <c r="AJ36" s="70"/>
      <c r="AK36" s="70"/>
      <c r="AL36" s="70"/>
      <c r="AM36" s="70"/>
      <c r="AN36" s="70"/>
      <c r="AO36" s="70"/>
      <c r="AP36" s="81"/>
      <c r="AQ36" s="81"/>
    </row>
    <row r="37" spans="1:43" s="27" customFormat="1" ht="15" thickBot="1" x14ac:dyDescent="0.35">
      <c r="A37" s="27" t="s">
        <v>664</v>
      </c>
      <c r="B37" s="63" t="str">
        <f t="shared" si="0"/>
        <v>2018-12</v>
      </c>
      <c r="C37" s="122">
        <v>43435</v>
      </c>
      <c r="D37" s="32">
        <v>1.29E-2</v>
      </c>
      <c r="E37" s="25">
        <f t="shared" si="24"/>
        <v>3.8675864623613831E-2</v>
      </c>
      <c r="F37" s="25">
        <f t="shared" si="3"/>
        <v>0.12027922868906282</v>
      </c>
      <c r="G37" s="26">
        <f>(1+F37)/(1+MAX(F$2:F37))-1</f>
        <v>-2.6060534857409778E-2</v>
      </c>
      <c r="H37" s="32">
        <v>4.5199999999999997E-2</v>
      </c>
      <c r="I37" s="25">
        <f t="shared" si="25"/>
        <v>2.5406612673237072E-2</v>
      </c>
      <c r="J37" s="25">
        <f t="shared" si="5"/>
        <v>0.14809028786590583</v>
      </c>
      <c r="K37" s="26">
        <f>(1+J37)/(1+MAX(J$2:J37))-1</f>
        <v>-8.5506351940404235E-2</v>
      </c>
      <c r="L37" s="32">
        <v>1.29E-2</v>
      </c>
      <c r="M37" s="25">
        <f t="shared" si="26"/>
        <v>3.5373622071102728E-2</v>
      </c>
      <c r="N37" s="25">
        <f t="shared" si="7"/>
        <v>9.5682528105995868E-3</v>
      </c>
      <c r="O37" s="26">
        <f>(1+N37)/(1+MAX(N$2:N37))-1</f>
        <v>-5.9433287189719519E-2</v>
      </c>
      <c r="P37" s="32">
        <v>-7.1000000000000004E-3</v>
      </c>
      <c r="Q37" s="25">
        <f t="shared" si="27"/>
        <v>1.7771208934112659E-2</v>
      </c>
      <c r="R37" s="25">
        <f t="shared" si="9"/>
        <v>0.26898579020962021</v>
      </c>
      <c r="S37" s="26">
        <f>(1+R37)/(1+MAX(R$2:R37))-1</f>
        <v>-4.8375652371875022E-2</v>
      </c>
      <c r="T37" s="32">
        <v>8.9999999999999998E-4</v>
      </c>
      <c r="U37" s="25">
        <f t="shared" si="28"/>
        <v>2.8419098501295537E-2</v>
      </c>
      <c r="V37" s="25">
        <f t="shared" si="11"/>
        <v>1.2720387667699562E-3</v>
      </c>
      <c r="W37" s="26">
        <f>(1+V37)/(1+MAX(V$2:V37))-1</f>
        <v>-7.5571404216843385E-2</v>
      </c>
      <c r="X37" s="32">
        <v>-0.1182</v>
      </c>
      <c r="Y37" s="25">
        <f t="shared" si="29"/>
        <v>-8.3770705861910821E-2</v>
      </c>
      <c r="Z37" s="25">
        <f t="shared" si="13"/>
        <v>0.17027081401830313</v>
      </c>
      <c r="AA37" s="26">
        <f>(1+Z37)/(1+MAX(Z$2:Z37))-1</f>
        <v>-0.17347514690863164</v>
      </c>
      <c r="AB37" s="125"/>
      <c r="AC37" s="32">
        <f t="shared" si="31"/>
        <v>-7.6500000000000179E-4</v>
      </c>
      <c r="AD37" s="25">
        <f t="shared" si="30"/>
        <v>2.0439035424890228E-2</v>
      </c>
      <c r="AE37" s="25">
        <f t="shared" si="15"/>
        <v>0.10483811433676005</v>
      </c>
      <c r="AF37" s="25">
        <f>(1+AE37)/(1+MAX(AE$2:AE37))-1</f>
        <v>-3.8544812437506626E-2</v>
      </c>
      <c r="AG37" s="66">
        <f t="shared" si="16"/>
        <v>1104.8381143367603</v>
      </c>
      <c r="AH37" s="138"/>
      <c r="AI37" s="139"/>
      <c r="AJ37" s="139"/>
      <c r="AK37" s="139"/>
      <c r="AL37" s="139"/>
      <c r="AM37" s="139"/>
      <c r="AN37" s="139"/>
      <c r="AO37" s="139"/>
      <c r="AP37" s="78"/>
      <c r="AQ37" s="78"/>
    </row>
    <row r="38" spans="1:43" s="54" customFormat="1" outlineLevel="1" x14ac:dyDescent="0.3">
      <c r="A38" s="54" t="s">
        <v>664</v>
      </c>
      <c r="B38" s="48" t="str">
        <f t="shared" si="0"/>
        <v>2019-1</v>
      </c>
      <c r="C38" s="120">
        <v>43466</v>
      </c>
      <c r="D38" s="10">
        <v>2.12E-2</v>
      </c>
      <c r="E38" s="5">
        <f>+D38</f>
        <v>2.12E-2</v>
      </c>
      <c r="F38" s="5">
        <f t="shared" si="3"/>
        <v>0.1440291483372711</v>
      </c>
      <c r="G38" s="3">
        <f>(1+F38)/(1+MAX(F$2:F38))-1</f>
        <v>-5.4130181963867319E-3</v>
      </c>
      <c r="H38" s="10">
        <v>2.4199999999999999E-2</v>
      </c>
      <c r="I38" s="5">
        <f>+H38</f>
        <v>2.4199999999999999E-2</v>
      </c>
      <c r="J38" s="5">
        <f t="shared" si="5"/>
        <v>0.17587407283226075</v>
      </c>
      <c r="K38" s="3">
        <f>(1+J38)/(1+MAX(J$2:J38))-1</f>
        <v>-6.3375605657362E-2</v>
      </c>
      <c r="L38" s="10">
        <v>5.8999999999999999E-3</v>
      </c>
      <c r="M38" s="5">
        <f>+L38</f>
        <v>5.8999999999999999E-3</v>
      </c>
      <c r="N38" s="5">
        <f t="shared" si="7"/>
        <v>1.5524705502182101E-2</v>
      </c>
      <c r="O38" s="3">
        <f>(1+N38)/(1+MAX(N$2:N38))-1</f>
        <v>-5.3883943584138838E-2</v>
      </c>
      <c r="P38" s="10">
        <v>7.7399999999999997E-2</v>
      </c>
      <c r="Q38" s="5">
        <f>+P38</f>
        <v>7.7399999999999997E-2</v>
      </c>
      <c r="R38" s="5">
        <f t="shared" si="9"/>
        <v>0.36720529037184479</v>
      </c>
      <c r="S38" s="3">
        <f>(1+R38)/(1+MAX(R$2:R38))-1</f>
        <v>0</v>
      </c>
      <c r="T38" s="10">
        <v>1.0200000000000001E-2</v>
      </c>
      <c r="U38" s="5">
        <f>+T38</f>
        <v>1.0200000000000001E-2</v>
      </c>
      <c r="V38" s="5">
        <f t="shared" si="11"/>
        <v>1.1485013562190893E-2</v>
      </c>
      <c r="W38" s="3">
        <f>(1+V38)/(1+MAX(V$2:V38))-1</f>
        <v>-6.6142232539855295E-2</v>
      </c>
      <c r="X38" s="10">
        <v>0.1076</v>
      </c>
      <c r="Y38" s="5">
        <f>+X38</f>
        <v>0.1076</v>
      </c>
      <c r="Z38" s="5">
        <f t="shared" si="13"/>
        <v>0.29619195360667239</v>
      </c>
      <c r="AA38" s="3">
        <f>(1+Z38)/(1+MAX(Z$2:Z38))-1</f>
        <v>-8.4541072716000421E-2</v>
      </c>
      <c r="AB38" s="124"/>
      <c r="AC38" s="10">
        <f t="shared" si="31"/>
        <v>3.2695000000000002E-2</v>
      </c>
      <c r="AD38" s="5">
        <f>+AC38</f>
        <v>3.2695000000000002E-2</v>
      </c>
      <c r="AE38" s="5">
        <f t="shared" si="15"/>
        <v>0.14096079648500037</v>
      </c>
      <c r="AF38" s="5">
        <f>(1+AE38)/(1+MAX(AE$2:AE38))-1</f>
        <v>-7.110035080150956E-3</v>
      </c>
      <c r="AG38" s="51">
        <f t="shared" si="16"/>
        <v>1140.9607964850006</v>
      </c>
      <c r="AH38" s="137"/>
      <c r="AI38" s="70"/>
      <c r="AJ38" s="70"/>
      <c r="AK38" s="70"/>
      <c r="AL38" s="70"/>
      <c r="AM38" s="70"/>
      <c r="AN38" s="70"/>
      <c r="AO38" s="70"/>
      <c r="AP38" s="81"/>
      <c r="AQ38" s="81"/>
    </row>
    <row r="39" spans="1:43" s="61" customFormat="1" outlineLevel="1" x14ac:dyDescent="0.3">
      <c r="A39" s="61" t="s">
        <v>664</v>
      </c>
      <c r="B39" s="55" t="str">
        <f t="shared" si="0"/>
        <v>2019-2</v>
      </c>
      <c r="C39" s="121">
        <v>43497</v>
      </c>
      <c r="D39" s="20">
        <v>1.8100000000000002E-2</v>
      </c>
      <c r="E39" s="15">
        <f t="shared" ref="E39:E49" si="32">+(1+D39)*(1+E38)-1</f>
        <v>3.96837200000002E-2</v>
      </c>
      <c r="F39" s="15">
        <f t="shared" si="3"/>
        <v>0.16473607592217565</v>
      </c>
      <c r="G39" s="13">
        <f>(1+F39)/(1+MAX(F$2:F39))-1</f>
        <v>0</v>
      </c>
      <c r="H39" s="20">
        <v>4.7000000000000002E-3</v>
      </c>
      <c r="I39" s="15">
        <f t="shared" ref="I39:I49" si="33">+(1+H39)*(1+I38)-1</f>
        <v>2.9013739999999899E-2</v>
      </c>
      <c r="J39" s="15">
        <f t="shared" si="5"/>
        <v>0.18140068097457229</v>
      </c>
      <c r="K39" s="13">
        <f>(1+J39)/(1+MAX(J$2:J39))-1</f>
        <v>-5.8973471003951672E-2</v>
      </c>
      <c r="L39" s="20">
        <v>8.8000000000000005E-3</v>
      </c>
      <c r="M39" s="15">
        <f t="shared" ref="M39:M49" si="34">+(1+L39)*(1+M38)-1</f>
        <v>1.4751919999999918E-2</v>
      </c>
      <c r="N39" s="15">
        <f t="shared" si="7"/>
        <v>2.4461322910601213E-2</v>
      </c>
      <c r="O39" s="13">
        <f>(1+N39)/(1+MAX(N$2:N39))-1</f>
        <v>-4.5558122287679415E-2</v>
      </c>
      <c r="P39" s="20">
        <v>3.8199999999999998E-2</v>
      </c>
      <c r="Q39" s="15">
        <f t="shared" ref="Q39:Q49" si="35">+(1+P39)*(1+Q38)-1</f>
        <v>0.11855667999999997</v>
      </c>
      <c r="R39" s="15">
        <f t="shared" si="9"/>
        <v>0.41943253246404932</v>
      </c>
      <c r="S39" s="13">
        <f>(1+R39)/(1+MAX(R$2:R39))-1</f>
        <v>0</v>
      </c>
      <c r="T39" s="20">
        <v>7.7999999999999996E-3</v>
      </c>
      <c r="U39" s="15">
        <f t="shared" ref="U39:U49" si="36">+(1+T39)*(1+U38)-1</f>
        <v>1.8079560000000106E-2</v>
      </c>
      <c r="V39" s="15">
        <f t="shared" si="11"/>
        <v>1.9374596667975919E-2</v>
      </c>
      <c r="W39" s="13">
        <f>(1+V39)/(1+MAX(V$2:V39))-1</f>
        <v>-5.8858141953666232E-2</v>
      </c>
      <c r="X39" s="20">
        <v>4.9299999999999997E-2</v>
      </c>
      <c r="Y39" s="15">
        <f t="shared" ref="Y39:Y49" si="37">+(1+X39)*(1+Y38)-1</f>
        <v>0.16220467999999988</v>
      </c>
      <c r="Z39" s="15">
        <f t="shared" si="13"/>
        <v>0.36009421691948118</v>
      </c>
      <c r="AA39" s="13">
        <f>(1+Z39)/(1+MAX(Z$2:Z39))-1</f>
        <v>-3.9408947600899413E-2</v>
      </c>
      <c r="AB39" s="124"/>
      <c r="AC39" s="20">
        <f t="shared" si="31"/>
        <v>1.7840000000000002E-2</v>
      </c>
      <c r="AD39" s="15">
        <f t="shared" ref="AD39:AD49" si="38">+(1+AC39)*(1+AD38)-1</f>
        <v>5.1118278799999972E-2</v>
      </c>
      <c r="AE39" s="15">
        <f t="shared" si="15"/>
        <v>0.16131553709429292</v>
      </c>
      <c r="AF39" s="15">
        <f>(1+AE39)/(1+MAX(AE$2:AE39))-1</f>
        <v>0</v>
      </c>
      <c r="AG39" s="58">
        <f t="shared" si="16"/>
        <v>1161.3155370942932</v>
      </c>
      <c r="AH39" s="137"/>
      <c r="AI39" s="70"/>
      <c r="AJ39" s="70"/>
      <c r="AK39" s="70"/>
      <c r="AL39" s="70"/>
      <c r="AM39" s="70"/>
      <c r="AN39" s="70"/>
      <c r="AO39" s="70"/>
      <c r="AP39" s="81"/>
      <c r="AQ39" s="81"/>
    </row>
    <row r="40" spans="1:43" s="61" customFormat="1" outlineLevel="1" x14ac:dyDescent="0.3">
      <c r="A40" s="61" t="s">
        <v>664</v>
      </c>
      <c r="B40" s="55" t="str">
        <f t="shared" si="0"/>
        <v>2019-3</v>
      </c>
      <c r="C40" s="121">
        <v>43525</v>
      </c>
      <c r="D40" s="20">
        <v>2.58E-2</v>
      </c>
      <c r="E40" s="15">
        <f t="shared" si="32"/>
        <v>6.650755997600033E-2</v>
      </c>
      <c r="F40" s="15">
        <f t="shared" si="3"/>
        <v>0.19478626668096788</v>
      </c>
      <c r="G40" s="13">
        <f>(1+F40)/(1+MAX(F$2:F40))-1</f>
        <v>0</v>
      </c>
      <c r="H40" s="20">
        <v>-2.7000000000000001E-3</v>
      </c>
      <c r="I40" s="15">
        <f t="shared" si="33"/>
        <v>2.6235402901999771E-2</v>
      </c>
      <c r="J40" s="15">
        <f t="shared" si="5"/>
        <v>0.17821089913594101</v>
      </c>
      <c r="K40" s="13">
        <f>(1+J40)/(1+MAX(J$2:J40))-1</f>
        <v>-6.1514242632241034E-2</v>
      </c>
      <c r="L40" s="20">
        <v>3.32E-2</v>
      </c>
      <c r="M40" s="15">
        <f t="shared" si="34"/>
        <v>4.8441683743999819E-2</v>
      </c>
      <c r="N40" s="15">
        <f t="shared" si="7"/>
        <v>5.8473438831233127E-2</v>
      </c>
      <c r="O40" s="13">
        <f>(1+N40)/(1+MAX(N$2:N40))-1</f>
        <v>-1.3870651947630375E-2</v>
      </c>
      <c r="P40" s="20">
        <v>2.8299999999999999E-2</v>
      </c>
      <c r="Q40" s="15">
        <f t="shared" si="35"/>
        <v>0.15021183404399996</v>
      </c>
      <c r="R40" s="15">
        <f t="shared" si="9"/>
        <v>0.45960247313278191</v>
      </c>
      <c r="S40" s="13">
        <f>(1+R40)/(1+MAX(R$2:R40))-1</f>
        <v>0</v>
      </c>
      <c r="T40" s="20">
        <v>3.1800000000000002E-2</v>
      </c>
      <c r="U40" s="15">
        <f t="shared" si="36"/>
        <v>5.0454490008000175E-2</v>
      </c>
      <c r="V40" s="15">
        <f t="shared" si="11"/>
        <v>5.179070884201753E-2</v>
      </c>
      <c r="W40" s="13">
        <f>(1+V40)/(1+MAX(V$2:V40))-1</f>
        <v>-2.8929830867792883E-2</v>
      </c>
      <c r="X40" s="20">
        <v>-6.4000000000000003E-3</v>
      </c>
      <c r="Y40" s="15">
        <f t="shared" si="37"/>
        <v>0.15476657004799987</v>
      </c>
      <c r="Z40" s="15">
        <f t="shared" si="13"/>
        <v>0.3513896139311965</v>
      </c>
      <c r="AA40" s="13">
        <f>(1+Z40)/(1+MAX(Z$2:Z40))-1</f>
        <v>-4.5556730336253626E-2</v>
      </c>
      <c r="AB40" s="124"/>
      <c r="AC40" s="20">
        <f t="shared" si="31"/>
        <v>2.1729999999999999E-2</v>
      </c>
      <c r="AD40" s="15">
        <f t="shared" si="38"/>
        <v>7.395907899832399E-2</v>
      </c>
      <c r="AE40" s="15">
        <f t="shared" si="15"/>
        <v>0.18655092371535198</v>
      </c>
      <c r="AF40" s="15">
        <f>(1+AE40)/(1+MAX(AE$2:AE40))-1</f>
        <v>0</v>
      </c>
      <c r="AG40" s="58">
        <f t="shared" si="16"/>
        <v>1186.5509237153522</v>
      </c>
      <c r="AH40" s="137"/>
      <c r="AI40" s="70"/>
      <c r="AJ40" s="70"/>
      <c r="AK40" s="70"/>
      <c r="AL40" s="70"/>
      <c r="AM40" s="70"/>
      <c r="AN40" s="70"/>
      <c r="AO40" s="70"/>
      <c r="AP40" s="81"/>
      <c r="AQ40" s="81"/>
    </row>
    <row r="41" spans="1:43" s="61" customFormat="1" outlineLevel="1" x14ac:dyDescent="0.3">
      <c r="A41" s="61" t="s">
        <v>664</v>
      </c>
      <c r="B41" s="55" t="str">
        <f t="shared" si="0"/>
        <v>2019-4</v>
      </c>
      <c r="C41" s="121">
        <v>43556</v>
      </c>
      <c r="D41" s="20">
        <v>1.34E-2</v>
      </c>
      <c r="E41" s="15">
        <f t="shared" si="32"/>
        <v>8.0798761279678777E-2</v>
      </c>
      <c r="F41" s="15">
        <f t="shared" si="3"/>
        <v>0.21079640265449284</v>
      </c>
      <c r="G41" s="13">
        <f>(1+F41)/(1+MAX(F$2:F41))-1</f>
        <v>0</v>
      </c>
      <c r="H41" s="20">
        <v>-3.3E-3</v>
      </c>
      <c r="I41" s="15">
        <f t="shared" si="33"/>
        <v>2.2848826072423112E-2</v>
      </c>
      <c r="J41" s="15">
        <f t="shared" si="5"/>
        <v>0.17432280316879245</v>
      </c>
      <c r="K41" s="13">
        <f>(1+J41)/(1+MAX(J$2:J41))-1</f>
        <v>-6.4611245631554515E-2</v>
      </c>
      <c r="L41" s="20">
        <v>3.3E-3</v>
      </c>
      <c r="M41" s="15">
        <f t="shared" si="34"/>
        <v>5.1901541300355181E-2</v>
      </c>
      <c r="N41" s="15">
        <f t="shared" si="7"/>
        <v>6.1966401179376351E-2</v>
      </c>
      <c r="O41" s="13">
        <f>(1+N41)/(1+MAX(N$2:N41))-1</f>
        <v>-1.0616425099057358E-2</v>
      </c>
      <c r="P41" s="20">
        <v>4.0899999999999999E-2</v>
      </c>
      <c r="Q41" s="15">
        <f t="shared" si="35"/>
        <v>0.19725549805639941</v>
      </c>
      <c r="R41" s="15">
        <f t="shared" si="9"/>
        <v>0.51930021428391249</v>
      </c>
      <c r="S41" s="13">
        <f>(1+R41)/(1+MAX(R$2:R41))-1</f>
        <v>0</v>
      </c>
      <c r="T41" s="20">
        <v>7.1000000000000004E-3</v>
      </c>
      <c r="U41" s="15">
        <f t="shared" si="36"/>
        <v>5.7912716887057014E-2</v>
      </c>
      <c r="V41" s="15">
        <f t="shared" si="11"/>
        <v>5.925842287479588E-2</v>
      </c>
      <c r="W41" s="13">
        <f>(1+V41)/(1+MAX(V$2:V41))-1</f>
        <v>-2.2035232666954174E-2</v>
      </c>
      <c r="X41" s="20">
        <v>4.3400000000000001E-2</v>
      </c>
      <c r="Y41" s="15">
        <f t="shared" si="37"/>
        <v>0.20488343918808316</v>
      </c>
      <c r="Z41" s="15">
        <f t="shared" si="13"/>
        <v>0.41003992317581051</v>
      </c>
      <c r="AA41" s="13">
        <f>(1+Z41)/(1+MAX(Z$2:Z41))-1</f>
        <v>-4.1338924328470084E-3</v>
      </c>
      <c r="AB41" s="124"/>
      <c r="AC41" s="20">
        <f t="shared" si="31"/>
        <v>1.4235000000000001E-2</v>
      </c>
      <c r="AD41" s="15">
        <f t="shared" si="38"/>
        <v>8.9246886487865051E-2</v>
      </c>
      <c r="AE41" s="15">
        <f t="shared" si="15"/>
        <v>0.20344147611444008</v>
      </c>
      <c r="AF41" s="15">
        <f>(1+AE41)/(1+MAX(AE$2:AE41))-1</f>
        <v>0</v>
      </c>
      <c r="AG41" s="58">
        <f t="shared" si="16"/>
        <v>1203.4414761144401</v>
      </c>
      <c r="AH41" s="137"/>
      <c r="AI41" s="70"/>
      <c r="AJ41" s="70"/>
      <c r="AK41" s="70"/>
      <c r="AL41" s="70"/>
      <c r="AM41" s="70"/>
      <c r="AN41" s="70"/>
      <c r="AO41" s="70"/>
      <c r="AP41" s="81"/>
      <c r="AQ41" s="81"/>
    </row>
    <row r="42" spans="1:43" s="61" customFormat="1" outlineLevel="1" x14ac:dyDescent="0.3">
      <c r="A42" s="61" t="s">
        <v>664</v>
      </c>
      <c r="B42" s="55" t="str">
        <f t="shared" si="0"/>
        <v>2019-5</v>
      </c>
      <c r="C42" s="121">
        <v>43586</v>
      </c>
      <c r="D42" s="20">
        <v>2.0000000000000001E-4</v>
      </c>
      <c r="E42" s="15">
        <f t="shared" si="32"/>
        <v>8.1014921031934639E-2</v>
      </c>
      <c r="F42" s="15">
        <f t="shared" si="3"/>
        <v>0.21103856193502368</v>
      </c>
      <c r="G42" s="13">
        <f>(1+F42)/(1+MAX(F$2:F42))-1</f>
        <v>0</v>
      </c>
      <c r="H42" s="20">
        <v>2.2800000000000001E-2</v>
      </c>
      <c r="I42" s="15">
        <f t="shared" si="33"/>
        <v>4.616977930687427E-2</v>
      </c>
      <c r="J42" s="15">
        <f t="shared" si="5"/>
        <v>0.20109736308104087</v>
      </c>
      <c r="K42" s="13">
        <f>(1+J42)/(1+MAX(J$2:J42))-1</f>
        <v>-4.3284382031954061E-2</v>
      </c>
      <c r="L42" s="20">
        <v>2.1499999999999998E-2</v>
      </c>
      <c r="M42" s="15">
        <f t="shared" si="34"/>
        <v>7.4517424438312885E-2</v>
      </c>
      <c r="N42" s="15">
        <f t="shared" si="7"/>
        <v>8.4798678804733019E-2</v>
      </c>
      <c r="O42" s="13">
        <f>(1+N42)/(1+MAX(N$2:N42))-1</f>
        <v>0</v>
      </c>
      <c r="P42" s="20">
        <v>-4.9399999999999999E-2</v>
      </c>
      <c r="Q42" s="15">
        <f t="shared" si="35"/>
        <v>0.13811107645241338</v>
      </c>
      <c r="R42" s="15">
        <f t="shared" si="9"/>
        <v>0.4442467836982873</v>
      </c>
      <c r="S42" s="13">
        <f>(1+R42)/(1+MAX(R$2:R42))-1</f>
        <v>-4.9399999999999888E-2</v>
      </c>
      <c r="T42" s="20">
        <v>2.1999999999999999E-2</v>
      </c>
      <c r="U42" s="15">
        <f t="shared" si="36"/>
        <v>8.1186796658572202E-2</v>
      </c>
      <c r="V42" s="15">
        <f t="shared" si="11"/>
        <v>8.2562108178041438E-2</v>
      </c>
      <c r="W42" s="13">
        <f>(1+V42)/(1+MAX(V$2:V42))-1</f>
        <v>-5.2000778562710792E-4</v>
      </c>
      <c r="X42" s="20">
        <v>-7.6300000000000007E-2</v>
      </c>
      <c r="Y42" s="15">
        <f t="shared" si="37"/>
        <v>0.11295083277803242</v>
      </c>
      <c r="Z42" s="15">
        <f t="shared" si="13"/>
        <v>0.30245387703749604</v>
      </c>
      <c r="AA42" s="13">
        <f>(1+Z42)/(1+MAX(Z$2:Z42))-1</f>
        <v>-8.0118476440220854E-2</v>
      </c>
      <c r="AB42" s="124"/>
      <c r="AC42" s="20">
        <f t="shared" si="31"/>
        <v>-1.8150000000000015E-3</v>
      </c>
      <c r="AD42" s="15">
        <f t="shared" si="38"/>
        <v>8.7269903388889514E-2</v>
      </c>
      <c r="AE42" s="15">
        <f t="shared" si="15"/>
        <v>0.20125722983529237</v>
      </c>
      <c r="AF42" s="15">
        <f>(1+AE42)/(1+MAX(AE$2:AE42))-1</f>
        <v>-1.815000000000011E-3</v>
      </c>
      <c r="AG42" s="58">
        <f t="shared" si="16"/>
        <v>1201.2572298352923</v>
      </c>
      <c r="AH42" s="137"/>
      <c r="AI42" s="70"/>
      <c r="AJ42" s="70"/>
      <c r="AK42" s="70"/>
      <c r="AL42" s="70"/>
      <c r="AM42" s="70"/>
      <c r="AN42" s="70"/>
      <c r="AO42" s="70"/>
      <c r="AP42" s="81"/>
      <c r="AQ42" s="81"/>
    </row>
    <row r="43" spans="1:43" s="61" customFormat="1" outlineLevel="1" x14ac:dyDescent="0.3">
      <c r="A43" s="61" t="s">
        <v>664</v>
      </c>
      <c r="B43" s="55" t="str">
        <f t="shared" si="0"/>
        <v>2019-6</v>
      </c>
      <c r="C43" s="121">
        <v>43617</v>
      </c>
      <c r="D43" s="20">
        <v>6.0000000000000001E-3</v>
      </c>
      <c r="E43" s="15">
        <f t="shared" si="32"/>
        <v>8.7501010558126202E-2</v>
      </c>
      <c r="F43" s="15">
        <f t="shared" si="3"/>
        <v>0.21830479330663377</v>
      </c>
      <c r="G43" s="13">
        <f>(1+F43)/(1+MAX(F$2:F43))-1</f>
        <v>0</v>
      </c>
      <c r="H43" s="20">
        <v>5.62E-2</v>
      </c>
      <c r="I43" s="15">
        <f t="shared" si="33"/>
        <v>0.10496452090392072</v>
      </c>
      <c r="J43" s="15">
        <f t="shared" si="5"/>
        <v>0.2685990348861953</v>
      </c>
      <c r="K43" s="13">
        <f>(1+J43)/(1+MAX(J$2:J43))-1</f>
        <v>0</v>
      </c>
      <c r="L43" s="20">
        <v>-9.1000000000000004E-3</v>
      </c>
      <c r="M43" s="15">
        <f t="shared" si="34"/>
        <v>6.4739315875924186E-2</v>
      </c>
      <c r="N43" s="15">
        <f t="shared" si="7"/>
        <v>7.4927010827609886E-2</v>
      </c>
      <c r="O43" s="13">
        <f>(1+N43)/(1+MAX(N$2:N43))-1</f>
        <v>-9.100000000000108E-3</v>
      </c>
      <c r="P43" s="20">
        <v>4.24E-2</v>
      </c>
      <c r="Q43" s="15">
        <f t="shared" si="35"/>
        <v>0.1863669860939956</v>
      </c>
      <c r="R43" s="15">
        <f t="shared" si="9"/>
        <v>0.5054828473270947</v>
      </c>
      <c r="S43" s="13">
        <f>(1+R43)/(1+MAX(R$2:R43))-1</f>
        <v>-9.0945599999999738E-3</v>
      </c>
      <c r="T43" s="20">
        <v>-1.34E-2</v>
      </c>
      <c r="U43" s="15">
        <f t="shared" si="36"/>
        <v>6.6698893583347463E-2</v>
      </c>
      <c r="V43" s="15">
        <f t="shared" si="11"/>
        <v>6.8055775928455686E-2</v>
      </c>
      <c r="W43" s="13">
        <f>(1+V43)/(1+MAX(V$2:V43))-1</f>
        <v>-1.3913039681299755E-2</v>
      </c>
      <c r="X43" s="20">
        <v>4.4999999999999998E-2</v>
      </c>
      <c r="Y43" s="15">
        <f t="shared" si="37"/>
        <v>0.1630336202530438</v>
      </c>
      <c r="Z43" s="15">
        <f t="shared" si="13"/>
        <v>0.36106430150418323</v>
      </c>
      <c r="AA43" s="13">
        <f>(1+Z43)/(1+MAX(Z$2:Z43))-1</f>
        <v>-3.8723807880030936E-2</v>
      </c>
      <c r="AB43" s="124"/>
      <c r="AC43" s="20">
        <f t="shared" si="31"/>
        <v>1.5234999999999999E-2</v>
      </c>
      <c r="AD43" s="15">
        <f t="shared" si="38"/>
        <v>0.10383446036701938</v>
      </c>
      <c r="AE43" s="15">
        <f t="shared" si="15"/>
        <v>0.21955838373183312</v>
      </c>
      <c r="AF43" s="15">
        <f>(1+AE43)/(1+MAX(AE$2:AE43))-1</f>
        <v>0</v>
      </c>
      <c r="AG43" s="58">
        <f t="shared" si="16"/>
        <v>1219.5583837318331</v>
      </c>
      <c r="AH43" s="137"/>
      <c r="AI43" s="70"/>
      <c r="AJ43" s="70"/>
      <c r="AK43" s="70"/>
      <c r="AL43" s="70"/>
      <c r="AM43" s="70"/>
      <c r="AN43" s="70"/>
      <c r="AO43" s="70"/>
      <c r="AP43" s="81"/>
      <c r="AQ43" s="81"/>
    </row>
    <row r="44" spans="1:43" s="61" customFormat="1" outlineLevel="1" x14ac:dyDescent="0.3">
      <c r="A44" s="61" t="s">
        <v>664</v>
      </c>
      <c r="B44" s="55" t="str">
        <f t="shared" si="0"/>
        <v>2019-7</v>
      </c>
      <c r="C44" s="121">
        <v>43647</v>
      </c>
      <c r="D44" s="20">
        <v>3.0300000000000001E-2</v>
      </c>
      <c r="E44" s="15">
        <f t="shared" si="32"/>
        <v>0.12045229117803746</v>
      </c>
      <c r="F44" s="15">
        <f t="shared" si="3"/>
        <v>0.25521942854382473</v>
      </c>
      <c r="G44" s="13">
        <f>(1+F44)/(1+MAX(F$2:F44))-1</f>
        <v>0</v>
      </c>
      <c r="H44" s="20">
        <v>2.0799999999999999E-2</v>
      </c>
      <c r="I44" s="15">
        <f t="shared" si="33"/>
        <v>0.12794778293872211</v>
      </c>
      <c r="J44" s="15">
        <f t="shared" si="5"/>
        <v>0.29498589481182802</v>
      </c>
      <c r="K44" s="13">
        <f>(1+J44)/(1+MAX(J$2:J44))-1</f>
        <v>0</v>
      </c>
      <c r="L44" s="20">
        <v>2.12E-2</v>
      </c>
      <c r="M44" s="15">
        <f t="shared" si="34"/>
        <v>8.7311789372493953E-2</v>
      </c>
      <c r="N44" s="15">
        <f t="shared" si="7"/>
        <v>9.7715463457155316E-2</v>
      </c>
      <c r="O44" s="13">
        <f>(1+N44)/(1+MAX(N$2:N44))-1</f>
        <v>0</v>
      </c>
      <c r="P44" s="20">
        <v>2.35E-2</v>
      </c>
      <c r="Q44" s="15">
        <f t="shared" si="35"/>
        <v>0.21424661026720448</v>
      </c>
      <c r="R44" s="15">
        <f t="shared" si="9"/>
        <v>0.54086169423928143</v>
      </c>
      <c r="S44" s="13">
        <f>(1+R44)/(1+MAX(R$2:R44))-1</f>
        <v>0</v>
      </c>
      <c r="T44" s="20">
        <v>2.1600000000000001E-2</v>
      </c>
      <c r="U44" s="15">
        <f t="shared" si="36"/>
        <v>8.9739589684747934E-2</v>
      </c>
      <c r="V44" s="15">
        <f t="shared" si="11"/>
        <v>9.1125780688510405E-2</v>
      </c>
      <c r="W44" s="13">
        <f>(1+V44)/(1+MAX(V$2:V44))-1</f>
        <v>0</v>
      </c>
      <c r="X44" s="20">
        <v>2.7300000000000001E-2</v>
      </c>
      <c r="Y44" s="15">
        <f t="shared" si="37"/>
        <v>0.19478443808595203</v>
      </c>
      <c r="Z44" s="15">
        <f t="shared" si="13"/>
        <v>0.39822135693524752</v>
      </c>
      <c r="AA44" s="13">
        <f>(1+Z44)/(1+MAX(Z$2:Z44))-1</f>
        <v>-1.2480967835155732E-2</v>
      </c>
      <c r="AB44" s="124"/>
      <c r="AC44" s="20">
        <f t="shared" si="31"/>
        <v>2.3540000000000002E-2</v>
      </c>
      <c r="AD44" s="15">
        <f t="shared" si="38"/>
        <v>0.12981872356405888</v>
      </c>
      <c r="AE44" s="15">
        <f t="shared" si="15"/>
        <v>0.24826678808488034</v>
      </c>
      <c r="AF44" s="15">
        <f>(1+AE44)/(1+MAX(AE$2:AE44))-1</f>
        <v>0</v>
      </c>
      <c r="AG44" s="58">
        <f t="shared" si="16"/>
        <v>1248.2667880848803</v>
      </c>
      <c r="AH44" s="137"/>
      <c r="AI44" s="70"/>
      <c r="AJ44" s="70"/>
      <c r="AK44" s="70"/>
      <c r="AL44" s="70"/>
      <c r="AM44" s="70"/>
      <c r="AN44" s="70"/>
      <c r="AO44" s="70"/>
      <c r="AP44" s="81"/>
      <c r="AQ44" s="81"/>
    </row>
    <row r="45" spans="1:43" s="61" customFormat="1" outlineLevel="1" x14ac:dyDescent="0.3">
      <c r="A45" s="61" t="s">
        <v>664</v>
      </c>
      <c r="B45" s="55" t="str">
        <f t="shared" si="0"/>
        <v>2019-8</v>
      </c>
      <c r="C45" s="121">
        <v>43678</v>
      </c>
      <c r="D45" s="20">
        <v>3.3E-3</v>
      </c>
      <c r="E45" s="15">
        <f t="shared" si="32"/>
        <v>0.12414978373892516</v>
      </c>
      <c r="F45" s="15">
        <f t="shared" si="3"/>
        <v>0.25936165265801936</v>
      </c>
      <c r="G45" s="13">
        <f>(1+F45)/(1+MAX(F$2:F45))-1</f>
        <v>0</v>
      </c>
      <c r="H45" s="20">
        <v>8.6300000000000002E-2</v>
      </c>
      <c r="I45" s="15">
        <f t="shared" si="33"/>
        <v>0.22528967660633392</v>
      </c>
      <c r="J45" s="15">
        <f t="shared" si="5"/>
        <v>0.40674317753408884</v>
      </c>
      <c r="K45" s="13">
        <f>(1+J45)/(1+MAX(J$2:J45))-1</f>
        <v>0</v>
      </c>
      <c r="L45" s="20">
        <v>3.5000000000000003E-2</v>
      </c>
      <c r="M45" s="15">
        <f t="shared" si="34"/>
        <v>0.12536770200053104</v>
      </c>
      <c r="N45" s="15">
        <f t="shared" si="7"/>
        <v>0.13613550467815561</v>
      </c>
      <c r="O45" s="13">
        <f>(1+N45)/(1+MAX(N$2:N45))-1</f>
        <v>0</v>
      </c>
      <c r="P45" s="20">
        <v>-1.37E-2</v>
      </c>
      <c r="Q45" s="15">
        <f t="shared" si="35"/>
        <v>0.19761143170654383</v>
      </c>
      <c r="R45" s="15">
        <f t="shared" si="9"/>
        <v>0.51975188902820313</v>
      </c>
      <c r="S45" s="13">
        <f>(1+R45)/(1+MAX(R$2:R45))-1</f>
        <v>-1.3700000000000045E-2</v>
      </c>
      <c r="T45" s="20">
        <v>3.1600000000000003E-2</v>
      </c>
      <c r="U45" s="15">
        <f t="shared" si="36"/>
        <v>0.1241753607187861</v>
      </c>
      <c r="V45" s="15">
        <f t="shared" si="11"/>
        <v>0.12560535535826745</v>
      </c>
      <c r="W45" s="13">
        <f>(1+V45)/(1+MAX(V$2:V45))-1</f>
        <v>0</v>
      </c>
      <c r="X45" s="20">
        <v>-4.6100000000000002E-2</v>
      </c>
      <c r="Y45" s="15">
        <f t="shared" si="37"/>
        <v>0.13970487549018951</v>
      </c>
      <c r="Z45" s="15">
        <f t="shared" si="13"/>
        <v>0.33376335238053256</v>
      </c>
      <c r="AA45" s="13">
        <f>(1+Z45)/(1+MAX(Z$2:Z45))-1</f>
        <v>-5.8005595217955008E-2</v>
      </c>
      <c r="AB45" s="124"/>
      <c r="AC45" s="20">
        <f t="shared" si="31"/>
        <v>2.1845E-2</v>
      </c>
      <c r="AD45" s="15">
        <f t="shared" si="38"/>
        <v>0.15449961358031561</v>
      </c>
      <c r="AE45" s="15">
        <f t="shared" si="15"/>
        <v>0.27553517607059441</v>
      </c>
      <c r="AF45" s="15">
        <f>(1+AE45)/(1+MAX(AE$2:AE45))-1</f>
        <v>0</v>
      </c>
      <c r="AG45" s="58">
        <f t="shared" si="16"/>
        <v>1275.5351760705944</v>
      </c>
      <c r="AH45" s="137"/>
      <c r="AI45" s="70"/>
      <c r="AJ45" s="70"/>
      <c r="AK45" s="70"/>
      <c r="AL45" s="70"/>
      <c r="AM45" s="70"/>
      <c r="AN45" s="70"/>
      <c r="AO45" s="70"/>
      <c r="AP45" s="81"/>
      <c r="AQ45" s="81"/>
    </row>
    <row r="46" spans="1:43" s="61" customFormat="1" outlineLevel="1" x14ac:dyDescent="0.3">
      <c r="A46" s="61" t="s">
        <v>664</v>
      </c>
      <c r="B46" s="55" t="str">
        <f t="shared" si="0"/>
        <v>2019-9</v>
      </c>
      <c r="C46" s="121">
        <v>43709</v>
      </c>
      <c r="D46" s="20">
        <v>1.6400000000000001E-2</v>
      </c>
      <c r="E46" s="15">
        <f t="shared" si="32"/>
        <v>0.14258584019224352</v>
      </c>
      <c r="F46" s="15">
        <f t="shared" si="3"/>
        <v>0.28001518376161094</v>
      </c>
      <c r="G46" s="13">
        <f>(1+F46)/(1+MAX(F$2:F46))-1</f>
        <v>0</v>
      </c>
      <c r="H46" s="20">
        <v>-2.1000000000000001E-2</v>
      </c>
      <c r="I46" s="15">
        <f t="shared" si="33"/>
        <v>0.19955859339760096</v>
      </c>
      <c r="J46" s="15">
        <f t="shared" si="5"/>
        <v>0.37720157080587291</v>
      </c>
      <c r="K46" s="13">
        <f>(1+J46)/(1+MAX(J$2:J46))-1</f>
        <v>-2.1000000000000019E-2</v>
      </c>
      <c r="L46" s="20">
        <v>4.4999999999999997E-3</v>
      </c>
      <c r="M46" s="15">
        <f t="shared" si="34"/>
        <v>0.13043185665953327</v>
      </c>
      <c r="N46" s="15">
        <f t="shared" si="7"/>
        <v>0.14124811444920726</v>
      </c>
      <c r="O46" s="13">
        <f>(1+N46)/(1+MAX(N$2:N46))-1</f>
        <v>0</v>
      </c>
      <c r="P46" s="20">
        <v>2.29E-2</v>
      </c>
      <c r="Q46" s="15">
        <f t="shared" si="35"/>
        <v>0.22503673349262354</v>
      </c>
      <c r="R46" s="15">
        <f t="shared" si="9"/>
        <v>0.55455420728694893</v>
      </c>
      <c r="S46" s="13">
        <f>(1+R46)/(1+MAX(R$2:R46))-1</f>
        <v>0</v>
      </c>
      <c r="T46" s="20">
        <v>1E-4</v>
      </c>
      <c r="U46" s="15">
        <f t="shared" si="36"/>
        <v>0.12428777825485793</v>
      </c>
      <c r="V46" s="15">
        <f t="shared" si="11"/>
        <v>0.12571791589380332</v>
      </c>
      <c r="W46" s="13">
        <f>(1+V46)/(1+MAX(V$2:V46))-1</f>
        <v>0</v>
      </c>
      <c r="X46" s="20">
        <v>5.0799999999999998E-2</v>
      </c>
      <c r="Y46" s="15">
        <f t="shared" si="37"/>
        <v>0.19760188316509097</v>
      </c>
      <c r="Z46" s="15">
        <f t="shared" si="13"/>
        <v>0.40151853068146348</v>
      </c>
      <c r="AA46" s="13">
        <f>(1+Z46)/(1+MAX(Z$2:Z46))-1</f>
        <v>-1.015227945502728E-2</v>
      </c>
      <c r="AB46" s="124"/>
      <c r="AC46" s="20">
        <f t="shared" si="31"/>
        <v>8.9700000000000005E-3</v>
      </c>
      <c r="AD46" s="15">
        <f t="shared" si="38"/>
        <v>0.1648554751141309</v>
      </c>
      <c r="AE46" s="15">
        <f t="shared" si="15"/>
        <v>0.28697672659994744</v>
      </c>
      <c r="AF46" s="15">
        <f>(1+AE46)/(1+MAX(AE$2:AE46))-1</f>
        <v>0</v>
      </c>
      <c r="AG46" s="58">
        <f t="shared" si="16"/>
        <v>1286.9767265999476</v>
      </c>
      <c r="AH46" s="137"/>
      <c r="AI46" s="70"/>
      <c r="AJ46" s="70"/>
      <c r="AK46" s="70"/>
      <c r="AL46" s="70"/>
      <c r="AM46" s="70"/>
      <c r="AN46" s="70"/>
      <c r="AO46" s="70"/>
      <c r="AP46" s="81"/>
      <c r="AQ46" s="81"/>
    </row>
    <row r="47" spans="1:43" s="61" customFormat="1" outlineLevel="1" x14ac:dyDescent="0.3">
      <c r="A47" s="61" t="s">
        <v>664</v>
      </c>
      <c r="B47" s="55" t="str">
        <f t="shared" si="0"/>
        <v>2019-10</v>
      </c>
      <c r="C47" s="121">
        <v>43739</v>
      </c>
      <c r="D47" s="20">
        <v>-7.4999999999999997E-3</v>
      </c>
      <c r="E47" s="15">
        <f t="shared" si="32"/>
        <v>0.13401644639080179</v>
      </c>
      <c r="F47" s="15">
        <f t="shared" si="3"/>
        <v>0.27041506988339892</v>
      </c>
      <c r="G47" s="13">
        <f>(1+F47)/(1+MAX(F$2:F47))-1</f>
        <v>-7.4999999999999512E-3</v>
      </c>
      <c r="H47" s="20">
        <v>6.1000000000000004E-3</v>
      </c>
      <c r="I47" s="15">
        <f t="shared" si="33"/>
        <v>0.20687590081732621</v>
      </c>
      <c r="J47" s="15">
        <f t="shared" si="5"/>
        <v>0.38560250038778876</v>
      </c>
      <c r="K47" s="13">
        <f>(1+J47)/(1+MAX(J$2:J47))-1</f>
        <v>-1.5028099999999989E-2</v>
      </c>
      <c r="L47" s="20">
        <v>-1.72E-2</v>
      </c>
      <c r="M47" s="15">
        <f t="shared" si="34"/>
        <v>0.11098842872498937</v>
      </c>
      <c r="N47" s="15">
        <f t="shared" si="7"/>
        <v>0.1216186468806808</v>
      </c>
      <c r="O47" s="13">
        <f>(1+N47)/(1+MAX(N$2:N47))-1</f>
        <v>-1.7200000000000104E-2</v>
      </c>
      <c r="P47" s="20">
        <v>6.8999999999999999E-3</v>
      </c>
      <c r="Q47" s="15">
        <f t="shared" si="35"/>
        <v>0.23348948695372251</v>
      </c>
      <c r="R47" s="15">
        <f t="shared" si="9"/>
        <v>0.56528063131722872</v>
      </c>
      <c r="S47" s="13">
        <f>(1+R47)/(1+MAX(R$2:R47))-1</f>
        <v>0</v>
      </c>
      <c r="T47" s="20">
        <v>-2.0500000000000001E-2</v>
      </c>
      <c r="U47" s="15">
        <f t="shared" si="36"/>
        <v>0.10123987880063345</v>
      </c>
      <c r="V47" s="15">
        <f t="shared" si="11"/>
        <v>0.10264069861798042</v>
      </c>
      <c r="W47" s="13">
        <f>(1+V47)/(1+MAX(V$2:V47))-1</f>
        <v>-2.0499999999999963E-2</v>
      </c>
      <c r="X47" s="20">
        <v>-2.3E-3</v>
      </c>
      <c r="Y47" s="15">
        <f t="shared" si="37"/>
        <v>0.1948473988338113</v>
      </c>
      <c r="Z47" s="15">
        <f t="shared" si="13"/>
        <v>0.39829503806089606</v>
      </c>
      <c r="AA47" s="13">
        <f>(1+Z47)/(1+MAX(Z$2:Z47))-1</f>
        <v>-1.2428929212280782E-2</v>
      </c>
      <c r="AB47" s="124"/>
      <c r="AC47" s="20">
        <f t="shared" si="31"/>
        <v>-7.8050000000000003E-3</v>
      </c>
      <c r="AD47" s="15">
        <f t="shared" si="38"/>
        <v>0.15576377813086517</v>
      </c>
      <c r="AE47" s="15">
        <f t="shared" si="15"/>
        <v>0.27693187324883484</v>
      </c>
      <c r="AF47" s="15">
        <f>(1+AE47)/(1+MAX(AE$2:AE47))-1</f>
        <v>-7.8050000000000619E-3</v>
      </c>
      <c r="AG47" s="58">
        <f t="shared" si="16"/>
        <v>1276.931873248835</v>
      </c>
      <c r="AH47" s="137"/>
      <c r="AI47" s="70"/>
      <c r="AJ47" s="70"/>
      <c r="AK47" s="70"/>
      <c r="AL47" s="70"/>
      <c r="AM47" s="70"/>
      <c r="AN47" s="70"/>
      <c r="AO47" s="70"/>
      <c r="AP47" s="81"/>
      <c r="AQ47" s="81"/>
    </row>
    <row r="48" spans="1:43" s="61" customFormat="1" outlineLevel="1" x14ac:dyDescent="0.3">
      <c r="A48" s="61" t="s">
        <v>664</v>
      </c>
      <c r="B48" s="55" t="str">
        <f t="shared" si="0"/>
        <v>2019-11</v>
      </c>
      <c r="C48" s="121">
        <v>43770</v>
      </c>
      <c r="D48" s="20">
        <v>1.21E-2</v>
      </c>
      <c r="E48" s="15">
        <f t="shared" si="32"/>
        <v>0.14773804539213042</v>
      </c>
      <c r="F48" s="15">
        <f t="shared" si="3"/>
        <v>0.28578709222898802</v>
      </c>
      <c r="G48" s="13">
        <f>(1+F48)/(1+MAX(F$2:F48))-1</f>
        <v>0</v>
      </c>
      <c r="H48" s="20">
        <v>-2.07E-2</v>
      </c>
      <c r="I48" s="15">
        <f t="shared" si="33"/>
        <v>0.1818935696704076</v>
      </c>
      <c r="J48" s="15">
        <f t="shared" si="5"/>
        <v>0.35692052862976142</v>
      </c>
      <c r="K48" s="13">
        <f>(1+J48)/(1+MAX(J$2:J48))-1</f>
        <v>-3.5417018330000105E-2</v>
      </c>
      <c r="L48" s="20">
        <v>9.9000000000000008E-3</v>
      </c>
      <c r="M48" s="15">
        <f t="shared" si="34"/>
        <v>0.12198721416936675</v>
      </c>
      <c r="N48" s="15">
        <f t="shared" si="7"/>
        <v>0.13272267148479955</v>
      </c>
      <c r="O48" s="13">
        <f>(1+N48)/(1+MAX(N$2:N48))-1</f>
        <v>-7.4702800000000513E-3</v>
      </c>
      <c r="P48" s="20">
        <v>4.6300000000000001E-2</v>
      </c>
      <c r="Q48" s="15">
        <f t="shared" si="35"/>
        <v>0.29060005019967994</v>
      </c>
      <c r="R48" s="15">
        <f t="shared" si="9"/>
        <v>0.63775312454721633</v>
      </c>
      <c r="S48" s="13">
        <f>(1+R48)/(1+MAX(R$2:R48))-1</f>
        <v>0</v>
      </c>
      <c r="T48" s="20">
        <v>1.5299999999999999E-2</v>
      </c>
      <c r="U48" s="15">
        <f t="shared" si="36"/>
        <v>0.11808884894628324</v>
      </c>
      <c r="V48" s="15">
        <f t="shared" si="11"/>
        <v>0.11951110130683551</v>
      </c>
      <c r="W48" s="13">
        <f>(1+V48)/(1+MAX(V$2:V48))-1</f>
        <v>-5.5136499999999256E-3</v>
      </c>
      <c r="X48" s="20">
        <v>3.85E-2</v>
      </c>
      <c r="Y48" s="15">
        <f t="shared" si="37"/>
        <v>0.24084902368891292</v>
      </c>
      <c r="Z48" s="15">
        <f t="shared" si="13"/>
        <v>0.45212939702624055</v>
      </c>
      <c r="AA48" s="13">
        <f>(1+Z48)/(1+MAX(Z$2:Z48))-1</f>
        <v>0</v>
      </c>
      <c r="AB48" s="124"/>
      <c r="AC48" s="20">
        <f t="shared" si="31"/>
        <v>1.5040000000000001E-2</v>
      </c>
      <c r="AD48" s="15">
        <f t="shared" si="38"/>
        <v>0.17314646535395339</v>
      </c>
      <c r="AE48" s="15">
        <f t="shared" si="15"/>
        <v>0.2961369286224973</v>
      </c>
      <c r="AF48" s="15">
        <f>(1+AE48)/(1+MAX(AE$2:AE48))-1</f>
        <v>0</v>
      </c>
      <c r="AG48" s="58">
        <f t="shared" si="16"/>
        <v>1296.1369286224974</v>
      </c>
      <c r="AH48" s="137"/>
      <c r="AI48" s="70"/>
      <c r="AJ48" s="70"/>
      <c r="AK48" s="70"/>
      <c r="AL48" s="70"/>
      <c r="AM48" s="70"/>
      <c r="AN48" s="70"/>
      <c r="AO48" s="70"/>
      <c r="AP48" s="81"/>
      <c r="AQ48" s="81"/>
    </row>
    <row r="49" spans="1:43" s="27" customFormat="1" ht="15" thickBot="1" x14ac:dyDescent="0.35">
      <c r="A49" s="27" t="s">
        <v>664</v>
      </c>
      <c r="B49" s="63" t="str">
        <f t="shared" si="0"/>
        <v>2019-12</v>
      </c>
      <c r="C49" s="122">
        <v>43800</v>
      </c>
      <c r="D49" s="32">
        <v>-1.2999999999999999E-3</v>
      </c>
      <c r="E49" s="25">
        <f t="shared" si="32"/>
        <v>0.14624598593312066</v>
      </c>
      <c r="F49" s="25">
        <f t="shared" si="3"/>
        <v>0.28411556900909041</v>
      </c>
      <c r="G49" s="26">
        <f>(1+F49)/(1+MAX(F$2:F49))-1</f>
        <v>-1.2999999999999678E-3</v>
      </c>
      <c r="H49" s="32">
        <v>1.9599999999999999E-2</v>
      </c>
      <c r="I49" s="25">
        <f t="shared" si="33"/>
        <v>0.20505868363594759</v>
      </c>
      <c r="J49" s="25">
        <f t="shared" si="5"/>
        <v>0.38351617099090474</v>
      </c>
      <c r="K49" s="26">
        <f>(1+J49)/(1+MAX(J$2:J49))-1</f>
        <v>-1.6511191889268084E-2</v>
      </c>
      <c r="L49" s="32">
        <v>5.5999999999999999E-3</v>
      </c>
      <c r="M49" s="25">
        <f t="shared" si="34"/>
        <v>0.12827034256871528</v>
      </c>
      <c r="N49" s="25">
        <f t="shared" si="7"/>
        <v>0.1390659184451144</v>
      </c>
      <c r="O49" s="26">
        <f>(1+N49)/(1+MAX(N$2:N49))-1</f>
        <v>-1.91211356800014E-3</v>
      </c>
      <c r="P49" s="32">
        <v>5.9900000000000002E-2</v>
      </c>
      <c r="Q49" s="25">
        <f t="shared" si="35"/>
        <v>0.36790699320664078</v>
      </c>
      <c r="R49" s="25">
        <f t="shared" si="9"/>
        <v>0.7358545367075946</v>
      </c>
      <c r="S49" s="26">
        <f>(1+R49)/(1+MAX(R$2:R49))-1</f>
        <v>0</v>
      </c>
      <c r="T49" s="32">
        <v>-1.32E-2</v>
      </c>
      <c r="U49" s="25">
        <f t="shared" si="36"/>
        <v>0.1033300761401923</v>
      </c>
      <c r="V49" s="25">
        <f t="shared" si="11"/>
        <v>0.10473355476958535</v>
      </c>
      <c r="W49" s="26">
        <f>(1+V49)/(1+MAX(V$2:V49))-1</f>
        <v>-1.8640869819999906E-2</v>
      </c>
      <c r="X49" s="32">
        <v>1.03E-2</v>
      </c>
      <c r="Y49" s="25">
        <f t="shared" si="37"/>
        <v>0.25362976863290876</v>
      </c>
      <c r="Z49" s="25">
        <f t="shared" si="13"/>
        <v>0.46708632981561071</v>
      </c>
      <c r="AA49" s="26">
        <f>(1+Z49)/(1+MAX(Z$2:Z49))-1</f>
        <v>0</v>
      </c>
      <c r="AB49" s="125"/>
      <c r="AC49" s="32">
        <f t="shared" si="31"/>
        <v>1.1519999999999999E-2</v>
      </c>
      <c r="AD49" s="25">
        <f t="shared" si="38"/>
        <v>0.18666111263483098</v>
      </c>
      <c r="AE49" s="25">
        <f t="shared" si="15"/>
        <v>0.31106842604022833</v>
      </c>
      <c r="AF49" s="25">
        <f>(1+AE49)/(1+MAX(AE$2:AE49))-1</f>
        <v>0</v>
      </c>
      <c r="AG49" s="66">
        <f t="shared" si="16"/>
        <v>1311.0684260402286</v>
      </c>
      <c r="AH49" s="138"/>
      <c r="AI49" s="139"/>
      <c r="AJ49" s="139"/>
      <c r="AK49" s="139"/>
      <c r="AL49" s="139"/>
      <c r="AM49" s="139"/>
      <c r="AN49" s="139"/>
      <c r="AO49" s="139"/>
      <c r="AP49" s="78"/>
      <c r="AQ49" s="78"/>
    </row>
    <row r="50" spans="1:43" s="54" customFormat="1" outlineLevel="1" x14ac:dyDescent="0.3">
      <c r="A50" s="54" t="s">
        <v>664</v>
      </c>
      <c r="B50" s="48" t="str">
        <f t="shared" si="0"/>
        <v>2020-1</v>
      </c>
      <c r="C50" s="120">
        <v>43831</v>
      </c>
      <c r="D50" s="10">
        <v>2.6700000000000002E-2</v>
      </c>
      <c r="E50" s="5">
        <f>+D50</f>
        <v>2.6700000000000002E-2</v>
      </c>
      <c r="F50" s="5">
        <f t="shared" si="3"/>
        <v>0.31840145470163295</v>
      </c>
      <c r="G50" s="3">
        <f>(1+F50)/(1+MAX(F$2:F50))-1</f>
        <v>0</v>
      </c>
      <c r="H50" s="10">
        <v>6.2600000000000003E-2</v>
      </c>
      <c r="I50" s="5">
        <f>+H50</f>
        <v>6.2600000000000003E-2</v>
      </c>
      <c r="J50" s="5">
        <f t="shared" si="5"/>
        <v>0.47012428329493527</v>
      </c>
      <c r="K50" s="3">
        <f>(1+J50)/(1+MAX(J$2:J50))-1</f>
        <v>0</v>
      </c>
      <c r="L50" s="10">
        <v>2.1899999999999999E-2</v>
      </c>
      <c r="M50" s="5">
        <f>+L50</f>
        <v>2.1899999999999999E-2</v>
      </c>
      <c r="N50" s="5">
        <f t="shared" si="7"/>
        <v>0.16401146205906247</v>
      </c>
      <c r="O50" s="3">
        <f>(1+N50)/(1+MAX(N$2:N50))-1</f>
        <v>0</v>
      </c>
      <c r="P50" s="10">
        <v>-1.1999999999999999E-3</v>
      </c>
      <c r="Q50" s="5">
        <f>+P50</f>
        <v>-1.1999999999999999E-3</v>
      </c>
      <c r="R50" s="5">
        <f t="shared" si="9"/>
        <v>0.73377151126354545</v>
      </c>
      <c r="S50" s="3">
        <f>(1+R50)/(1+MAX(R$2:R50))-1</f>
        <v>-1.1999999999999789E-3</v>
      </c>
      <c r="T50" s="10">
        <v>3.73E-2</v>
      </c>
      <c r="U50" s="5">
        <f>+T50</f>
        <v>3.73E-2</v>
      </c>
      <c r="V50" s="5">
        <f t="shared" si="11"/>
        <v>0.14594011636249093</v>
      </c>
      <c r="W50" s="3">
        <f>(1+V50)/(1+MAX(V$2:V50))-1</f>
        <v>0</v>
      </c>
      <c r="X50" s="10">
        <v>-1.8800000000000001E-2</v>
      </c>
      <c r="Y50" s="5">
        <f>+X50</f>
        <v>-1.8800000000000001E-2</v>
      </c>
      <c r="Z50" s="5">
        <f t="shared" si="13"/>
        <v>0.43950510681507726</v>
      </c>
      <c r="AA50" s="3">
        <f>(1+Z50)/(1+MAX(Z$2:Z50))-1</f>
        <v>-1.8799999999999928E-2</v>
      </c>
      <c r="AB50" s="124"/>
      <c r="AC50" s="10">
        <f t="shared" si="31"/>
        <v>2.4270000000000003E-2</v>
      </c>
      <c r="AD50" s="5">
        <f>+AC50</f>
        <v>2.4270000000000003E-2</v>
      </c>
      <c r="AE50" s="5">
        <f t="shared" si="15"/>
        <v>0.3428880567402246</v>
      </c>
      <c r="AF50" s="5">
        <f>(1+AE50)/(1+MAX(AE$2:AE50))-1</f>
        <v>0</v>
      </c>
      <c r="AG50" s="51">
        <f t="shared" si="16"/>
        <v>1342.888056740225</v>
      </c>
      <c r="AH50" s="137"/>
      <c r="AI50" s="70"/>
      <c r="AJ50" s="70"/>
      <c r="AK50" s="70"/>
      <c r="AL50" s="70"/>
      <c r="AM50" s="70"/>
      <c r="AN50" s="70"/>
      <c r="AO50" s="70"/>
      <c r="AP50" s="81"/>
      <c r="AQ50" s="81"/>
    </row>
    <row r="51" spans="1:43" s="61" customFormat="1" outlineLevel="1" x14ac:dyDescent="0.3">
      <c r="A51" s="61" t="s">
        <v>664</v>
      </c>
      <c r="B51" s="55" t="str">
        <f t="shared" si="0"/>
        <v>2020-2</v>
      </c>
      <c r="C51" s="121">
        <v>43862</v>
      </c>
      <c r="D51" s="20">
        <v>-5.1000000000000004E-3</v>
      </c>
      <c r="E51" s="15">
        <f t="shared" ref="E51:E61" si="39">+(1+D51)*(1+E50)-1</f>
        <v>2.1463829999999851E-2</v>
      </c>
      <c r="F51" s="15">
        <f t="shared" si="3"/>
        <v>0.31167760728265459</v>
      </c>
      <c r="G51" s="13">
        <f>(1+F51)/(1+MAX(F$2:F51))-1</f>
        <v>-5.0999999999999934E-3</v>
      </c>
      <c r="H51" s="20">
        <v>-3.7000000000000002E-3</v>
      </c>
      <c r="I51" s="15">
        <f t="shared" ref="I51:I61" si="40">+(1+H51)*(1+I50)-1</f>
        <v>5.8668379999999853E-2</v>
      </c>
      <c r="J51" s="15">
        <f t="shared" si="5"/>
        <v>0.464684823446744</v>
      </c>
      <c r="K51" s="13">
        <f>(1+J51)/(1+MAX(J$2:J51))-1</f>
        <v>-3.7000000000000366E-3</v>
      </c>
      <c r="L51" s="20">
        <v>7.1999999999999998E-3</v>
      </c>
      <c r="M51" s="15">
        <f t="shared" ref="M51:M61" si="41">+(1+L51)*(1+M50)-1</f>
        <v>2.9257680000000175E-2</v>
      </c>
      <c r="N51" s="15">
        <f t="shared" si="7"/>
        <v>0.17239234458588792</v>
      </c>
      <c r="O51" s="13">
        <f>(1+N51)/(1+MAX(N$2:N51))-1</f>
        <v>0</v>
      </c>
      <c r="P51" s="20">
        <v>-6.1899999999999997E-2</v>
      </c>
      <c r="Q51" s="15">
        <f t="shared" ref="Q51:Q61" si="42">+(1+P51)*(1+Q50)-1</f>
        <v>-6.3025719999999952E-2</v>
      </c>
      <c r="R51" s="15">
        <f t="shared" si="9"/>
        <v>0.626451054716332</v>
      </c>
      <c r="S51" s="13">
        <f>(1+R51)/(1+MAX(R$2:R51))-1</f>
        <v>-6.3025720000000063E-2</v>
      </c>
      <c r="T51" s="20">
        <v>1.26E-2</v>
      </c>
      <c r="U51" s="15">
        <f t="shared" ref="U51:U61" si="43">+(1+T51)*(1+U50)-1</f>
        <v>5.0369980000000147E-2</v>
      </c>
      <c r="V51" s="15">
        <f t="shared" si="11"/>
        <v>0.16037896182865818</v>
      </c>
      <c r="W51" s="13">
        <f>(1+V51)/(1+MAX(V$2:V51))-1</f>
        <v>0</v>
      </c>
      <c r="X51" s="20">
        <v>-9.9299999999999999E-2</v>
      </c>
      <c r="Y51" s="15">
        <f t="shared" ref="Y51:Y61" si="44">+(1+X51)*(1+Y50)-1</f>
        <v>-0.11623315999999995</v>
      </c>
      <c r="Z51" s="15">
        <f t="shared" si="13"/>
        <v>0.29656224970834022</v>
      </c>
      <c r="AA51" s="13">
        <f>(1+Z51)/(1+MAX(Z$2:Z51))-1</f>
        <v>-0.11623315999999995</v>
      </c>
      <c r="AB51" s="124"/>
      <c r="AC51" s="20">
        <f t="shared" si="31"/>
        <v>-1.6215E-2</v>
      </c>
      <c r="AD51" s="15">
        <f t="shared" ref="AD51:AD61" si="45">+(1+AC51)*(1+AD50)-1</f>
        <v>7.6614619499999481E-3</v>
      </c>
      <c r="AE51" s="15">
        <f t="shared" si="15"/>
        <v>0.3211131269001819</v>
      </c>
      <c r="AF51" s="15">
        <f>(1+AE51)/(1+MAX(AE$2:AE51))-1</f>
        <v>-1.6214999999999979E-2</v>
      </c>
      <c r="AG51" s="58">
        <f t="shared" si="16"/>
        <v>1321.1131269001824</v>
      </c>
      <c r="AH51" s="137"/>
      <c r="AI51" s="70"/>
      <c r="AJ51" s="70"/>
      <c r="AK51" s="70"/>
      <c r="AL51" s="70"/>
      <c r="AM51" s="70"/>
      <c r="AN51" s="70"/>
      <c r="AO51" s="70"/>
      <c r="AP51" s="81"/>
      <c r="AQ51" s="81"/>
    </row>
    <row r="52" spans="1:43" s="61" customFormat="1" outlineLevel="1" x14ac:dyDescent="0.3">
      <c r="A52" s="61" t="s">
        <v>664</v>
      </c>
      <c r="B52" s="55" t="str">
        <f t="shared" si="0"/>
        <v>2020-3</v>
      </c>
      <c r="C52" s="121">
        <v>43891</v>
      </c>
      <c r="D52" s="20">
        <v>-8.1799999999999998E-2</v>
      </c>
      <c r="E52" s="15">
        <f t="shared" si="39"/>
        <v>-6.2091911294000157E-2</v>
      </c>
      <c r="F52" s="15">
        <f t="shared" si="3"/>
        <v>0.20438237900693346</v>
      </c>
      <c r="G52" s="13">
        <f>(1+F52)/(1+MAX(F$2:F52))-1</f>
        <v>-8.648281999999996E-2</v>
      </c>
      <c r="H52" s="20">
        <v>-3.0000000000000001E-3</v>
      </c>
      <c r="I52" s="15">
        <f t="shared" si="40"/>
        <v>5.5492374859999805E-2</v>
      </c>
      <c r="J52" s="15">
        <f t="shared" si="5"/>
        <v>0.46029076897640375</v>
      </c>
      <c r="K52" s="13">
        <f>(1+J52)/(1+MAX(J$2:J52))-1</f>
        <v>-6.6888999999999976E-3</v>
      </c>
      <c r="L52" s="20">
        <v>-5.3900000000000003E-2</v>
      </c>
      <c r="M52" s="15">
        <f t="shared" si="41"/>
        <v>-2.6219308951999865E-2</v>
      </c>
      <c r="N52" s="15">
        <f t="shared" si="7"/>
        <v>0.10920039721270847</v>
      </c>
      <c r="O52" s="13">
        <f>(1+N52)/(1+MAX(N$2:N52))-1</f>
        <v>-5.3900000000000059E-2</v>
      </c>
      <c r="P52" s="20">
        <v>-0.1479</v>
      </c>
      <c r="Q52" s="15">
        <f t="shared" si="42"/>
        <v>-0.20160421601199996</v>
      </c>
      <c r="R52" s="15">
        <f t="shared" si="9"/>
        <v>0.38589894372378652</v>
      </c>
      <c r="S52" s="13">
        <f>(1+R52)/(1+MAX(R$2:R52))-1</f>
        <v>-0.20160421601199996</v>
      </c>
      <c r="T52" s="20">
        <v>-1.61E-2</v>
      </c>
      <c r="U52" s="15">
        <f t="shared" si="43"/>
        <v>3.3459023322000236E-2</v>
      </c>
      <c r="V52" s="15">
        <f t="shared" si="11"/>
        <v>0.14169686054321673</v>
      </c>
      <c r="W52" s="13">
        <f>(1+V52)/(1+MAX(V$2:V52))-1</f>
        <v>-1.6100000000000003E-2</v>
      </c>
      <c r="X52" s="20">
        <v>-0.25180000000000002</v>
      </c>
      <c r="Y52" s="15">
        <f t="shared" si="44"/>
        <v>-0.33876565031200001</v>
      </c>
      <c r="Z52" s="15">
        <f t="shared" si="13"/>
        <v>-2.9912124768219917E-2</v>
      </c>
      <c r="AA52" s="13">
        <f>(1+Z52)/(1+MAX(Z$2:Z52))-1</f>
        <v>-0.33876565031200001</v>
      </c>
      <c r="AB52" s="124"/>
      <c r="AC52" s="20">
        <f t="shared" si="31"/>
        <v>-7.6780000000000015E-2</v>
      </c>
      <c r="AD52" s="15">
        <f t="shared" si="45"/>
        <v>-6.9706785098521129E-2</v>
      </c>
      <c r="AE52" s="15">
        <f t="shared" si="15"/>
        <v>0.21967806101678589</v>
      </c>
      <c r="AF52" s="15">
        <f>(1+AE52)/(1+MAX(AE$2:AE52))-1</f>
        <v>-9.1750012300000017E-2</v>
      </c>
      <c r="AG52" s="58">
        <f t="shared" si="16"/>
        <v>1219.6780610167862</v>
      </c>
      <c r="AH52" s="137"/>
      <c r="AI52" s="70"/>
      <c r="AJ52" s="70"/>
      <c r="AK52" s="70"/>
      <c r="AL52" s="70"/>
      <c r="AM52" s="70"/>
      <c r="AN52" s="70"/>
      <c r="AO52" s="70"/>
      <c r="AP52" s="81"/>
      <c r="AQ52" s="81"/>
    </row>
    <row r="53" spans="1:43" s="61" customFormat="1" outlineLevel="1" x14ac:dyDescent="0.3">
      <c r="A53" s="61" t="s">
        <v>664</v>
      </c>
      <c r="B53" s="55" t="str">
        <f t="shared" si="0"/>
        <v>2020-4</v>
      </c>
      <c r="C53" s="121">
        <v>43922</v>
      </c>
      <c r="D53" s="20">
        <v>7.1499999999999994E-2</v>
      </c>
      <c r="E53" s="15">
        <f t="shared" si="39"/>
        <v>4.9685170484787822E-3</v>
      </c>
      <c r="F53" s="15">
        <f t="shared" si="3"/>
        <v>0.29049571910592897</v>
      </c>
      <c r="G53" s="13">
        <f>(1+F53)/(1+MAX(F$2:F53))-1</f>
        <v>-2.1166341630000196E-2</v>
      </c>
      <c r="H53" s="20">
        <v>8.4099999999999994E-2</v>
      </c>
      <c r="I53" s="15">
        <f t="shared" si="40"/>
        <v>0.14425928358572593</v>
      </c>
      <c r="J53" s="15">
        <f t="shared" si="5"/>
        <v>0.58310122264731934</v>
      </c>
      <c r="K53" s="13">
        <f>(1+J53)/(1+MAX(J$2:J53))-1</f>
        <v>0</v>
      </c>
      <c r="L53" s="20">
        <v>4.0599999999999997E-2</v>
      </c>
      <c r="M53" s="15">
        <f t="shared" si="41"/>
        <v>1.3316187104548849E-2</v>
      </c>
      <c r="N53" s="15">
        <f t="shared" si="7"/>
        <v>0.15423393333954438</v>
      </c>
      <c r="O53" s="13">
        <f>(1+N53)/(1+MAX(N$2:N53))-1</f>
        <v>-1.54883400000001E-2</v>
      </c>
      <c r="P53" s="20">
        <v>0.1245</v>
      </c>
      <c r="Q53" s="15">
        <f t="shared" si="42"/>
        <v>-0.1022039409054939</v>
      </c>
      <c r="R53" s="15">
        <f t="shared" si="9"/>
        <v>0.5584433622173981</v>
      </c>
      <c r="S53" s="13">
        <f>(1+R53)/(1+MAX(R$2:R53))-1</f>
        <v>-0.1022039409054939</v>
      </c>
      <c r="T53" s="20">
        <v>3.9800000000000002E-2</v>
      </c>
      <c r="U53" s="15">
        <f t="shared" si="43"/>
        <v>7.459069245021599E-2</v>
      </c>
      <c r="V53" s="15">
        <f t="shared" si="11"/>
        <v>0.1871363955928369</v>
      </c>
      <c r="W53" s="13">
        <f>(1+V53)/(1+MAX(V$2:V53))-1</f>
        <v>0</v>
      </c>
      <c r="X53" s="20">
        <v>0.1452</v>
      </c>
      <c r="Y53" s="15">
        <f t="shared" si="44"/>
        <v>-0.24275442273730241</v>
      </c>
      <c r="Z53" s="15">
        <f t="shared" si="13"/>
        <v>0.11094463471543459</v>
      </c>
      <c r="AA53" s="13">
        <f>(1+Z53)/(1+MAX(Z$2:Z53))-1</f>
        <v>-0.2427544227373023</v>
      </c>
      <c r="AB53" s="124"/>
      <c r="AC53" s="20">
        <f t="shared" si="31"/>
        <v>7.4645000000000003E-2</v>
      </c>
      <c r="AD53" s="15">
        <f t="shared" si="45"/>
        <v>-2.6504807220018023E-4</v>
      </c>
      <c r="AE53" s="15">
        <f t="shared" si="15"/>
        <v>0.310720929881384</v>
      </c>
      <c r="AF53" s="15">
        <f>(1+AE53)/(1+MAX(AE$2:AE53))-1</f>
        <v>-2.3953691968133461E-2</v>
      </c>
      <c r="AG53" s="58">
        <f t="shared" si="16"/>
        <v>1310.7209298813843</v>
      </c>
      <c r="AH53" s="137"/>
      <c r="AI53" s="70"/>
      <c r="AJ53" s="70"/>
      <c r="AK53" s="70"/>
      <c r="AL53" s="70"/>
      <c r="AM53" s="70"/>
      <c r="AN53" s="70"/>
      <c r="AO53" s="70"/>
      <c r="AP53" s="81"/>
      <c r="AQ53" s="81"/>
    </row>
    <row r="54" spans="1:43" s="61" customFormat="1" outlineLevel="1" x14ac:dyDescent="0.3">
      <c r="A54" s="61" t="s">
        <v>664</v>
      </c>
      <c r="B54" s="55" t="str">
        <f t="shared" si="0"/>
        <v>2020-5</v>
      </c>
      <c r="C54" s="121">
        <v>43952</v>
      </c>
      <c r="D54" s="20">
        <v>1.7100000000000001E-2</v>
      </c>
      <c r="E54" s="15">
        <f t="shared" si="39"/>
        <v>2.2153478690007722E-2</v>
      </c>
      <c r="F54" s="15">
        <f t="shared" si="3"/>
        <v>0.31256319590264026</v>
      </c>
      <c r="G54" s="13">
        <f>(1+F54)/(1+MAX(F$2:F54))-1</f>
        <v>-4.4282860718732886E-3</v>
      </c>
      <c r="H54" s="20">
        <v>7.4000000000000003E-3</v>
      </c>
      <c r="I54" s="15">
        <f t="shared" si="40"/>
        <v>0.15272680228426028</v>
      </c>
      <c r="J54" s="15">
        <f t="shared" si="5"/>
        <v>0.59481617169490963</v>
      </c>
      <c r="K54" s="13">
        <f>(1+J54)/(1+MAX(J$2:J54))-1</f>
        <v>0</v>
      </c>
      <c r="L54" s="20">
        <v>-2.7000000000000001E-3</v>
      </c>
      <c r="M54" s="15">
        <f t="shared" si="41"/>
        <v>1.0580233399366534E-2</v>
      </c>
      <c r="N54" s="15">
        <f t="shared" si="7"/>
        <v>0.15111750171952765</v>
      </c>
      <c r="O54" s="13">
        <f>(1+N54)/(1+MAX(N$2:N54))-1</f>
        <v>-1.8146521482000133E-2</v>
      </c>
      <c r="P54" s="20">
        <v>3.2800000000000003E-2</v>
      </c>
      <c r="Q54" s="15">
        <f t="shared" si="42"/>
        <v>-7.2756230167194125E-2</v>
      </c>
      <c r="R54" s="15">
        <f t="shared" si="9"/>
        <v>0.60956030449812859</v>
      </c>
      <c r="S54" s="13">
        <f>(1+R54)/(1+MAX(R$2:R54))-1</f>
        <v>-7.2756230167194236E-2</v>
      </c>
      <c r="T54" s="20">
        <v>-1.32E-2</v>
      </c>
      <c r="U54" s="15">
        <f t="shared" si="43"/>
        <v>6.0406095309873065E-2</v>
      </c>
      <c r="V54" s="15">
        <f t="shared" si="11"/>
        <v>0.17146619517101147</v>
      </c>
      <c r="W54" s="13">
        <f>(1+V54)/(1+MAX(V$2:V54))-1</f>
        <v>-1.319999999999999E-2</v>
      </c>
      <c r="X54" s="20">
        <v>2.87E-2</v>
      </c>
      <c r="Y54" s="15">
        <f t="shared" si="44"/>
        <v>-0.22102147466986299</v>
      </c>
      <c r="Z54" s="15">
        <f t="shared" si="13"/>
        <v>0.1428287457317674</v>
      </c>
      <c r="AA54" s="13">
        <f>(1+Z54)/(1+MAX(Z$2:Z54))-1</f>
        <v>-0.22102147466986299</v>
      </c>
      <c r="AB54" s="124"/>
      <c r="AC54" s="20">
        <f t="shared" si="31"/>
        <v>8.150000000000001E-3</v>
      </c>
      <c r="AD54" s="15">
        <f t="shared" si="45"/>
        <v>7.8827917860115893E-3</v>
      </c>
      <c r="AE54" s="15">
        <f t="shared" si="15"/>
        <v>0.32140330545991747</v>
      </c>
      <c r="AF54" s="15">
        <f>(1+AE54)/(1+MAX(AE$2:AE54))-1</f>
        <v>-1.5998914557673549E-2</v>
      </c>
      <c r="AG54" s="58">
        <f t="shared" si="16"/>
        <v>1321.4033054599176</v>
      </c>
      <c r="AH54" s="137"/>
      <c r="AI54" s="70"/>
      <c r="AJ54" s="70"/>
      <c r="AK54" s="70"/>
      <c r="AL54" s="70"/>
      <c r="AM54" s="70"/>
      <c r="AN54" s="70"/>
      <c r="AO54" s="70"/>
      <c r="AP54" s="81"/>
      <c r="AQ54" s="81"/>
    </row>
    <row r="55" spans="1:43" s="61" customFormat="1" outlineLevel="1" x14ac:dyDescent="0.3">
      <c r="A55" s="61" t="s">
        <v>664</v>
      </c>
      <c r="B55" s="55" t="str">
        <f t="shared" si="0"/>
        <v>2020-6</v>
      </c>
      <c r="C55" s="121">
        <v>43983</v>
      </c>
      <c r="D55" s="20">
        <v>2.5999999999999999E-3</v>
      </c>
      <c r="E55" s="15">
        <f t="shared" si="39"/>
        <v>2.4811077734601783E-2</v>
      </c>
      <c r="F55" s="15">
        <f t="shared" si="3"/>
        <v>0.31597586021198709</v>
      </c>
      <c r="G55" s="13">
        <f>(1+F55)/(1+MAX(F$2:F55))-1</f>
        <v>-1.8397996156601648E-3</v>
      </c>
      <c r="H55" s="20">
        <v>1.2500000000000001E-2</v>
      </c>
      <c r="I55" s="15">
        <f t="shared" si="40"/>
        <v>0.16713588731281348</v>
      </c>
      <c r="J55" s="15">
        <f t="shared" si="5"/>
        <v>0.6147513738410959</v>
      </c>
      <c r="K55" s="13">
        <f>(1+J55)/(1+MAX(J$2:J55))-1</f>
        <v>0</v>
      </c>
      <c r="L55" s="20">
        <v>-3.5000000000000001E-3</v>
      </c>
      <c r="M55" s="15">
        <f t="shared" si="41"/>
        <v>7.0432025824687106E-3</v>
      </c>
      <c r="N55" s="15">
        <f t="shared" si="7"/>
        <v>0.14708859046350931</v>
      </c>
      <c r="O55" s="13">
        <f>(1+N55)/(1+MAX(N$2:N55))-1</f>
        <v>-2.1583008656813063E-2</v>
      </c>
      <c r="P55" s="20">
        <v>0.03</v>
      </c>
      <c r="Q55" s="15">
        <f t="shared" si="42"/>
        <v>-4.4938917072209872E-2</v>
      </c>
      <c r="R55" s="15">
        <f t="shared" si="9"/>
        <v>0.65784711363307258</v>
      </c>
      <c r="S55" s="13">
        <f>(1+R55)/(1+MAX(R$2:R55))-1</f>
        <v>-4.4938917072209983E-2</v>
      </c>
      <c r="T55" s="20">
        <v>-4.3E-3</v>
      </c>
      <c r="U55" s="15">
        <f t="shared" si="43"/>
        <v>5.5846349100040715E-2</v>
      </c>
      <c r="V55" s="15">
        <f t="shared" si="11"/>
        <v>0.16642889053177612</v>
      </c>
      <c r="W55" s="13">
        <f>(1+V55)/(1+MAX(V$2:V55))-1</f>
        <v>-1.7443239999999971E-2</v>
      </c>
      <c r="X55" s="20">
        <v>5.3E-3</v>
      </c>
      <c r="Y55" s="15">
        <f t="shared" si="44"/>
        <v>-0.21689288848561317</v>
      </c>
      <c r="Z55" s="15">
        <f t="shared" si="13"/>
        <v>0.14888573808414596</v>
      </c>
      <c r="AA55" s="13">
        <f>(1+Z55)/(1+MAX(Z$2:Z55))-1</f>
        <v>-0.21689288848561317</v>
      </c>
      <c r="AB55" s="124"/>
      <c r="AC55" s="20">
        <f t="shared" si="31"/>
        <v>5.5599999999999998E-3</v>
      </c>
      <c r="AD55" s="15">
        <f t="shared" si="45"/>
        <v>1.3486620108341896E-2</v>
      </c>
      <c r="AE55" s="15">
        <f t="shared" si="15"/>
        <v>0.32875030783827452</v>
      </c>
      <c r="AF55" s="15">
        <f>(1+AE55)/(1+MAX(AE$2:AE55))-1</f>
        <v>-1.0527868522614336E-2</v>
      </c>
      <c r="AG55" s="58">
        <f t="shared" si="16"/>
        <v>1328.7503078382747</v>
      </c>
      <c r="AH55" s="137"/>
      <c r="AI55" s="70"/>
      <c r="AJ55" s="70"/>
      <c r="AK55" s="70"/>
      <c r="AL55" s="70"/>
      <c r="AM55" s="70"/>
      <c r="AN55" s="70"/>
      <c r="AO55" s="70"/>
      <c r="AP55" s="81"/>
      <c r="AQ55" s="81"/>
    </row>
    <row r="56" spans="1:43" s="61" customFormat="1" outlineLevel="1" x14ac:dyDescent="0.3">
      <c r="A56" s="61" t="s">
        <v>664</v>
      </c>
      <c r="B56" s="55" t="str">
        <f t="shared" si="0"/>
        <v>2020-7</v>
      </c>
      <c r="C56" s="121">
        <v>44013</v>
      </c>
      <c r="D56" s="20">
        <v>-2.3599999999999999E-2</v>
      </c>
      <c r="E56" s="15">
        <f t="shared" si="39"/>
        <v>6.2553630006512151E-4</v>
      </c>
      <c r="F56" s="15">
        <f t="shared" si="3"/>
        <v>0.28491882991098416</v>
      </c>
      <c r="G56" s="13">
        <f>(1+F56)/(1+MAX(F$2:F56))-1</f>
        <v>-2.5396380344730574E-2</v>
      </c>
      <c r="H56" s="20">
        <v>5.16E-2</v>
      </c>
      <c r="I56" s="15">
        <f t="shared" si="40"/>
        <v>0.2273600990981548</v>
      </c>
      <c r="J56" s="15">
        <f t="shared" si="5"/>
        <v>0.69807254473129654</v>
      </c>
      <c r="K56" s="13">
        <f>(1+J56)/(1+MAX(J$2:J56))-1</f>
        <v>0</v>
      </c>
      <c r="L56" s="20">
        <v>-4.4600000000000001E-2</v>
      </c>
      <c r="M56" s="15">
        <f t="shared" si="41"/>
        <v>-3.7870924252709326E-2</v>
      </c>
      <c r="N56" s="15">
        <f t="shared" si="7"/>
        <v>9.5928439328836879E-2</v>
      </c>
      <c r="O56" s="13">
        <f>(1+N56)/(1+MAX(N$2:N56))-1</f>
        <v>-6.5220406470719139E-2</v>
      </c>
      <c r="P56" s="20">
        <v>4.1999999999999997E-3</v>
      </c>
      <c r="Q56" s="15">
        <f t="shared" si="42"/>
        <v>-4.0927660523913167E-2</v>
      </c>
      <c r="R56" s="15">
        <f t="shared" si="9"/>
        <v>0.66481007151033156</v>
      </c>
      <c r="S56" s="13">
        <f>(1+R56)/(1+MAX(R$2:R56))-1</f>
        <v>-4.0927660523913167E-2</v>
      </c>
      <c r="T56" s="20">
        <v>-3.09E-2</v>
      </c>
      <c r="U56" s="15">
        <f t="shared" si="43"/>
        <v>2.3220696912849448E-2</v>
      </c>
      <c r="V56" s="15">
        <f t="shared" si="11"/>
        <v>0.13038623781434411</v>
      </c>
      <c r="W56" s="13">
        <f>(1+V56)/(1+MAX(V$2:V56))-1</f>
        <v>-4.7804243884000064E-2</v>
      </c>
      <c r="X56" s="20">
        <v>-2.1299999999999999E-2</v>
      </c>
      <c r="Y56" s="15">
        <f t="shared" si="44"/>
        <v>-0.23357306996086957</v>
      </c>
      <c r="Z56" s="15">
        <f t="shared" si="13"/>
        <v>0.12441447186295362</v>
      </c>
      <c r="AA56" s="13">
        <f>(1+Z56)/(1+MAX(Z$2:Z56))-1</f>
        <v>-0.23357306996086957</v>
      </c>
      <c r="AB56" s="124"/>
      <c r="AC56" s="20">
        <f t="shared" si="31"/>
        <v>-1.4630000000000001E-2</v>
      </c>
      <c r="AD56" s="15">
        <f t="shared" si="45"/>
        <v>-1.3406891438432211E-3</v>
      </c>
      <c r="AE56" s="15">
        <f t="shared" si="15"/>
        <v>0.30931069083460061</v>
      </c>
      <c r="AF56" s="15">
        <f>(1+AE56)/(1+MAX(AE$2:AE56))-1</f>
        <v>-2.5003845806128355E-2</v>
      </c>
      <c r="AG56" s="58">
        <f t="shared" si="16"/>
        <v>1309.3106908346008</v>
      </c>
      <c r="AH56" s="137"/>
      <c r="AI56" s="70"/>
      <c r="AJ56" s="70"/>
      <c r="AK56" s="70"/>
      <c r="AL56" s="70"/>
      <c r="AM56" s="70"/>
      <c r="AN56" s="70"/>
      <c r="AO56" s="70"/>
      <c r="AP56" s="81"/>
      <c r="AQ56" s="81"/>
    </row>
    <row r="57" spans="1:43" s="61" customFormat="1" outlineLevel="1" x14ac:dyDescent="0.3">
      <c r="A57" s="61" t="s">
        <v>664</v>
      </c>
      <c r="B57" s="55" t="str">
        <f t="shared" si="0"/>
        <v>2020-8</v>
      </c>
      <c r="C57" s="121">
        <v>44044</v>
      </c>
      <c r="D57" s="20">
        <v>4.0000000000000002E-4</v>
      </c>
      <c r="E57" s="15">
        <f t="shared" si="39"/>
        <v>1.0257865145850698E-3</v>
      </c>
      <c r="F57" s="15">
        <f t="shared" si="3"/>
        <v>0.28543279744294847</v>
      </c>
      <c r="G57" s="13">
        <f>(1+F57)/(1+MAX(F$2:F57))-1</f>
        <v>-2.5006538896868546E-2</v>
      </c>
      <c r="H57" s="20">
        <v>-8.6E-3</v>
      </c>
      <c r="I57" s="15">
        <f t="shared" si="40"/>
        <v>0.21680480224591059</v>
      </c>
      <c r="J57" s="15">
        <f t="shared" si="5"/>
        <v>0.68346912084660727</v>
      </c>
      <c r="K57" s="13">
        <f>(1+J57)/(1+MAX(J$2:J57))-1</f>
        <v>-8.600000000000052E-3</v>
      </c>
      <c r="L57" s="20">
        <v>-1.1000000000000001E-3</v>
      </c>
      <c r="M57" s="15">
        <f t="shared" si="41"/>
        <v>-3.8929266236031324E-2</v>
      </c>
      <c r="N57" s="15">
        <f t="shared" si="7"/>
        <v>9.4722918045575089E-2</v>
      </c>
      <c r="O57" s="13">
        <f>(1+N57)/(1+MAX(N$2:N57))-1</f>
        <v>-6.6248664023601411E-2</v>
      </c>
      <c r="P57" s="20">
        <v>5.5E-2</v>
      </c>
      <c r="Q57" s="15">
        <f t="shared" si="42"/>
        <v>1.1821318147271498E-2</v>
      </c>
      <c r="R57" s="15">
        <f t="shared" si="9"/>
        <v>0.75637462544339962</v>
      </c>
      <c r="S57" s="13">
        <f>(1+R57)/(1+MAX(R$2:R57))-1</f>
        <v>0</v>
      </c>
      <c r="T57" s="20">
        <v>5.8999999999999999E-3</v>
      </c>
      <c r="U57" s="15">
        <f t="shared" si="43"/>
        <v>2.9257699024635375E-2</v>
      </c>
      <c r="V57" s="15">
        <f t="shared" si="11"/>
        <v>0.13705551661744875</v>
      </c>
      <c r="W57" s="13">
        <f>(1+V57)/(1+MAX(V$2:V57))-1</f>
        <v>-4.2186288922915649E-2</v>
      </c>
      <c r="X57" s="20">
        <v>4.2299999999999997E-2</v>
      </c>
      <c r="Y57" s="15">
        <f t="shared" si="44"/>
        <v>-0.20115321082021431</v>
      </c>
      <c r="Z57" s="15">
        <f t="shared" si="13"/>
        <v>0.17197720402275651</v>
      </c>
      <c r="AA57" s="13">
        <f>(1+Z57)/(1+MAX(Z$2:Z57))-1</f>
        <v>-0.20115321082021442</v>
      </c>
      <c r="AB57" s="124"/>
      <c r="AC57" s="20">
        <f t="shared" si="31"/>
        <v>1.2154999999999999E-2</v>
      </c>
      <c r="AD57" s="15">
        <f t="shared" si="45"/>
        <v>1.0798014779613174E-2</v>
      </c>
      <c r="AE57" s="15">
        <f t="shared" si="15"/>
        <v>0.32522536228169496</v>
      </c>
      <c r="AF57" s="15">
        <f>(1+AE57)/(1+MAX(AE$2:AE57))-1</f>
        <v>-1.3152767551902089E-2</v>
      </c>
      <c r="AG57" s="58">
        <f t="shared" si="16"/>
        <v>1325.2253622816952</v>
      </c>
      <c r="AH57" s="137"/>
      <c r="AI57" s="70"/>
      <c r="AJ57" s="70"/>
      <c r="AK57" s="70"/>
      <c r="AL57" s="70"/>
      <c r="AM57" s="70"/>
      <c r="AN57" s="70"/>
      <c r="AO57" s="70"/>
      <c r="AP57" s="81"/>
      <c r="AQ57" s="81"/>
    </row>
    <row r="58" spans="1:43" s="61" customFormat="1" outlineLevel="1" x14ac:dyDescent="0.3">
      <c r="A58" s="61" t="s">
        <v>664</v>
      </c>
      <c r="B58" s="55" t="str">
        <f t="shared" si="0"/>
        <v>2020-9</v>
      </c>
      <c r="C58" s="121">
        <v>44075</v>
      </c>
      <c r="D58" s="20">
        <v>5.5999999999999999E-3</v>
      </c>
      <c r="E58" s="15">
        <f t="shared" si="39"/>
        <v>6.6315309190667637E-3</v>
      </c>
      <c r="F58" s="15">
        <f t="shared" si="3"/>
        <v>0.29263122110862905</v>
      </c>
      <c r="G58" s="13">
        <f>(1+F58)/(1+MAX(F$2:F58))-1</f>
        <v>-1.9546575514690967E-2</v>
      </c>
      <c r="H58" s="20">
        <v>-2.7199999999999998E-2</v>
      </c>
      <c r="I58" s="15">
        <f t="shared" si="40"/>
        <v>0.1837077116248218</v>
      </c>
      <c r="J58" s="15">
        <f t="shared" si="5"/>
        <v>0.63767876075957952</v>
      </c>
      <c r="K58" s="13">
        <f>(1+J58)/(1+MAX(J$2:J58))-1</f>
        <v>-3.5566080000000055E-2</v>
      </c>
      <c r="L58" s="20">
        <v>1.41E-2</v>
      </c>
      <c r="M58" s="15">
        <f t="shared" si="41"/>
        <v>-2.5378168889959363E-2</v>
      </c>
      <c r="N58" s="15">
        <f t="shared" si="7"/>
        <v>0.11015851119001763</v>
      </c>
      <c r="O58" s="13">
        <f>(1+N58)/(1+MAX(N$2:N58))-1</f>
        <v>-5.3082770186334227E-2</v>
      </c>
      <c r="P58" s="20">
        <v>-1.2E-2</v>
      </c>
      <c r="Q58" s="15">
        <f t="shared" si="42"/>
        <v>-3.2053767049577964E-4</v>
      </c>
      <c r="R58" s="15">
        <f t="shared" si="9"/>
        <v>0.73529812993807875</v>
      </c>
      <c r="S58" s="13">
        <f>(1+R58)/(1+MAX(R$2:R58))-1</f>
        <v>-1.2000000000000011E-2</v>
      </c>
      <c r="T58" s="20">
        <v>1.1599999999999999E-2</v>
      </c>
      <c r="U58" s="15">
        <f t="shared" si="43"/>
        <v>4.1197088333321252E-2</v>
      </c>
      <c r="V58" s="15">
        <f t="shared" si="11"/>
        <v>0.15024536061021121</v>
      </c>
      <c r="W58" s="13">
        <f>(1+V58)/(1+MAX(V$2:V58))-1</f>
        <v>-3.1075649874421463E-2</v>
      </c>
      <c r="X58" s="20">
        <v>-2.3099999999999999E-2</v>
      </c>
      <c r="Y58" s="15">
        <f t="shared" si="44"/>
        <v>-0.21960657165026742</v>
      </c>
      <c r="Z58" s="15">
        <f t="shared" si="13"/>
        <v>0.14490453060983088</v>
      </c>
      <c r="AA58" s="13">
        <f>(1+Z58)/(1+MAX(Z$2:Z58))-1</f>
        <v>-0.21960657165026742</v>
      </c>
      <c r="AB58" s="124"/>
      <c r="AC58" s="20">
        <f t="shared" si="31"/>
        <v>-1.5049999999999994E-3</v>
      </c>
      <c r="AD58" s="15">
        <f t="shared" si="45"/>
        <v>9.2767637673698555E-3</v>
      </c>
      <c r="AE58" s="15">
        <f t="shared" si="15"/>
        <v>0.32323089811146111</v>
      </c>
      <c r="AF58" s="15">
        <f>(1+AE58)/(1+MAX(AE$2:AE58))-1</f>
        <v>-1.4637972636736385E-2</v>
      </c>
      <c r="AG58" s="58">
        <f t="shared" si="16"/>
        <v>1323.2308981114613</v>
      </c>
      <c r="AH58" s="137"/>
      <c r="AI58" s="70"/>
      <c r="AJ58" s="70"/>
      <c r="AK58" s="70"/>
      <c r="AL58" s="70"/>
      <c r="AM58" s="70"/>
      <c r="AN58" s="70"/>
      <c r="AO58" s="70"/>
      <c r="AP58" s="81"/>
      <c r="AQ58" s="81"/>
    </row>
    <row r="59" spans="1:43" s="61" customFormat="1" outlineLevel="1" x14ac:dyDescent="0.3">
      <c r="A59" s="61" t="s">
        <v>664</v>
      </c>
      <c r="B59" s="55" t="str">
        <f t="shared" si="0"/>
        <v>2020-10</v>
      </c>
      <c r="C59" s="121">
        <v>44105</v>
      </c>
      <c r="D59" s="20">
        <v>1.32E-2</v>
      </c>
      <c r="E59" s="15">
        <f t="shared" si="39"/>
        <v>1.9919067127198486E-2</v>
      </c>
      <c r="F59" s="15">
        <f t="shared" si="3"/>
        <v>0.30969395322726312</v>
      </c>
      <c r="G59" s="13">
        <f>(1+F59)/(1+MAX(F$2:F59))-1</f>
        <v>-6.6045903114847482E-3</v>
      </c>
      <c r="H59" s="20">
        <v>-2.0000000000000001E-4</v>
      </c>
      <c r="I59" s="15">
        <f t="shared" si="40"/>
        <v>0.1834709700824968</v>
      </c>
      <c r="J59" s="15">
        <f t="shared" si="5"/>
        <v>0.63735122500742758</v>
      </c>
      <c r="K59" s="13">
        <f>(1+J59)/(1+MAX(J$2:J59))-1</f>
        <v>-3.5758966784000146E-2</v>
      </c>
      <c r="L59" s="20">
        <v>5.1000000000000004E-3</v>
      </c>
      <c r="M59" s="15">
        <f t="shared" si="41"/>
        <v>-2.0407597551298062E-2</v>
      </c>
      <c r="N59" s="15">
        <f t="shared" si="7"/>
        <v>0.11582031959708683</v>
      </c>
      <c r="O59" s="13">
        <f>(1+N59)/(1+MAX(N$2:N59))-1</f>
        <v>-4.8253492314284441E-2</v>
      </c>
      <c r="P59" s="20">
        <v>-1.15E-2</v>
      </c>
      <c r="Q59" s="15">
        <f t="shared" si="42"/>
        <v>-1.1816851487285063E-2</v>
      </c>
      <c r="R59" s="15">
        <f t="shared" si="9"/>
        <v>0.7153422014437909</v>
      </c>
      <c r="S59" s="13">
        <f>(1+R59)/(1+MAX(R$2:R59))-1</f>
        <v>-2.3361999999999994E-2</v>
      </c>
      <c r="T59" s="20">
        <v>-1.6000000000000001E-3</v>
      </c>
      <c r="U59" s="15">
        <f t="shared" si="43"/>
        <v>3.9531172991987829E-2</v>
      </c>
      <c r="V59" s="15">
        <f t="shared" si="11"/>
        <v>0.14840496803323489</v>
      </c>
      <c r="W59" s="13">
        <f>(1+V59)/(1+MAX(V$2:V59))-1</f>
        <v>-3.2625928834622342E-2</v>
      </c>
      <c r="X59" s="20">
        <v>3.5900000000000001E-2</v>
      </c>
      <c r="Y59" s="15">
        <f t="shared" si="44"/>
        <v>-0.19159044757251198</v>
      </c>
      <c r="Z59" s="15">
        <f t="shared" si="13"/>
        <v>0.18600660325872376</v>
      </c>
      <c r="AA59" s="13">
        <f>(1+Z59)/(1+MAX(Z$2:Z59))-1</f>
        <v>-0.19159044757251209</v>
      </c>
      <c r="AB59" s="124"/>
      <c r="AC59" s="20">
        <f t="shared" si="31"/>
        <v>4.7699999999999999E-3</v>
      </c>
      <c r="AD59" s="15">
        <f t="shared" si="45"/>
        <v>1.4091013930540131E-2</v>
      </c>
      <c r="AE59" s="15">
        <f t="shared" si="15"/>
        <v>0.32954270949545261</v>
      </c>
      <c r="AF59" s="15">
        <f>(1+AE59)/(1+MAX(AE$2:AE59))-1</f>
        <v>-9.9377957662136751E-3</v>
      </c>
      <c r="AG59" s="58">
        <f t="shared" si="16"/>
        <v>1329.542709495453</v>
      </c>
      <c r="AH59" s="137"/>
      <c r="AI59" s="70"/>
      <c r="AJ59" s="70"/>
      <c r="AK59" s="70"/>
      <c r="AL59" s="70"/>
      <c r="AM59" s="70"/>
      <c r="AN59" s="70"/>
      <c r="AO59" s="70"/>
      <c r="AP59" s="81"/>
      <c r="AQ59" s="81"/>
    </row>
    <row r="60" spans="1:43" s="61" customFormat="1" outlineLevel="1" x14ac:dyDescent="0.3">
      <c r="A60" s="61" t="s">
        <v>664</v>
      </c>
      <c r="B60" s="55" t="str">
        <f t="shared" si="0"/>
        <v>2020-11</v>
      </c>
      <c r="C60" s="121">
        <v>44136</v>
      </c>
      <c r="D60" s="20">
        <v>9.7000000000000003E-3</v>
      </c>
      <c r="E60" s="15">
        <f t="shared" si="39"/>
        <v>2.9812282078332419E-2</v>
      </c>
      <c r="F60" s="15">
        <f t="shared" si="3"/>
        <v>0.32239798457356761</v>
      </c>
      <c r="G60" s="13">
        <f>(1+F60)/(1+MAX(F$2:F60))-1</f>
        <v>0</v>
      </c>
      <c r="H60" s="20">
        <v>-7.5700000000000003E-2</v>
      </c>
      <c r="I60" s="15">
        <f t="shared" si="40"/>
        <v>9.3882217647251798E-2</v>
      </c>
      <c r="J60" s="15">
        <f t="shared" si="5"/>
        <v>0.51340373727436539</v>
      </c>
      <c r="K60" s="13">
        <f>(1+J60)/(1+MAX(J$2:J60))-1</f>
        <v>-0.10875201299845128</v>
      </c>
      <c r="L60" s="20">
        <v>-1.9300000000000001E-2</v>
      </c>
      <c r="M60" s="15">
        <f t="shared" si="41"/>
        <v>-3.9313730918557943E-2</v>
      </c>
      <c r="N60" s="15">
        <f t="shared" si="7"/>
        <v>9.4284987428863154E-2</v>
      </c>
      <c r="O60" s="13">
        <f>(1+N60)/(1+MAX(N$2:N60))-1</f>
        <v>-6.662219991261864E-2</v>
      </c>
      <c r="P60" s="20">
        <v>9.9199999999999997E-2</v>
      </c>
      <c r="Q60" s="15">
        <f t="shared" si="42"/>
        <v>8.6210916845176122E-2</v>
      </c>
      <c r="R60" s="15">
        <f t="shared" si="9"/>
        <v>0.88550414782701492</v>
      </c>
      <c r="S60" s="13">
        <f>(1+R60)/(1+MAX(R$2:R60))-1</f>
        <v>0</v>
      </c>
      <c r="T60" s="20">
        <v>-1.2800000000000001E-2</v>
      </c>
      <c r="U60" s="15">
        <f t="shared" si="43"/>
        <v>2.6225173977690419E-2</v>
      </c>
      <c r="V60" s="15">
        <f t="shared" si="11"/>
        <v>0.13370538444240943</v>
      </c>
      <c r="W60" s="13">
        <f>(1+V60)/(1+MAX(V$2:V60))-1</f>
        <v>-4.5008316945539306E-2</v>
      </c>
      <c r="X60" s="20">
        <v>0.14810000000000001</v>
      </c>
      <c r="Y60" s="15">
        <f t="shared" si="44"/>
        <v>-7.1864992858001076E-2</v>
      </c>
      <c r="Z60" s="15">
        <f t="shared" si="13"/>
        <v>0.36165418120134052</v>
      </c>
      <c r="AA60" s="13">
        <f>(1+Z60)/(1+MAX(Z$2:Z60))-1</f>
        <v>-7.1864992858001298E-2</v>
      </c>
      <c r="AB60" s="124"/>
      <c r="AC60" s="20">
        <f t="shared" si="31"/>
        <v>1.2404999999999999E-2</v>
      </c>
      <c r="AD60" s="15">
        <f t="shared" si="45"/>
        <v>2.6670812958348389E-2</v>
      </c>
      <c r="AE60" s="15">
        <f t="shared" si="15"/>
        <v>0.34603568680674379</v>
      </c>
      <c r="AF60" s="15">
        <f>(1+AE60)/(1+MAX(AE$2:AE60))-1</f>
        <v>0</v>
      </c>
      <c r="AG60" s="58">
        <f t="shared" si="16"/>
        <v>1346.035686806744</v>
      </c>
      <c r="AH60" s="137"/>
      <c r="AI60" s="70"/>
      <c r="AJ60" s="70"/>
      <c r="AK60" s="70"/>
      <c r="AL60" s="70"/>
      <c r="AM60" s="70"/>
      <c r="AN60" s="70"/>
      <c r="AO60" s="70"/>
      <c r="AP60" s="81"/>
      <c r="AQ60" s="81"/>
    </row>
    <row r="61" spans="1:43" s="27" customFormat="1" ht="15" thickBot="1" x14ac:dyDescent="0.35">
      <c r="A61" s="27" t="s">
        <v>664</v>
      </c>
      <c r="B61" s="63" t="str">
        <f t="shared" si="0"/>
        <v>2020-12</v>
      </c>
      <c r="C61" s="122">
        <v>44166</v>
      </c>
      <c r="D61" s="32">
        <v>-6.1000000000000004E-3</v>
      </c>
      <c r="E61" s="25">
        <f t="shared" si="39"/>
        <v>2.3530427157654632E-2</v>
      </c>
      <c r="F61" s="25">
        <f t="shared" si="3"/>
        <v>0.31433135686766889</v>
      </c>
      <c r="G61" s="26">
        <f>(1+F61)/(1+MAX(F$2:F61))-1</f>
        <v>-6.0999999999999943E-3</v>
      </c>
      <c r="H61" s="32">
        <v>4.1099999999999998E-2</v>
      </c>
      <c r="I61" s="25">
        <f t="shared" si="40"/>
        <v>0.13884077679255369</v>
      </c>
      <c r="J61" s="25">
        <f t="shared" si="5"/>
        <v>0.57560463087634162</v>
      </c>
      <c r="K61" s="26">
        <f>(1+J61)/(1+MAX(J$2:J61))-1</f>
        <v>-7.2121720732687744E-2</v>
      </c>
      <c r="L61" s="32">
        <v>7.6899999999999996E-2</v>
      </c>
      <c r="M61" s="25">
        <f t="shared" si="41"/>
        <v>3.4563043173804875E-2</v>
      </c>
      <c r="N61" s="25">
        <f t="shared" si="7"/>
        <v>0.17843550296214272</v>
      </c>
      <c r="O61" s="26">
        <f>(1+N61)/(1+MAX(N$2:N61))-1</f>
        <v>0</v>
      </c>
      <c r="P61" s="32">
        <v>4.9399999999999999E-2</v>
      </c>
      <c r="Q61" s="25">
        <f t="shared" si="42"/>
        <v>0.13986973613732778</v>
      </c>
      <c r="R61" s="25">
        <f t="shared" si="9"/>
        <v>0.97864805272966926</v>
      </c>
      <c r="S61" s="26">
        <f>(1+R61)/(1+MAX(R$2:R61))-1</f>
        <v>0</v>
      </c>
      <c r="T61" s="32">
        <v>-1.5699999999999999E-2</v>
      </c>
      <c r="U61" s="25">
        <f t="shared" si="43"/>
        <v>1.011343874624071E-2</v>
      </c>
      <c r="V61" s="25">
        <f t="shared" si="11"/>
        <v>0.11590620990666345</v>
      </c>
      <c r="W61" s="26">
        <f>(1+V61)/(1+MAX(V$2:V61))-1</f>
        <v>-6.0001686369494434E-2</v>
      </c>
      <c r="X61" s="32">
        <v>3.8199999999999998E-2</v>
      </c>
      <c r="Y61" s="25">
        <f t="shared" si="44"/>
        <v>-3.6410235585176753E-2</v>
      </c>
      <c r="Z61" s="25">
        <f t="shared" si="13"/>
        <v>0.41366937092323175</v>
      </c>
      <c r="AA61" s="26">
        <f>(1+Z61)/(1+MAX(Z$2:Z61))-1</f>
        <v>-3.6410235585176975E-2</v>
      </c>
      <c r="AB61" s="125"/>
      <c r="AC61" s="32">
        <f t="shared" si="31"/>
        <v>3.2564999999999997E-2</v>
      </c>
      <c r="AD61" s="25">
        <f t="shared" si="45"/>
        <v>6.0104347982336881E-2</v>
      </c>
      <c r="AE61" s="25">
        <f t="shared" si="15"/>
        <v>0.38986933894760534</v>
      </c>
      <c r="AF61" s="25">
        <f>(1+AE61)/(1+MAX(AE$2:AE61))-1</f>
        <v>0</v>
      </c>
      <c r="AG61" s="66">
        <f t="shared" si="16"/>
        <v>1389.8693389476057</v>
      </c>
      <c r="AH61" s="138"/>
      <c r="AI61" s="139"/>
      <c r="AJ61" s="139"/>
      <c r="AK61" s="139"/>
      <c r="AL61" s="139"/>
      <c r="AM61" s="139"/>
      <c r="AN61" s="139"/>
      <c r="AO61" s="139"/>
      <c r="AP61" s="78"/>
      <c r="AQ61" s="78"/>
    </row>
    <row r="62" spans="1:43" s="54" customFormat="1" outlineLevel="1" x14ac:dyDescent="0.3">
      <c r="A62" s="54" t="s">
        <v>664</v>
      </c>
      <c r="B62" s="48" t="str">
        <f t="shared" si="0"/>
        <v>2021-1</v>
      </c>
      <c r="C62" s="120">
        <v>44197</v>
      </c>
      <c r="D62" s="10">
        <v>9.7999999999999997E-3</v>
      </c>
      <c r="E62" s="5">
        <f>+D62</f>
        <v>9.7999999999999997E-3</v>
      </c>
      <c r="F62" s="5">
        <f t="shared" si="3"/>
        <v>0.32721180416497209</v>
      </c>
      <c r="G62" s="3">
        <f>(1+F62)/(1+MAX(F$2:F62))-1</f>
        <v>0</v>
      </c>
      <c r="H62" s="10">
        <v>-1.7600000000000001E-2</v>
      </c>
      <c r="I62" s="5">
        <f>+H62</f>
        <v>-1.7600000000000001E-2</v>
      </c>
      <c r="J62" s="5">
        <f t="shared" si="5"/>
        <v>0.54787398937291809</v>
      </c>
      <c r="K62" s="3">
        <f>(1+J62)/(1+MAX(J$2:J62))-1</f>
        <v>-8.8452378447792301E-2</v>
      </c>
      <c r="L62" s="10">
        <v>1.6199999999999999E-2</v>
      </c>
      <c r="M62" s="5">
        <f>+L62</f>
        <v>1.6199999999999999E-2</v>
      </c>
      <c r="N62" s="5">
        <f t="shared" si="7"/>
        <v>0.19752615811012952</v>
      </c>
      <c r="O62" s="3">
        <f>(1+N62)/(1+MAX(N$2:N62))-1</f>
        <v>0</v>
      </c>
      <c r="P62" s="10">
        <v>1.11E-2</v>
      </c>
      <c r="Q62" s="5">
        <f>+P62</f>
        <v>1.11E-2</v>
      </c>
      <c r="R62" s="5">
        <f t="shared" si="9"/>
        <v>1.0006110461149689</v>
      </c>
      <c r="S62" s="3">
        <f>(1+R62)/(1+MAX(R$2:R62))-1</f>
        <v>0</v>
      </c>
      <c r="T62" s="10">
        <v>1.9099999999999999E-2</v>
      </c>
      <c r="U62" s="5">
        <f>+T62</f>
        <v>1.9099999999999999E-2</v>
      </c>
      <c r="V62" s="5">
        <f t="shared" si="11"/>
        <v>0.1372200185158805</v>
      </c>
      <c r="W62" s="3">
        <f>(1+V62)/(1+MAX(V$2:V62))-1</f>
        <v>-4.2047718579151905E-2</v>
      </c>
      <c r="X62" s="10">
        <v>3.6299999999999999E-2</v>
      </c>
      <c r="Y62" s="5">
        <f>+X62</f>
        <v>3.6299999999999999E-2</v>
      </c>
      <c r="Z62" s="5">
        <f t="shared" si="13"/>
        <v>0.46498556908774513</v>
      </c>
      <c r="AA62" s="3">
        <f>(1+Z62)/(1+MAX(Z$2:Z62))-1</f>
        <v>-1.4319271369187536E-3</v>
      </c>
      <c r="AB62" s="124"/>
      <c r="AC62" s="10">
        <f t="shared" si="31"/>
        <v>1.1994999999999999E-2</v>
      </c>
      <c r="AD62" s="5">
        <f>+AC62</f>
        <v>1.1994999999999999E-2</v>
      </c>
      <c r="AE62" s="5">
        <f t="shared" si="15"/>
        <v>0.40654082166828176</v>
      </c>
      <c r="AF62" s="5">
        <f>(1+AE62)/(1+MAX(AE$2:AE62))-1</f>
        <v>0</v>
      </c>
      <c r="AG62" s="51">
        <f t="shared" si="16"/>
        <v>1406.5408216682822</v>
      </c>
      <c r="AH62" s="137"/>
      <c r="AI62" s="70"/>
      <c r="AJ62" s="70"/>
      <c r="AK62" s="70"/>
      <c r="AL62" s="70"/>
      <c r="AM62" s="70"/>
      <c r="AN62" s="70"/>
      <c r="AO62" s="70"/>
      <c r="AP62" s="81"/>
      <c r="AQ62" s="81"/>
    </row>
    <row r="63" spans="1:43" s="61" customFormat="1" outlineLevel="1" x14ac:dyDescent="0.3">
      <c r="A63" s="61" t="s">
        <v>664</v>
      </c>
      <c r="B63" s="55" t="str">
        <f t="shared" si="0"/>
        <v>2021-2</v>
      </c>
      <c r="C63" s="121">
        <v>44228</v>
      </c>
      <c r="D63" s="20">
        <v>-1.24E-2</v>
      </c>
      <c r="E63" s="15">
        <f t="shared" ref="E63:E73" si="46">+(1+D63)*(1+E62)-1</f>
        <v>-2.7215199999999218E-3</v>
      </c>
      <c r="F63" s="15">
        <f t="shared" si="3"/>
        <v>0.31075437779332638</v>
      </c>
      <c r="G63" s="13">
        <f>(1+F63)/(1+MAX(F$2:F63))-1</f>
        <v>-1.2400000000000078E-2</v>
      </c>
      <c r="H63" s="20">
        <v>-6.6400000000000001E-2</v>
      </c>
      <c r="I63" s="15">
        <f t="shared" ref="I63:I73" si="47">+(1+H63)*(1+I62)-1</f>
        <v>-8.2831360000000021E-2</v>
      </c>
      <c r="J63" s="15">
        <f t="shared" si="5"/>
        <v>0.44509515647855635</v>
      </c>
      <c r="K63" s="13">
        <f>(1+J63)/(1+MAX(J$2:J63))-1</f>
        <v>-0.14897914051885897</v>
      </c>
      <c r="L63" s="20">
        <v>-3.0000000000000001E-3</v>
      </c>
      <c r="M63" s="15">
        <f t="shared" ref="M63:M73" si="48">+(1+L63)*(1+M62)-1</f>
        <v>1.3151399999999924E-2</v>
      </c>
      <c r="N63" s="15">
        <f t="shared" si="7"/>
        <v>0.19393357963579905</v>
      </c>
      <c r="O63" s="13">
        <f>(1+N63)/(1+MAX(N$2:N63))-1</f>
        <v>-3.0000000000001137E-3</v>
      </c>
      <c r="P63" s="20">
        <v>3.7400000000000003E-2</v>
      </c>
      <c r="Q63" s="15">
        <f t="shared" ref="Q63:Q73" si="49">+(1+P63)*(1+Q62)-1</f>
        <v>4.8915140000000301E-2</v>
      </c>
      <c r="R63" s="15">
        <f t="shared" si="9"/>
        <v>1.0754338992396688</v>
      </c>
      <c r="S63" s="13">
        <f>(1+R63)/(1+MAX(R$2:R63))-1</f>
        <v>0</v>
      </c>
      <c r="T63" s="20">
        <v>-2.0500000000000001E-2</v>
      </c>
      <c r="U63" s="15">
        <f t="shared" ref="U63:U73" si="50">+(1+T63)*(1+U62)-1</f>
        <v>-1.7915500000000861E-3</v>
      </c>
      <c r="V63" s="15">
        <f t="shared" si="11"/>
        <v>0.11390700813630494</v>
      </c>
      <c r="W63" s="13">
        <f>(1+V63)/(1+MAX(V$2:V63))-1</f>
        <v>-6.1685740348279339E-2</v>
      </c>
      <c r="X63" s="20">
        <v>8.3900000000000002E-2</v>
      </c>
      <c r="Y63" s="15">
        <f t="shared" ref="Y63:Y73" si="51">+(1+X63)*(1+Y62)-1</f>
        <v>0.12324557000000014</v>
      </c>
      <c r="Z63" s="15">
        <f t="shared" si="13"/>
        <v>0.58789785833420716</v>
      </c>
      <c r="AA63" s="13">
        <f>(1+Z63)/(1+MAX(Z$2:Z63))-1</f>
        <v>0</v>
      </c>
      <c r="AB63" s="124"/>
      <c r="AC63" s="20">
        <f t="shared" si="31"/>
        <v>-2.6700000000000005E-3</v>
      </c>
      <c r="AD63" s="15">
        <f t="shared" ref="AD63:AD73" si="52">+(1+AC63)*(1+AD62)-1</f>
        <v>9.2929733500000111E-3</v>
      </c>
      <c r="AE63" s="15">
        <f t="shared" si="15"/>
        <v>0.40278535767442758</v>
      </c>
      <c r="AF63" s="15">
        <f>(1+AE63)/(1+MAX(AE$2:AE63))-1</f>
        <v>-2.6699999999999502E-3</v>
      </c>
      <c r="AG63" s="58">
        <f t="shared" si="16"/>
        <v>1402.785357674428</v>
      </c>
      <c r="AH63" s="137"/>
      <c r="AI63" s="70"/>
      <c r="AJ63" s="70"/>
      <c r="AK63" s="70"/>
      <c r="AL63" s="70"/>
      <c r="AM63" s="70"/>
      <c r="AN63" s="70"/>
      <c r="AO63" s="70"/>
      <c r="AP63" s="81"/>
      <c r="AQ63" s="81"/>
    </row>
    <row r="64" spans="1:43" s="61" customFormat="1" outlineLevel="1" x14ac:dyDescent="0.3">
      <c r="A64" s="61" t="s">
        <v>664</v>
      </c>
      <c r="B64" s="55" t="str">
        <f t="shared" si="0"/>
        <v>2021-3</v>
      </c>
      <c r="C64" s="121">
        <v>44256</v>
      </c>
      <c r="D64" s="20">
        <v>3.1399999999999997E-2</v>
      </c>
      <c r="E64" s="15">
        <f t="shared" si="46"/>
        <v>2.8593024272000278E-2</v>
      </c>
      <c r="F64" s="15">
        <f t="shared" si="3"/>
        <v>0.35191206525603702</v>
      </c>
      <c r="G64" s="13">
        <f>(1+F64)/(1+MAX(F$2:F64))-1</f>
        <v>0</v>
      </c>
      <c r="H64" s="20">
        <v>2.5899999999999999E-2</v>
      </c>
      <c r="I64" s="15">
        <f t="shared" si="47"/>
        <v>-5.9076692224000027E-2</v>
      </c>
      <c r="J64" s="15">
        <f t="shared" si="5"/>
        <v>0.48252312103135098</v>
      </c>
      <c r="K64" s="13">
        <f>(1+J64)/(1+MAX(J$2:J64))-1</f>
        <v>-0.12693770025829731</v>
      </c>
      <c r="L64" s="20">
        <v>3.4599999999999999E-2</v>
      </c>
      <c r="M64" s="15">
        <f t="shared" si="48"/>
        <v>4.8206438439999832E-2</v>
      </c>
      <c r="N64" s="15">
        <f t="shared" si="7"/>
        <v>0.23524368149119756</v>
      </c>
      <c r="O64" s="13">
        <f>(1+N64)/(1+MAX(N$2:N64))-1</f>
        <v>0</v>
      </c>
      <c r="P64" s="20">
        <v>5.1299999999999998E-2</v>
      </c>
      <c r="Q64" s="15">
        <f t="shared" si="49"/>
        <v>0.10272448668200029</v>
      </c>
      <c r="R64" s="15">
        <f t="shared" si="9"/>
        <v>1.1819036582706635</v>
      </c>
      <c r="S64" s="13">
        <f>(1+R64)/(1+MAX(R$2:R64))-1</f>
        <v>0</v>
      </c>
      <c r="T64" s="20">
        <v>3.6499999999999998E-2</v>
      </c>
      <c r="U64" s="15">
        <f t="shared" si="50"/>
        <v>3.4643058424999928E-2</v>
      </c>
      <c r="V64" s="15">
        <f t="shared" si="11"/>
        <v>0.15456461393328014</v>
      </c>
      <c r="W64" s="13">
        <f>(1+V64)/(1+MAX(V$2:V64))-1</f>
        <v>-2.7437269870991488E-2</v>
      </c>
      <c r="X64" s="20">
        <v>9.0999999999999998E-2</v>
      </c>
      <c r="Y64" s="15">
        <f t="shared" si="51"/>
        <v>0.22546091687000014</v>
      </c>
      <c r="Z64" s="15">
        <f t="shared" si="13"/>
        <v>0.73239656344261994</v>
      </c>
      <c r="AA64" s="13">
        <f>(1+Z64)/(1+MAX(Z$2:Z64))-1</f>
        <v>0</v>
      </c>
      <c r="AB64" s="124"/>
      <c r="AC64" s="20">
        <f t="shared" si="31"/>
        <v>4.1340000000000002E-2</v>
      </c>
      <c r="AD64" s="15">
        <f t="shared" si="52"/>
        <v>5.1017144868289011E-2</v>
      </c>
      <c r="AE64" s="15">
        <f t="shared" si="15"/>
        <v>0.4607765043606884</v>
      </c>
      <c r="AF64" s="15">
        <f>(1+AE64)/(1+MAX(AE$2:AE64))-1</f>
        <v>0</v>
      </c>
      <c r="AG64" s="58">
        <f t="shared" si="16"/>
        <v>1460.7765043606887</v>
      </c>
      <c r="AH64" s="137"/>
      <c r="AI64" s="70"/>
      <c r="AJ64" s="70"/>
      <c r="AK64" s="70"/>
      <c r="AL64" s="70"/>
      <c r="AM64" s="70"/>
      <c r="AN64" s="70"/>
      <c r="AO64" s="70"/>
      <c r="AP64" s="81"/>
      <c r="AQ64" s="81"/>
    </row>
    <row r="65" spans="1:43" s="61" customFormat="1" outlineLevel="1" x14ac:dyDescent="0.3">
      <c r="A65" s="61" t="s">
        <v>664</v>
      </c>
      <c r="B65" s="55" t="str">
        <f t="shared" si="0"/>
        <v>2021-4</v>
      </c>
      <c r="C65" s="121">
        <v>44287</v>
      </c>
      <c r="D65" s="20">
        <v>-2.1700000000000001E-2</v>
      </c>
      <c r="E65" s="15">
        <f t="shared" si="46"/>
        <v>6.2725556452978282E-3</v>
      </c>
      <c r="F65" s="15">
        <f t="shared" si="3"/>
        <v>0.32257557343998089</v>
      </c>
      <c r="G65" s="13">
        <f>(1+F65)/(1+MAX(F$2:F65))-1</f>
        <v>-2.1700000000000053E-2</v>
      </c>
      <c r="H65" s="20">
        <v>1.8E-3</v>
      </c>
      <c r="I65" s="15">
        <f t="shared" si="47"/>
        <v>-5.7383030270003244E-2</v>
      </c>
      <c r="J65" s="15">
        <f t="shared" si="5"/>
        <v>0.48519166264920743</v>
      </c>
      <c r="K65" s="13">
        <f>(1+J65)/(1+MAX(J$2:J65))-1</f>
        <v>-0.12536618811876232</v>
      </c>
      <c r="L65" s="20">
        <v>-3.09E-2</v>
      </c>
      <c r="M65" s="15">
        <f t="shared" si="48"/>
        <v>1.5816859492203905E-2</v>
      </c>
      <c r="N65" s="15">
        <f t="shared" si="7"/>
        <v>0.19707465173311944</v>
      </c>
      <c r="O65" s="13">
        <f>(1+N65)/(1+MAX(N$2:N65))-1</f>
        <v>-3.090000000000015E-2</v>
      </c>
      <c r="P65" s="20">
        <v>7.1000000000000004E-3</v>
      </c>
      <c r="Q65" s="15">
        <f t="shared" si="49"/>
        <v>0.11055383053744272</v>
      </c>
      <c r="R65" s="15">
        <f t="shared" si="9"/>
        <v>1.1973951742443854</v>
      </c>
      <c r="S65" s="13">
        <f>(1+R65)/(1+MAX(R$2:R65))-1</f>
        <v>0</v>
      </c>
      <c r="T65" s="20">
        <v>-2.0299999999999999E-2</v>
      </c>
      <c r="U65" s="15">
        <f t="shared" si="50"/>
        <v>1.3639804338972494E-2</v>
      </c>
      <c r="V65" s="15">
        <f t="shared" si="11"/>
        <v>0.13112695227043458</v>
      </c>
      <c r="W65" s="13">
        <f>(1+V65)/(1+MAX(V$2:V65))-1</f>
        <v>-4.7180293292610309E-2</v>
      </c>
      <c r="X65" s="20">
        <v>7.0000000000000001E-3</v>
      </c>
      <c r="Y65" s="15">
        <f t="shared" si="51"/>
        <v>0.23403914328808995</v>
      </c>
      <c r="Z65" s="15">
        <f t="shared" si="13"/>
        <v>0.74452333938671811</v>
      </c>
      <c r="AA65" s="13">
        <f>(1+Z65)/(1+MAX(Z$2:Z65))-1</f>
        <v>0</v>
      </c>
      <c r="AB65" s="124"/>
      <c r="AC65" s="20">
        <f t="shared" si="31"/>
        <v>-1.3005000000000003E-2</v>
      </c>
      <c r="AD65" s="15">
        <f t="shared" si="52"/>
        <v>3.734866689927685E-2</v>
      </c>
      <c r="AE65" s="15">
        <f t="shared" si="15"/>
        <v>0.44177910592147751</v>
      </c>
      <c r="AF65" s="15">
        <f>(1+AE65)/(1+MAX(AE$2:AE65))-1</f>
        <v>-1.3005000000000044E-2</v>
      </c>
      <c r="AG65" s="58">
        <f t="shared" si="16"/>
        <v>1441.7791059214778</v>
      </c>
      <c r="AH65" s="137"/>
      <c r="AI65" s="70"/>
      <c r="AJ65" s="70"/>
      <c r="AK65" s="70"/>
      <c r="AL65" s="70"/>
      <c r="AM65" s="70"/>
      <c r="AN65" s="70"/>
      <c r="AO65" s="70"/>
      <c r="AP65" s="81"/>
      <c r="AQ65" s="81"/>
    </row>
    <row r="66" spans="1:43" s="61" customFormat="1" outlineLevel="1" x14ac:dyDescent="0.3">
      <c r="A66" s="61" t="s">
        <v>664</v>
      </c>
      <c r="B66" s="55" t="str">
        <f t="shared" ref="B66:B121" si="53">YEAR(C66)&amp;"-"&amp;MONTH(C66)</f>
        <v>2021-5</v>
      </c>
      <c r="C66" s="121">
        <v>44317</v>
      </c>
      <c r="D66" s="20">
        <v>1.2999999999999999E-3</v>
      </c>
      <c r="E66" s="15">
        <f t="shared" si="46"/>
        <v>7.5807099676368228E-3</v>
      </c>
      <c r="F66" s="15">
        <f t="shared" si="3"/>
        <v>0.32429492168545293</v>
      </c>
      <c r="G66" s="13">
        <f>(1+F66)/(1+MAX(F$2:F66))-1</f>
        <v>-2.0428210000000058E-2</v>
      </c>
      <c r="H66" s="20">
        <v>7.0099999999999996E-2</v>
      </c>
      <c r="I66" s="15">
        <f t="shared" si="47"/>
        <v>8.6944193080695786E-3</v>
      </c>
      <c r="J66" s="15">
        <f t="shared" si="5"/>
        <v>0.58930359820091693</v>
      </c>
      <c r="K66" s="13">
        <f>(1+J66)/(1+MAX(J$2:J66))-1</f>
        <v>-6.4054357905887538E-2</v>
      </c>
      <c r="L66" s="20">
        <v>-3.8999999999999998E-3</v>
      </c>
      <c r="M66" s="15">
        <f t="shared" si="48"/>
        <v>1.1855173740184188E-2</v>
      </c>
      <c r="N66" s="15">
        <f t="shared" si="7"/>
        <v>0.19240606059136023</v>
      </c>
      <c r="O66" s="13">
        <f>(1+N66)/(1+MAX(N$2:N66))-1</f>
        <v>-3.4679490000000146E-2</v>
      </c>
      <c r="P66" s="20">
        <v>8.3000000000000001E-3</v>
      </c>
      <c r="Q66" s="15">
        <f t="shared" si="49"/>
        <v>0.1197714273309034</v>
      </c>
      <c r="R66" s="15">
        <f t="shared" si="9"/>
        <v>1.2156335541906138</v>
      </c>
      <c r="S66" s="13">
        <f>(1+R66)/(1+MAX(R$2:R66))-1</f>
        <v>0</v>
      </c>
      <c r="T66" s="20">
        <v>4.3E-3</v>
      </c>
      <c r="U66" s="15">
        <f t="shared" si="50"/>
        <v>1.7998455497630017E-2</v>
      </c>
      <c r="V66" s="15">
        <f t="shared" si="11"/>
        <v>0.13599079816519732</v>
      </c>
      <c r="W66" s="13">
        <f>(1+V66)/(1+MAX(V$2:V66))-1</f>
        <v>-4.3083168553768703E-2</v>
      </c>
      <c r="X66" s="20">
        <v>1.5900000000000001E-2</v>
      </c>
      <c r="Y66" s="15">
        <f t="shared" si="51"/>
        <v>0.25366036566637051</v>
      </c>
      <c r="Z66" s="15">
        <f t="shared" si="13"/>
        <v>0.77226126048296706</v>
      </c>
      <c r="AA66" s="13">
        <f>(1+Z66)/(1+MAX(Z$2:Z66))-1</f>
        <v>0</v>
      </c>
      <c r="AB66" s="124"/>
      <c r="AC66" s="20">
        <f t="shared" ref="AC66:AC97" si="54">D66*$E$1+H66*$I$1+L66*$M$1+P66*$Q$1+T66*$U$1+X66*$Y$1</f>
        <v>1.3429999999999997E-2</v>
      </c>
      <c r="AD66" s="15">
        <f t="shared" si="52"/>
        <v>5.1280259495734226E-2</v>
      </c>
      <c r="AE66" s="15">
        <f t="shared" si="15"/>
        <v>0.46114219931400302</v>
      </c>
      <c r="AF66" s="15">
        <f>(1+AE66)/(1+MAX(AE$2:AE66))-1</f>
        <v>0</v>
      </c>
      <c r="AG66" s="58">
        <f t="shared" si="16"/>
        <v>1461.1421993140034</v>
      </c>
      <c r="AH66" s="137"/>
      <c r="AI66" s="70"/>
      <c r="AJ66" s="70"/>
      <c r="AK66" s="70"/>
      <c r="AL66" s="70"/>
      <c r="AM66" s="70"/>
      <c r="AN66" s="70"/>
      <c r="AO66" s="70"/>
      <c r="AP66" s="81"/>
      <c r="AQ66" s="81"/>
    </row>
    <row r="67" spans="1:43" s="61" customFormat="1" outlineLevel="1" x14ac:dyDescent="0.3">
      <c r="A67" s="61" t="s">
        <v>664</v>
      </c>
      <c r="B67" s="55" t="str">
        <f t="shared" si="53"/>
        <v>2021-6</v>
      </c>
      <c r="C67" s="121">
        <v>44348</v>
      </c>
      <c r="D67" s="20">
        <v>3.0499999999999999E-2</v>
      </c>
      <c r="E67" s="15">
        <f t="shared" si="46"/>
        <v>3.8311921621649647E-2</v>
      </c>
      <c r="F67" s="15">
        <f t="shared" ref="F67:F73" si="55">+(1+D67)*(1+F66)-1</f>
        <v>0.36468591679685924</v>
      </c>
      <c r="G67" s="13">
        <f>(1+F67)/(1+MAX(F$2:F67))-1</f>
        <v>0</v>
      </c>
      <c r="H67" s="20">
        <v>-4.7600000000000003E-2</v>
      </c>
      <c r="I67" s="15">
        <f t="shared" si="47"/>
        <v>-3.9319435050994556E-2</v>
      </c>
      <c r="J67" s="15">
        <f t="shared" ref="J67:J73" si="56">+(1+H67)*(1+J66)-1</f>
        <v>0.51365274692655327</v>
      </c>
      <c r="K67" s="13">
        <f>(1+J67)/(1+MAX(J$2:J67))-1</f>
        <v>-0.1086053704695672</v>
      </c>
      <c r="L67" s="20">
        <v>2.2800000000000001E-2</v>
      </c>
      <c r="M67" s="15">
        <f t="shared" si="48"/>
        <v>3.4925471701460209E-2</v>
      </c>
      <c r="N67" s="15">
        <f t="shared" ref="N67:N73" si="57">+(1+L67)*(1+N66)-1</f>
        <v>0.21959291877284315</v>
      </c>
      <c r="O67" s="13">
        <f>(1+N67)/(1+MAX(N$2:N67))-1</f>
        <v>-1.2670182372000238E-2</v>
      </c>
      <c r="P67" s="20">
        <v>3.5900000000000001E-2</v>
      </c>
      <c r="Q67" s="15">
        <f t="shared" si="49"/>
        <v>0.15997122157208299</v>
      </c>
      <c r="R67" s="15">
        <f t="shared" ref="R67:R73" si="58">+(1+P67)*(1+R66)-1</f>
        <v>1.2951747987860571</v>
      </c>
      <c r="S67" s="13">
        <f>(1+R67)/(1+MAX(R$2:R67))-1</f>
        <v>0</v>
      </c>
      <c r="T67" s="20">
        <v>3.1800000000000002E-2</v>
      </c>
      <c r="U67" s="15">
        <f t="shared" si="50"/>
        <v>5.0370806382454614E-2</v>
      </c>
      <c r="V67" s="15">
        <f t="shared" ref="V67:V73" si="59">+(1+T67)*(1+V66)-1</f>
        <v>0.17211530554685073</v>
      </c>
      <c r="W67" s="13">
        <f>(1+V67)/(1+MAX(V$2:V67))-1</f>
        <v>-1.2653213313778444E-2</v>
      </c>
      <c r="X67" s="20">
        <v>1.49E-2</v>
      </c>
      <c r="Y67" s="15">
        <f t="shared" si="51"/>
        <v>0.27233990511479922</v>
      </c>
      <c r="Z67" s="15">
        <f t="shared" ref="Z67:Z73" si="60">+(1+X67)*(1+Z66)-1</f>
        <v>0.79866795326416318</v>
      </c>
      <c r="AA67" s="13">
        <f>(1+Z67)/(1+MAX(Z$2:Z67))-1</f>
        <v>0</v>
      </c>
      <c r="AB67" s="124"/>
      <c r="AC67" s="20">
        <f t="shared" si="54"/>
        <v>1.6370000000000003E-2</v>
      </c>
      <c r="AD67" s="15">
        <f t="shared" si="52"/>
        <v>6.8489717343679368E-2</v>
      </c>
      <c r="AE67" s="15">
        <f t="shared" ref="AE67:AE73" si="61">+(1+AC67)*(1+AE66)-1</f>
        <v>0.48506109711677325</v>
      </c>
      <c r="AF67" s="15">
        <f>(1+AE67)/(1+MAX(AE$2:AE67))-1</f>
        <v>0</v>
      </c>
      <c r="AG67" s="58">
        <f t="shared" si="16"/>
        <v>1485.0610971167737</v>
      </c>
      <c r="AH67" s="137"/>
      <c r="AI67" s="70"/>
      <c r="AJ67" s="70"/>
      <c r="AK67" s="70"/>
      <c r="AL67" s="70"/>
      <c r="AM67" s="70"/>
      <c r="AN67" s="70"/>
      <c r="AO67" s="70"/>
      <c r="AP67" s="81"/>
      <c r="AQ67" s="81"/>
    </row>
    <row r="68" spans="1:43" s="61" customFormat="1" outlineLevel="1" x14ac:dyDescent="0.3">
      <c r="A68" s="61" t="s">
        <v>664</v>
      </c>
      <c r="B68" s="55" t="str">
        <f t="shared" si="53"/>
        <v>2021-7</v>
      </c>
      <c r="C68" s="121">
        <v>44378</v>
      </c>
      <c r="D68" s="20">
        <v>4.8999999999999998E-3</v>
      </c>
      <c r="E68" s="15">
        <f t="shared" si="46"/>
        <v>4.3399650037595716E-2</v>
      </c>
      <c r="F68" s="15">
        <f t="shared" si="55"/>
        <v>0.37137287778916361</v>
      </c>
      <c r="G68" s="13">
        <f>(1+F68)/(1+MAX(F$2:F68))-1</f>
        <v>0</v>
      </c>
      <c r="H68" s="20">
        <v>2.5999999999999999E-2</v>
      </c>
      <c r="I68" s="15">
        <f t="shared" si="47"/>
        <v>-1.4341740362320388E-2</v>
      </c>
      <c r="J68" s="15">
        <f t="shared" si="56"/>
        <v>0.55300771834664375</v>
      </c>
      <c r="K68" s="13">
        <f>(1+J68)/(1+MAX(J$2:J68))-1</f>
        <v>-8.5429110101775896E-2</v>
      </c>
      <c r="L68" s="20">
        <v>2.3E-3</v>
      </c>
      <c r="M68" s="15">
        <f t="shared" si="48"/>
        <v>3.7305800286373536E-2</v>
      </c>
      <c r="N68" s="15">
        <f t="shared" si="57"/>
        <v>0.22239798248602072</v>
      </c>
      <c r="O68" s="13">
        <f>(1+N68)/(1+MAX(N$2:N68))-1</f>
        <v>-1.0399323791455806E-2</v>
      </c>
      <c r="P68" s="20">
        <v>2.8999999999999998E-3</v>
      </c>
      <c r="Q68" s="15">
        <f t="shared" si="49"/>
        <v>0.16333513811464195</v>
      </c>
      <c r="R68" s="15">
        <f t="shared" si="58"/>
        <v>1.3018308057025365</v>
      </c>
      <c r="S68" s="13">
        <f>(1+R68)/(1+MAX(R$2:R68))-1</f>
        <v>0</v>
      </c>
      <c r="T68" s="20">
        <v>2.63E-2</v>
      </c>
      <c r="U68" s="15">
        <f t="shared" si="50"/>
        <v>7.7995558590313152E-2</v>
      </c>
      <c r="V68" s="15">
        <f t="shared" si="59"/>
        <v>0.20294193808273286</v>
      </c>
      <c r="W68" s="13">
        <f>(1+V68)/(1+MAX(V$2:V68))-1</f>
        <v>0</v>
      </c>
      <c r="X68" s="20">
        <v>-1.5699999999999999E-2</v>
      </c>
      <c r="Y68" s="15">
        <f t="shared" si="51"/>
        <v>0.25236416860449684</v>
      </c>
      <c r="Z68" s="15">
        <f t="shared" si="60"/>
        <v>0.77042886639791575</v>
      </c>
      <c r="AA68" s="13">
        <f>(1+Z68)/(1+MAX(Z$2:Z68))-1</f>
        <v>-1.5700000000000047E-2</v>
      </c>
      <c r="AB68" s="124"/>
      <c r="AC68" s="20">
        <f t="shared" si="54"/>
        <v>9.3350000000000013E-3</v>
      </c>
      <c r="AD68" s="15">
        <f t="shared" si="52"/>
        <v>7.8464068855082614E-2</v>
      </c>
      <c r="AE68" s="15">
        <f t="shared" si="61"/>
        <v>0.49892414245835837</v>
      </c>
      <c r="AF68" s="15">
        <f>(1+AE68)/(1+MAX(AE$2:AE68))-1</f>
        <v>0</v>
      </c>
      <c r="AG68" s="58">
        <f t="shared" ref="AG68:AG73" si="62">AG67*(1+AC68)</f>
        <v>1498.9241424583588</v>
      </c>
      <c r="AH68" s="137"/>
      <c r="AI68" s="70"/>
      <c r="AJ68" s="70"/>
      <c r="AK68" s="70"/>
      <c r="AL68" s="70"/>
      <c r="AM68" s="70"/>
      <c r="AN68" s="70"/>
      <c r="AO68" s="70"/>
      <c r="AP68" s="81"/>
      <c r="AQ68" s="81"/>
    </row>
    <row r="69" spans="1:43" s="61" customFormat="1" outlineLevel="1" x14ac:dyDescent="0.3">
      <c r="A69" s="61" t="s">
        <v>664</v>
      </c>
      <c r="B69" s="55" t="str">
        <f t="shared" si="53"/>
        <v>2021-8</v>
      </c>
      <c r="C69" s="121">
        <v>44409</v>
      </c>
      <c r="D69" s="20">
        <v>9.7999999999999997E-3</v>
      </c>
      <c r="E69" s="15">
        <f t="shared" si="46"/>
        <v>5.3624966607964231E-2</v>
      </c>
      <c r="F69" s="15">
        <f t="shared" si="55"/>
        <v>0.38481233199149756</v>
      </c>
      <c r="G69" s="13">
        <f>(1+F69)/(1+MAX(F$2:F69))-1</f>
        <v>0</v>
      </c>
      <c r="H69" s="20">
        <v>7.3000000000000001E-3</v>
      </c>
      <c r="I69" s="15">
        <f t="shared" si="47"/>
        <v>-7.1464350669652177E-3</v>
      </c>
      <c r="J69" s="15">
        <f t="shared" si="56"/>
        <v>0.56434467469057448</v>
      </c>
      <c r="K69" s="13">
        <f>(1+J69)/(1+MAX(J$2:J69))-1</f>
        <v>-7.8752742605518788E-2</v>
      </c>
      <c r="L69" s="20">
        <v>7.7999999999999996E-3</v>
      </c>
      <c r="M69" s="15">
        <f t="shared" si="48"/>
        <v>4.5396785528607264E-2</v>
      </c>
      <c r="N69" s="15">
        <f t="shared" si="57"/>
        <v>0.23193268674941181</v>
      </c>
      <c r="O69" s="13">
        <f>(1+N69)/(1+MAX(N$2:N69))-1</f>
        <v>-2.6804385170290379E-3</v>
      </c>
      <c r="P69" s="20">
        <v>2.6200000000000001E-2</v>
      </c>
      <c r="Q69" s="15">
        <f t="shared" si="49"/>
        <v>0.19381451873324562</v>
      </c>
      <c r="R69" s="15">
        <f t="shared" si="58"/>
        <v>1.3621387728119432</v>
      </c>
      <c r="S69" s="13">
        <f>(1+R69)/(1+MAX(R$2:R69))-1</f>
        <v>0</v>
      </c>
      <c r="T69" s="20">
        <v>6.7999999999999996E-3</v>
      </c>
      <c r="U69" s="15">
        <f t="shared" si="50"/>
        <v>8.5325928388727101E-2</v>
      </c>
      <c r="V69" s="15">
        <f t="shared" si="59"/>
        <v>0.21112194326169531</v>
      </c>
      <c r="W69" s="13">
        <f>(1+V69)/(1+MAX(V$2:V69))-1</f>
        <v>0</v>
      </c>
      <c r="X69" s="20">
        <v>2.92E-2</v>
      </c>
      <c r="Y69" s="15">
        <f t="shared" si="51"/>
        <v>0.288933202327748</v>
      </c>
      <c r="Z69" s="15">
        <f t="shared" si="60"/>
        <v>0.82212538929673462</v>
      </c>
      <c r="AA69" s="13">
        <f>(1+Z69)/(1+MAX(Z$2:Z69))-1</f>
        <v>0</v>
      </c>
      <c r="AB69" s="124"/>
      <c r="AC69" s="20">
        <f t="shared" si="54"/>
        <v>1.2725000000000002E-2</v>
      </c>
      <c r="AD69" s="15">
        <f t="shared" si="52"/>
        <v>9.2187524131263743E-2</v>
      </c>
      <c r="AE69" s="15">
        <f t="shared" si="61"/>
        <v>0.51799795217114109</v>
      </c>
      <c r="AF69" s="15">
        <f>(1+AE69)/(1+MAX(AE$2:AE69))-1</f>
        <v>0</v>
      </c>
      <c r="AG69" s="58">
        <f t="shared" si="62"/>
        <v>1517.9979521711416</v>
      </c>
      <c r="AH69" s="137"/>
      <c r="AI69" s="70"/>
      <c r="AJ69" s="70"/>
      <c r="AK69" s="70"/>
      <c r="AL69" s="70"/>
      <c r="AM69" s="70"/>
      <c r="AN69" s="70"/>
      <c r="AO69" s="70"/>
      <c r="AP69" s="81"/>
      <c r="AQ69" s="81"/>
    </row>
    <row r="70" spans="1:43" s="61" customFormat="1" outlineLevel="1" x14ac:dyDescent="0.3">
      <c r="A70" s="61" t="s">
        <v>664</v>
      </c>
      <c r="B70" s="55" t="str">
        <f t="shared" si="53"/>
        <v>2021-9</v>
      </c>
      <c r="C70" s="121">
        <v>44440</v>
      </c>
      <c r="D70" s="20">
        <v>9.1999999999999998E-3</v>
      </c>
      <c r="E70" s="15">
        <f t="shared" si="46"/>
        <v>6.3318316300757571E-2</v>
      </c>
      <c r="F70" s="15">
        <f t="shared" si="55"/>
        <v>0.39755260544581938</v>
      </c>
      <c r="G70" s="13">
        <f>(1+F70)/(1+MAX(F$2:F70))-1</f>
        <v>0</v>
      </c>
      <c r="H70" s="20">
        <v>-1.61E-2</v>
      </c>
      <c r="I70" s="15">
        <f t="shared" si="47"/>
        <v>-2.3131377462387026E-2</v>
      </c>
      <c r="J70" s="15">
        <f t="shared" si="56"/>
        <v>0.53915872542805632</v>
      </c>
      <c r="K70" s="13">
        <f>(1+J70)/(1+MAX(J$2:J70))-1</f>
        <v>-9.3584823449569865E-2</v>
      </c>
      <c r="L70" s="20">
        <v>1.55E-2</v>
      </c>
      <c r="M70" s="15">
        <f t="shared" si="48"/>
        <v>6.1600435704300738E-2</v>
      </c>
      <c r="N70" s="15">
        <f t="shared" si="57"/>
        <v>0.25102764339402772</v>
      </c>
      <c r="O70" s="13">
        <f>(1+N70)/(1+MAX(N$2:N70))-1</f>
        <v>0</v>
      </c>
      <c r="P70" s="20">
        <v>-2.4500000000000001E-2</v>
      </c>
      <c r="Q70" s="15">
        <f t="shared" si="49"/>
        <v>0.16456606302428112</v>
      </c>
      <c r="R70" s="15">
        <f t="shared" si="58"/>
        <v>1.3042663728780508</v>
      </c>
      <c r="S70" s="13">
        <f>(1+R70)/(1+MAX(R$2:R70))-1</f>
        <v>-2.4499999999999855E-2</v>
      </c>
      <c r="T70" s="20">
        <v>8.9999999999999993E-3</v>
      </c>
      <c r="U70" s="15">
        <f t="shared" si="50"/>
        <v>9.5093861744225627E-2</v>
      </c>
      <c r="V70" s="15">
        <f t="shared" si="59"/>
        <v>0.22202204075105048</v>
      </c>
      <c r="W70" s="13">
        <f>(1+V70)/(1+MAX(V$2:V70))-1</f>
        <v>0</v>
      </c>
      <c r="X70" s="20">
        <v>-9.4000000000000004E-3</v>
      </c>
      <c r="Y70" s="15">
        <f t="shared" si="51"/>
        <v>0.27681723022586713</v>
      </c>
      <c r="Z70" s="15">
        <f t="shared" si="60"/>
        <v>0.80499741063734542</v>
      </c>
      <c r="AA70" s="13">
        <f>(1+Z70)/(1+MAX(Z$2:Z70))-1</f>
        <v>-9.3999999999999639E-3</v>
      </c>
      <c r="AB70" s="124"/>
      <c r="AC70" s="20">
        <f t="shared" si="54"/>
        <v>2.4999999999999632E-5</v>
      </c>
      <c r="AD70" s="15">
        <f t="shared" si="52"/>
        <v>9.2214828819366934E-2</v>
      </c>
      <c r="AE70" s="15">
        <f t="shared" si="61"/>
        <v>0.51803590211994521</v>
      </c>
      <c r="AF70" s="15">
        <f>(1+AE70)/(1+MAX(AE$2:AE70))-1</f>
        <v>0</v>
      </c>
      <c r="AG70" s="58">
        <f t="shared" si="62"/>
        <v>1518.0359021199458</v>
      </c>
      <c r="AH70" s="137"/>
      <c r="AI70" s="70"/>
      <c r="AJ70" s="70"/>
      <c r="AK70" s="70"/>
      <c r="AL70" s="70"/>
      <c r="AM70" s="70"/>
      <c r="AN70" s="70"/>
      <c r="AO70" s="70"/>
      <c r="AP70" s="81"/>
      <c r="AQ70" s="81"/>
    </row>
    <row r="71" spans="1:43" s="61" customFormat="1" outlineLevel="1" x14ac:dyDescent="0.3">
      <c r="A71" s="61" t="s">
        <v>664</v>
      </c>
      <c r="B71" s="55" t="str">
        <f t="shared" si="53"/>
        <v>2021-10</v>
      </c>
      <c r="C71" s="121">
        <v>44470</v>
      </c>
      <c r="D71" s="20">
        <v>-1.12E-2</v>
      </c>
      <c r="E71" s="15">
        <f t="shared" si="46"/>
        <v>5.1409151158189115E-2</v>
      </c>
      <c r="F71" s="15">
        <f t="shared" si="55"/>
        <v>0.38190001626482628</v>
      </c>
      <c r="G71" s="13">
        <f>(1+F71)/(1+MAX(F$2:F71))-1</f>
        <v>-1.1199999999999988E-2</v>
      </c>
      <c r="H71" s="20">
        <v>8.3999999999999995E-3</v>
      </c>
      <c r="I71" s="15">
        <f t="shared" si="47"/>
        <v>-1.4925681033071125E-2</v>
      </c>
      <c r="J71" s="15">
        <f t="shared" si="56"/>
        <v>0.55208765872165189</v>
      </c>
      <c r="K71" s="13">
        <f>(1+J71)/(1+MAX(J$2:J71))-1</f>
        <v>-8.5970935966546369E-2</v>
      </c>
      <c r="L71" s="20">
        <v>-1.04E-2</v>
      </c>
      <c r="M71" s="15">
        <f t="shared" si="48"/>
        <v>5.0559791172976043E-2</v>
      </c>
      <c r="N71" s="15">
        <f t="shared" si="57"/>
        <v>0.23801695590272987</v>
      </c>
      <c r="O71" s="13">
        <f>(1+N71)/(1+MAX(N$2:N71))-1</f>
        <v>-1.0399999999999965E-2</v>
      </c>
      <c r="P71" s="20">
        <v>4.6300000000000001E-2</v>
      </c>
      <c r="Q71" s="15">
        <f t="shared" si="49"/>
        <v>0.21848547174230526</v>
      </c>
      <c r="R71" s="15">
        <f t="shared" si="58"/>
        <v>1.4109539059423044</v>
      </c>
      <c r="S71" s="13">
        <f>(1+R71)/(1+MAX(R$2:R71))-1</f>
        <v>0</v>
      </c>
      <c r="T71" s="20">
        <v>4.0000000000000001E-3</v>
      </c>
      <c r="U71" s="15">
        <f t="shared" si="50"/>
        <v>9.9474237191202519E-2</v>
      </c>
      <c r="V71" s="15">
        <f t="shared" si="59"/>
        <v>0.22691012891405471</v>
      </c>
      <c r="W71" s="13">
        <f>(1+V71)/(1+MAX(V$2:V71))-1</f>
        <v>0</v>
      </c>
      <c r="X71" s="20">
        <v>3.8100000000000002E-2</v>
      </c>
      <c r="Y71" s="15">
        <f t="shared" si="51"/>
        <v>0.3254639666974728</v>
      </c>
      <c r="Z71" s="15">
        <f t="shared" si="60"/>
        <v>0.87376781198262843</v>
      </c>
      <c r="AA71" s="13">
        <f>(1+Z71)/(1+MAX(Z$2:Z71))-1</f>
        <v>0</v>
      </c>
      <c r="AB71" s="124"/>
      <c r="AC71" s="20">
        <f t="shared" si="54"/>
        <v>8.5350000000000009E-3</v>
      </c>
      <c r="AD71" s="15">
        <f t="shared" si="52"/>
        <v>0.10153688238334024</v>
      </c>
      <c r="AE71" s="15">
        <f t="shared" si="61"/>
        <v>0.53099233854453898</v>
      </c>
      <c r="AF71" s="15">
        <f>(1+AE71)/(1+MAX(AE$2:AE71))-1</f>
        <v>0</v>
      </c>
      <c r="AG71" s="58">
        <f t="shared" si="62"/>
        <v>1530.9923385445395</v>
      </c>
      <c r="AH71" s="137"/>
      <c r="AI71" s="70"/>
      <c r="AJ71" s="70"/>
      <c r="AK71" s="70"/>
      <c r="AL71" s="70"/>
      <c r="AM71" s="70"/>
      <c r="AN71" s="70"/>
      <c r="AO71" s="70"/>
      <c r="AP71" s="81"/>
      <c r="AQ71" s="81"/>
    </row>
    <row r="72" spans="1:43" s="61" customFormat="1" outlineLevel="1" x14ac:dyDescent="0.3">
      <c r="A72" s="61" t="s">
        <v>664</v>
      </c>
      <c r="B72" s="55" t="str">
        <f t="shared" si="53"/>
        <v>2021-11</v>
      </c>
      <c r="C72" s="121">
        <v>44501</v>
      </c>
      <c r="D72" s="20">
        <v>2.06E-2</v>
      </c>
      <c r="E72" s="15">
        <f t="shared" si="46"/>
        <v>7.3068179672047817E-2</v>
      </c>
      <c r="F72" s="15">
        <f t="shared" si="55"/>
        <v>0.41036715659988166</v>
      </c>
      <c r="G72" s="13">
        <f>(1+F72)/(1+MAX(F$2:F72))-1</f>
        <v>0</v>
      </c>
      <c r="H72" s="20">
        <v>2.69E-2</v>
      </c>
      <c r="I72" s="15">
        <f t="shared" si="47"/>
        <v>1.1572818147139285E-2</v>
      </c>
      <c r="J72" s="15">
        <f t="shared" si="56"/>
        <v>0.59383881674126426</v>
      </c>
      <c r="K72" s="13">
        <f>(1+J72)/(1+MAX(J$2:J72))-1</f>
        <v>-6.1383554144046504E-2</v>
      </c>
      <c r="L72" s="20">
        <v>3.2899999999999999E-2</v>
      </c>
      <c r="M72" s="15">
        <f t="shared" si="48"/>
        <v>8.5123208302566811E-2</v>
      </c>
      <c r="N72" s="15">
        <f t="shared" si="57"/>
        <v>0.27874771375192964</v>
      </c>
      <c r="O72" s="13">
        <f>(1+N72)/(1+MAX(N$2:N72))-1</f>
        <v>0</v>
      </c>
      <c r="P72" s="20">
        <v>-1.18E-2</v>
      </c>
      <c r="Q72" s="15">
        <f t="shared" si="49"/>
        <v>0.20410734317574608</v>
      </c>
      <c r="R72" s="15">
        <f t="shared" si="58"/>
        <v>1.3825046498521854</v>
      </c>
      <c r="S72" s="13">
        <f>(1+R72)/(1+MAX(R$2:R72))-1</f>
        <v>-1.1799999999999922E-2</v>
      </c>
      <c r="T72" s="20">
        <v>4.4499999999999998E-2</v>
      </c>
      <c r="U72" s="15">
        <f t="shared" si="50"/>
        <v>0.14840084074621096</v>
      </c>
      <c r="V72" s="15">
        <f t="shared" si="59"/>
        <v>0.28150762965073017</v>
      </c>
      <c r="W72" s="13">
        <f>(1+V72)/(1+MAX(V$2:V72))-1</f>
        <v>0</v>
      </c>
      <c r="X72" s="20">
        <v>3.8E-3</v>
      </c>
      <c r="Y72" s="15">
        <f t="shared" si="51"/>
        <v>0.33050072977092326</v>
      </c>
      <c r="Z72" s="15">
        <f t="shared" si="60"/>
        <v>0.88088812966816255</v>
      </c>
      <c r="AA72" s="13">
        <f>(1+Z72)/(1+MAX(Z$2:Z72))-1</f>
        <v>0</v>
      </c>
      <c r="AB72" s="124"/>
      <c r="AC72" s="20">
        <f t="shared" si="54"/>
        <v>2.2859999999999998E-2</v>
      </c>
      <c r="AD72" s="15">
        <f t="shared" si="52"/>
        <v>0.12671801551462347</v>
      </c>
      <c r="AE72" s="15">
        <f t="shared" si="61"/>
        <v>0.56599082340366724</v>
      </c>
      <c r="AF72" s="15">
        <f>(1+AE72)/(1+MAX(AE$2:AE72))-1</f>
        <v>0</v>
      </c>
      <c r="AG72" s="58">
        <f t="shared" si="62"/>
        <v>1565.9908234036679</v>
      </c>
      <c r="AH72" s="137"/>
      <c r="AI72" s="70"/>
      <c r="AJ72" s="70"/>
      <c r="AK72" s="70"/>
      <c r="AL72" s="70"/>
      <c r="AM72" s="70"/>
      <c r="AN72" s="70"/>
      <c r="AO72" s="70"/>
      <c r="AP72" s="81"/>
      <c r="AQ72" s="81"/>
    </row>
    <row r="73" spans="1:43" s="27" customFormat="1" ht="15" thickBot="1" x14ac:dyDescent="0.35">
      <c r="A73" s="27" t="s">
        <v>664</v>
      </c>
      <c r="B73" s="63" t="str">
        <f t="shared" si="53"/>
        <v>2021-12</v>
      </c>
      <c r="C73" s="122">
        <v>44531</v>
      </c>
      <c r="D73" s="32">
        <v>1.7500000000000002E-2</v>
      </c>
      <c r="E73" s="25">
        <f t="shared" si="46"/>
        <v>9.1846872816308656E-2</v>
      </c>
      <c r="F73" s="25">
        <f t="shared" si="55"/>
        <v>0.43504858184037976</v>
      </c>
      <c r="G73" s="26">
        <f>(1+F73)/(1+MAX(F$2:F73))-1</f>
        <v>0</v>
      </c>
      <c r="H73" s="32">
        <v>3.0700000000000002E-2</v>
      </c>
      <c r="I73" s="25">
        <f t="shared" si="47"/>
        <v>4.26281036642564E-2</v>
      </c>
      <c r="J73" s="25">
        <f t="shared" si="56"/>
        <v>0.6427696684152211</v>
      </c>
      <c r="K73" s="26">
        <f>(1+J73)/(1+MAX(J$2:J73))-1</f>
        <v>-3.2568029256268671E-2</v>
      </c>
      <c r="L73" s="32">
        <v>-2.8999999999999998E-3</v>
      </c>
      <c r="M73" s="25">
        <f t="shared" si="48"/>
        <v>8.1976350998489433E-2</v>
      </c>
      <c r="N73" s="25">
        <f t="shared" si="57"/>
        <v>0.27503934538204899</v>
      </c>
      <c r="O73" s="26">
        <f>(1+N73)/(1+MAX(N$2:N73))-1</f>
        <v>-2.9000000000000137E-3</v>
      </c>
      <c r="P73" s="32">
        <v>0.13539999999999999</v>
      </c>
      <c r="Q73" s="25">
        <f t="shared" si="49"/>
        <v>0.36714347744174214</v>
      </c>
      <c r="R73" s="25">
        <f t="shared" si="58"/>
        <v>1.7050957794421713</v>
      </c>
      <c r="S73" s="26">
        <f>(1+R73)/(1+MAX(R$2:R73))-1</f>
        <v>0</v>
      </c>
      <c r="T73" s="32">
        <v>-1.1999999999999999E-3</v>
      </c>
      <c r="U73" s="25">
        <f t="shared" si="50"/>
        <v>0.14702275973731549</v>
      </c>
      <c r="V73" s="25">
        <f t="shared" si="59"/>
        <v>0.27996982049514929</v>
      </c>
      <c r="W73" s="26">
        <f>(1+V73)/(1+MAX(V$2:V73))-1</f>
        <v>-1.1999999999999789E-3</v>
      </c>
      <c r="X73" s="32">
        <v>4.5900000000000003E-2</v>
      </c>
      <c r="Y73" s="25">
        <f t="shared" si="51"/>
        <v>0.39157071326740867</v>
      </c>
      <c r="Z73" s="25">
        <f t="shared" si="60"/>
        <v>0.96722089481993123</v>
      </c>
      <c r="AA73" s="26">
        <f>(1+Z73)/(1+MAX(Z$2:Z73))-1</f>
        <v>0</v>
      </c>
      <c r="AB73" s="125"/>
      <c r="AC73" s="20">
        <f t="shared" si="54"/>
        <v>3.1164999999999998E-2</v>
      </c>
      <c r="AD73" s="25">
        <f t="shared" si="52"/>
        <v>0.1618321824681368</v>
      </c>
      <c r="AE73" s="25">
        <f t="shared" si="61"/>
        <v>0.6147949274150426</v>
      </c>
      <c r="AF73" s="25">
        <f>(1+AE73)/(1+MAX(AE$2:AE73))-1</f>
        <v>0</v>
      </c>
      <c r="AG73" s="66">
        <f t="shared" si="62"/>
        <v>1614.7949274150435</v>
      </c>
      <c r="AH73" s="138"/>
      <c r="AI73" s="139"/>
      <c r="AJ73" s="139"/>
      <c r="AK73" s="139"/>
      <c r="AL73" s="139"/>
      <c r="AM73" s="139"/>
      <c r="AN73" s="139"/>
      <c r="AO73" s="139"/>
      <c r="AP73" s="78"/>
      <c r="AQ73" s="78"/>
    </row>
    <row r="74" spans="1:43" s="54" customFormat="1" outlineLevel="1" x14ac:dyDescent="0.3">
      <c r="A74" s="54" t="s">
        <v>664</v>
      </c>
      <c r="B74" s="48" t="str">
        <f t="shared" si="53"/>
        <v>2022-1</v>
      </c>
      <c r="C74" s="120">
        <v>44562</v>
      </c>
      <c r="D74" s="10">
        <v>-2.0999999999999999E-3</v>
      </c>
      <c r="E74" s="5">
        <f>+D74</f>
        <v>-2.0999999999999999E-3</v>
      </c>
      <c r="F74" s="5">
        <f t="shared" ref="F74:F86" si="63">+(1+D74)*(1+F73)-1</f>
        <v>0.43203497981851502</v>
      </c>
      <c r="G74" s="3">
        <f>(1+F74)/(1+MAX(F$2:F74))-1</f>
        <v>-2.0999999999999908E-3</v>
      </c>
      <c r="H74" s="10">
        <v>-1.6999999999999999E-3</v>
      </c>
      <c r="I74" s="5">
        <f>+H74</f>
        <v>-1.6999999999999999E-3</v>
      </c>
      <c r="J74" s="5">
        <f t="shared" ref="J74:J119" si="64">+(1+H74)*(1+J73)-1</f>
        <v>0.63997695997891513</v>
      </c>
      <c r="K74" s="3">
        <f>(1+J74)/(1+MAX(J$2:J74))-1</f>
        <v>-3.4212663606533078E-2</v>
      </c>
      <c r="L74" s="10">
        <v>9.1999999999999998E-3</v>
      </c>
      <c r="M74" s="5">
        <f>+L74</f>
        <v>9.1999999999999998E-3</v>
      </c>
      <c r="N74" s="5">
        <f t="shared" ref="N74:N119" si="65">+(1+L74)*(1+N73)-1</f>
        <v>0.28676970735956386</v>
      </c>
      <c r="O74" s="3">
        <f>(1+N74)/(1+MAX(N$2:N74))-1</f>
        <v>0</v>
      </c>
      <c r="P74" s="10">
        <v>-5.2400000000000002E-2</v>
      </c>
      <c r="Q74" s="5">
        <f>+P74</f>
        <v>-5.2400000000000002E-2</v>
      </c>
      <c r="R74" s="5">
        <f t="shared" ref="R74:R119" si="66">+(1+P74)*(1+R73)-1</f>
        <v>1.5633487605994016</v>
      </c>
      <c r="S74" s="3">
        <f>(1+R74)/(1+MAX(R$2:R74))-1</f>
        <v>-5.2400000000000002E-2</v>
      </c>
      <c r="T74" s="10">
        <v>-3.3999999999999998E-3</v>
      </c>
      <c r="U74" s="5">
        <f>+T74</f>
        <v>-3.3999999999999998E-3</v>
      </c>
      <c r="V74" s="5">
        <f t="shared" ref="V74:V119" si="67">+(1+T74)*(1+V73)-1</f>
        <v>0.27561792310546585</v>
      </c>
      <c r="W74" s="3">
        <f>(1+V74)/(1+MAX(V$2:V74))-1</f>
        <v>-4.5959199999999756E-3</v>
      </c>
      <c r="X74" s="10">
        <v>-2.9600000000000001E-2</v>
      </c>
      <c r="Y74" s="5">
        <f>+X74</f>
        <v>-2.9600000000000001E-2</v>
      </c>
      <c r="Z74" s="5">
        <f t="shared" ref="Z74:Z119" si="68">+(1+X74)*(1+Z73)-1</f>
        <v>0.90899115633326133</v>
      </c>
      <c r="AA74" s="3">
        <f>(1+Z74)/(1+MAX(Z$2:Z74))-1</f>
        <v>-2.959999999999996E-2</v>
      </c>
      <c r="AB74" s="124"/>
      <c r="AC74" s="10">
        <f t="shared" si="54"/>
        <v>-9.7700000000000009E-3</v>
      </c>
      <c r="AD74" s="5">
        <f>+AC74</f>
        <v>-9.7700000000000009E-3</v>
      </c>
      <c r="AE74" s="5">
        <f t="shared" ref="AE74:AE119" si="69">+(1+AC74)*(1+AE73)-1</f>
        <v>0.59901838097419757</v>
      </c>
      <c r="AF74" s="5">
        <f>(1+AE74)/(1+MAX(AE$2:AE74))-1</f>
        <v>-9.7700000000000564E-3</v>
      </c>
      <c r="AG74" s="51">
        <f t="shared" ref="AG74:AG119" si="70">AG73*(1+AC74)</f>
        <v>1599.0183809741984</v>
      </c>
      <c r="AH74" s="137"/>
      <c r="AI74" s="70"/>
      <c r="AJ74" s="70"/>
      <c r="AK74" s="70"/>
      <c r="AL74" s="70"/>
      <c r="AM74" s="70"/>
      <c r="AN74" s="70"/>
      <c r="AO74" s="70"/>
      <c r="AP74" s="81"/>
      <c r="AQ74" s="81"/>
    </row>
    <row r="75" spans="1:43" s="61" customFormat="1" outlineLevel="1" x14ac:dyDescent="0.3">
      <c r="A75" s="61" t="s">
        <v>664</v>
      </c>
      <c r="B75" s="55" t="str">
        <f t="shared" si="53"/>
        <v>2022-2</v>
      </c>
      <c r="C75" s="121">
        <v>44593</v>
      </c>
      <c r="D75" s="20">
        <v>-2.63E-2</v>
      </c>
      <c r="E75" s="15">
        <f t="shared" ref="E75:E85" si="71">+(1+D75)*(1+E74)-1</f>
        <v>-2.8344770000000019E-2</v>
      </c>
      <c r="F75" s="15">
        <f t="shared" si="63"/>
        <v>0.39437245984928815</v>
      </c>
      <c r="G75" s="13">
        <f>(1+F75)/(1+MAX(F$2:F75))-1</f>
        <v>-2.8344769999999908E-2</v>
      </c>
      <c r="H75" s="20">
        <v>5.8400000000000001E-2</v>
      </c>
      <c r="I75" s="15">
        <f t="shared" ref="I75:I119" si="72">+(1+H75)*(1+I74)-1</f>
        <v>5.6600720000000049E-2</v>
      </c>
      <c r="J75" s="15">
        <f t="shared" si="64"/>
        <v>0.7357516144416838</v>
      </c>
      <c r="K75" s="13">
        <f>(1+J75)/(1+MAX(J$2:J75))-1</f>
        <v>0</v>
      </c>
      <c r="L75" s="20">
        <v>-1.01E-2</v>
      </c>
      <c r="M75" s="15">
        <f t="shared" ref="M75:M119" si="73">+(1+L75)*(1+M74)-1</f>
        <v>-9.9291999999995273E-4</v>
      </c>
      <c r="N75" s="15">
        <f t="shared" si="65"/>
        <v>0.27377333331523235</v>
      </c>
      <c r="O75" s="13">
        <f>(1+N75)/(1+MAX(N$2:N75))-1</f>
        <v>-1.0099999999999887E-2</v>
      </c>
      <c r="P75" s="20">
        <v>-3.7900000000000003E-2</v>
      </c>
      <c r="Q75" s="15">
        <f t="shared" ref="Q75:Q119" si="74">+(1+P75)*(1+Q74)-1</f>
        <v>-8.8314040000000094E-2</v>
      </c>
      <c r="R75" s="15">
        <f t="shared" si="66"/>
        <v>1.4661978425726843</v>
      </c>
      <c r="S75" s="13">
        <f>(1+R75)/(1+MAX(R$2:R75))-1</f>
        <v>-8.8314039999999983E-2</v>
      </c>
      <c r="T75" s="20">
        <v>4.4000000000000003E-3</v>
      </c>
      <c r="U75" s="15">
        <f t="shared" ref="U75:U119" si="75">+(1+T75)*(1+U74)-1</f>
        <v>9.8503999999999259E-4</v>
      </c>
      <c r="V75" s="15">
        <f t="shared" si="67"/>
        <v>0.28123064196712977</v>
      </c>
      <c r="W75" s="13">
        <f>(1+V75)/(1+MAX(V$2:V75))-1</f>
        <v>-2.1614204800002312E-4</v>
      </c>
      <c r="X75" s="20">
        <v>1.47E-2</v>
      </c>
      <c r="Y75" s="15">
        <f t="shared" ref="Y75:Y119" si="76">+(1+X75)*(1+Y74)-1</f>
        <v>-1.5335120000000035E-2</v>
      </c>
      <c r="Z75" s="15">
        <f t="shared" si="68"/>
        <v>0.93705332633136007</v>
      </c>
      <c r="AA75" s="13">
        <f>(1+Z75)/(1+MAX(Z$2:Z75))-1</f>
        <v>-1.5335120000000035E-2</v>
      </c>
      <c r="AB75" s="124"/>
      <c r="AC75" s="20">
        <f t="shared" si="54"/>
        <v>-1.0449999999999991E-3</v>
      </c>
      <c r="AD75" s="15">
        <f t="shared" ref="AD75:AD119" si="77">+(1+AC75)*(1+AD74)-1</f>
        <v>-1.0804790350000038E-2</v>
      </c>
      <c r="AE75" s="15">
        <f t="shared" si="69"/>
        <v>0.59734740676607956</v>
      </c>
      <c r="AF75" s="15">
        <f>(1+AE75)/(1+MAX(AE$2:AE75))-1</f>
        <v>-1.0804790350000038E-2</v>
      </c>
      <c r="AG75" s="58">
        <f t="shared" si="70"/>
        <v>1597.3474067660804</v>
      </c>
      <c r="AH75" s="137"/>
      <c r="AI75" s="70"/>
      <c r="AJ75" s="70"/>
      <c r="AK75" s="70"/>
      <c r="AL75" s="70"/>
      <c r="AM75" s="70"/>
      <c r="AN75" s="70"/>
      <c r="AO75" s="70"/>
      <c r="AP75" s="81"/>
      <c r="AQ75" s="81"/>
    </row>
    <row r="76" spans="1:43" s="61" customFormat="1" outlineLevel="1" x14ac:dyDescent="0.3">
      <c r="A76" s="61" t="s">
        <v>664</v>
      </c>
      <c r="B76" s="55" t="str">
        <f t="shared" si="53"/>
        <v>2022-3</v>
      </c>
      <c r="C76" s="121">
        <v>44621</v>
      </c>
      <c r="D76" s="20">
        <v>-8.2000000000000007E-3</v>
      </c>
      <c r="E76" s="15">
        <f t="shared" si="71"/>
        <v>-3.6312342886000049E-2</v>
      </c>
      <c r="F76" s="15">
        <f t="shared" si="63"/>
        <v>0.382938605678524</v>
      </c>
      <c r="G76" s="13">
        <f>(1+F76)/(1+MAX(F$2:F76))-1</f>
        <v>-3.6312342885999938E-2</v>
      </c>
      <c r="H76" s="20">
        <v>1.61E-2</v>
      </c>
      <c r="I76" s="15">
        <f t="shared" si="72"/>
        <v>7.3611991592000159E-2</v>
      </c>
      <c r="J76" s="15">
        <f t="shared" si="64"/>
        <v>0.763697215434195</v>
      </c>
      <c r="K76" s="13">
        <f>(1+J76)/(1+MAX(J$2:J76))-1</f>
        <v>0</v>
      </c>
      <c r="L76" s="20">
        <v>-1.21E-2</v>
      </c>
      <c r="M76" s="15">
        <f t="shared" si="73"/>
        <v>-1.3080905667999909E-2</v>
      </c>
      <c r="N76" s="15">
        <f t="shared" si="65"/>
        <v>0.25836067598211798</v>
      </c>
      <c r="O76" s="13">
        <f>(1+N76)/(1+MAX(N$2:N76))-1</f>
        <v>-2.2077789999999986E-2</v>
      </c>
      <c r="P76" s="20">
        <v>1.0999999999999999E-2</v>
      </c>
      <c r="Q76" s="15">
        <f t="shared" si="74"/>
        <v>-7.8285494440000214E-2</v>
      </c>
      <c r="R76" s="15">
        <f t="shared" si="66"/>
        <v>1.4933260188409836</v>
      </c>
      <c r="S76" s="13">
        <f>(1+R76)/(1+MAX(R$2:R76))-1</f>
        <v>-7.8285494439999992E-2</v>
      </c>
      <c r="T76" s="20">
        <v>-1.4800000000000001E-2</v>
      </c>
      <c r="U76" s="15">
        <f t="shared" si="75"/>
        <v>-1.382953859200009E-2</v>
      </c>
      <c r="V76" s="15">
        <f t="shared" si="67"/>
        <v>0.26226842846601617</v>
      </c>
      <c r="W76" s="13">
        <f>(1+V76)/(1+MAX(V$2:V76))-1</f>
        <v>-1.5012943145689683E-2</v>
      </c>
      <c r="X76" s="20">
        <v>1.8100000000000002E-2</v>
      </c>
      <c r="Y76" s="15">
        <f t="shared" si="76"/>
        <v>2.4873143279999788E-3</v>
      </c>
      <c r="Z76" s="15">
        <f t="shared" si="68"/>
        <v>0.97211399153795774</v>
      </c>
      <c r="AA76" s="13">
        <f>(1+Z76)/(1+MAX(Z$2:Z76))-1</f>
        <v>0</v>
      </c>
      <c r="AB76" s="124"/>
      <c r="AC76" s="20">
        <f t="shared" si="54"/>
        <v>-1.3400000000000003E-3</v>
      </c>
      <c r="AD76" s="15">
        <f t="shared" si="77"/>
        <v>-1.2130311930931059E-2</v>
      </c>
      <c r="AE76" s="15">
        <f t="shared" si="69"/>
        <v>0.59520696124101291</v>
      </c>
      <c r="AF76" s="15">
        <f>(1+AE76)/(1+MAX(AE$2:AE76))-1</f>
        <v>-1.2130311930931059E-2</v>
      </c>
      <c r="AG76" s="58">
        <f t="shared" si="70"/>
        <v>1595.2069612410139</v>
      </c>
      <c r="AH76" s="137"/>
      <c r="AI76" s="70"/>
      <c r="AJ76" s="70"/>
      <c r="AK76" s="70"/>
      <c r="AL76" s="70"/>
      <c r="AM76" s="70"/>
      <c r="AN76" s="70"/>
      <c r="AO76" s="70"/>
      <c r="AP76" s="81"/>
      <c r="AQ76" s="81"/>
    </row>
    <row r="77" spans="1:43" s="61" customFormat="1" outlineLevel="1" x14ac:dyDescent="0.3">
      <c r="A77" s="61" t="s">
        <v>664</v>
      </c>
      <c r="B77" s="55" t="str">
        <f t="shared" si="53"/>
        <v>2022-4</v>
      </c>
      <c r="C77" s="121">
        <v>44652</v>
      </c>
      <c r="D77" s="20">
        <v>2.46E-2</v>
      </c>
      <c r="E77" s="15">
        <f t="shared" si="71"/>
        <v>-1.2605626520995727E-2</v>
      </c>
      <c r="F77" s="15">
        <f t="shared" si="63"/>
        <v>0.41695889537821573</v>
      </c>
      <c r="G77" s="13">
        <f>(1+F77)/(1+MAX(F$2:F77))-1</f>
        <v>-1.2605626520995505E-2</v>
      </c>
      <c r="H77" s="20">
        <v>3.9800000000000002E-2</v>
      </c>
      <c r="I77" s="15">
        <f t="shared" si="72"/>
        <v>0.11634174885736193</v>
      </c>
      <c r="J77" s="15">
        <f t="shared" si="64"/>
        <v>0.83389236460847616</v>
      </c>
      <c r="K77" s="13">
        <f>(1+J77)/(1+MAX(J$2:J77))-1</f>
        <v>0</v>
      </c>
      <c r="L77" s="20">
        <v>5.5599999999999997E-2</v>
      </c>
      <c r="M77" s="15">
        <f t="shared" si="73"/>
        <v>4.1791795976859447E-2</v>
      </c>
      <c r="N77" s="15">
        <f t="shared" si="65"/>
        <v>0.32832552956672378</v>
      </c>
      <c r="O77" s="13">
        <f>(1+N77)/(1+MAX(N$2:N77))-1</f>
        <v>0</v>
      </c>
      <c r="P77" s="20">
        <v>-3.1E-2</v>
      </c>
      <c r="Q77" s="15">
        <f t="shared" si="74"/>
        <v>-0.10685864411236023</v>
      </c>
      <c r="R77" s="15">
        <f t="shared" si="66"/>
        <v>1.4160329122569131</v>
      </c>
      <c r="S77" s="13">
        <f>(1+R77)/(1+MAX(R$2:R77))-1</f>
        <v>-0.10685864411236001</v>
      </c>
      <c r="T77" s="20">
        <v>3.9699999999999999E-2</v>
      </c>
      <c r="U77" s="15">
        <f t="shared" si="75"/>
        <v>2.5321428725897599E-2</v>
      </c>
      <c r="V77" s="15">
        <f t="shared" si="67"/>
        <v>0.31238048507611715</v>
      </c>
      <c r="W77" s="13">
        <f>(1+V77)/(1+MAX(V$2:V77))-1</f>
        <v>0</v>
      </c>
      <c r="X77" s="20">
        <v>-5.0000000000000001E-3</v>
      </c>
      <c r="Y77" s="15">
        <f t="shared" si="76"/>
        <v>-2.5251222436399878E-3</v>
      </c>
      <c r="Z77" s="15">
        <f t="shared" si="68"/>
        <v>0.96225342158026805</v>
      </c>
      <c r="AA77" s="13">
        <f>(1+Z77)/(1+MAX(Z$2:Z77))-1</f>
        <v>-5.0000000000000044E-3</v>
      </c>
      <c r="AB77" s="124"/>
      <c r="AC77" s="20">
        <f t="shared" si="54"/>
        <v>2.6349999999999998E-2</v>
      </c>
      <c r="AD77" s="15">
        <f t="shared" si="77"/>
        <v>1.3900054349688995E-2</v>
      </c>
      <c r="AE77" s="15">
        <f t="shared" si="69"/>
        <v>0.63724066466971374</v>
      </c>
      <c r="AF77" s="15">
        <f>(1+AE77)/(1+MAX(AE$2:AE77))-1</f>
        <v>0</v>
      </c>
      <c r="AG77" s="58">
        <f t="shared" si="70"/>
        <v>1637.2406646697148</v>
      </c>
      <c r="AH77" s="137"/>
      <c r="AI77" s="70"/>
      <c r="AJ77" s="70"/>
      <c r="AK77" s="70"/>
      <c r="AL77" s="70"/>
      <c r="AM77" s="70"/>
      <c r="AN77" s="70"/>
      <c r="AO77" s="70"/>
      <c r="AP77" s="81"/>
      <c r="AQ77" s="81"/>
    </row>
    <row r="78" spans="1:43" s="61" customFormat="1" outlineLevel="1" x14ac:dyDescent="0.3">
      <c r="A78" s="61" t="s">
        <v>664</v>
      </c>
      <c r="B78" s="55" t="str">
        <f t="shared" si="53"/>
        <v>2022-5</v>
      </c>
      <c r="C78" s="121">
        <v>44682</v>
      </c>
      <c r="D78" s="20">
        <v>-1.4800000000000001E-2</v>
      </c>
      <c r="E78" s="15">
        <f t="shared" si="71"/>
        <v>-2.7219063248484998E-2</v>
      </c>
      <c r="F78" s="15">
        <f t="shared" si="63"/>
        <v>0.39598790372661807</v>
      </c>
      <c r="G78" s="13">
        <f>(1+F78)/(1+MAX(F$2:F78))-1</f>
        <v>-2.7219063248484776E-2</v>
      </c>
      <c r="H78" s="20">
        <v>-5.67E-2</v>
      </c>
      <c r="I78" s="15">
        <f t="shared" si="72"/>
        <v>5.3045171697149618E-2</v>
      </c>
      <c r="J78" s="15">
        <f t="shared" si="64"/>
        <v>0.72991066753517564</v>
      </c>
      <c r="K78" s="13">
        <f>(1+J78)/(1+MAX(J$2:J78))-1</f>
        <v>-5.6699999999999973E-2</v>
      </c>
      <c r="L78" s="20">
        <v>-2.5000000000000001E-2</v>
      </c>
      <c r="M78" s="15">
        <f t="shared" si="73"/>
        <v>1.5747001077437872E-2</v>
      </c>
      <c r="N78" s="15">
        <f t="shared" si="65"/>
        <v>0.29511739132755577</v>
      </c>
      <c r="O78" s="13">
        <f>(1+N78)/(1+MAX(N$2:N78))-1</f>
        <v>-2.4999999999999911E-2</v>
      </c>
      <c r="P78" s="20">
        <v>-1.83E-2</v>
      </c>
      <c r="Q78" s="15">
        <f t="shared" si="74"/>
        <v>-0.12320313092510404</v>
      </c>
      <c r="R78" s="15">
        <f t="shared" si="66"/>
        <v>1.3718195099626116</v>
      </c>
      <c r="S78" s="13">
        <f>(1+R78)/(1+MAX(R$2:R78))-1</f>
        <v>-0.12320313092510382</v>
      </c>
      <c r="T78" s="20">
        <v>-3.4299999999999997E-2</v>
      </c>
      <c r="U78" s="15">
        <f t="shared" si="75"/>
        <v>-9.8470962794007244E-3</v>
      </c>
      <c r="V78" s="15">
        <f t="shared" si="67"/>
        <v>0.26736583443800632</v>
      </c>
      <c r="W78" s="13">
        <f>(1+V78)/(1+MAX(V$2:V78))-1</f>
        <v>-3.4299999999999997E-2</v>
      </c>
      <c r="X78" s="20">
        <v>-7.0000000000000001E-3</v>
      </c>
      <c r="Y78" s="15">
        <f t="shared" si="76"/>
        <v>-9.5074463879345483E-3</v>
      </c>
      <c r="Z78" s="15">
        <f t="shared" si="68"/>
        <v>0.9485176476292061</v>
      </c>
      <c r="AA78" s="13">
        <f>(1+Z78)/(1+MAX(Z$2:Z78))-1</f>
        <v>-1.1965000000000003E-2</v>
      </c>
      <c r="AB78" s="124"/>
      <c r="AC78" s="20">
        <f t="shared" si="54"/>
        <v>-2.7279999999999999E-2</v>
      </c>
      <c r="AD78" s="15">
        <f t="shared" si="77"/>
        <v>-1.3759139132970444E-2</v>
      </c>
      <c r="AE78" s="15">
        <f t="shared" si="69"/>
        <v>0.59257673933752408</v>
      </c>
      <c r="AF78" s="15">
        <f>(1+AE78)/(1+MAX(AE$2:AE78))-1</f>
        <v>-2.7279999999999971E-2</v>
      </c>
      <c r="AG78" s="58">
        <f t="shared" si="70"/>
        <v>1592.5767393375249</v>
      </c>
      <c r="AH78" s="137"/>
      <c r="AI78" s="70"/>
      <c r="AJ78" s="70"/>
      <c r="AK78" s="70"/>
      <c r="AL78" s="70"/>
      <c r="AM78" s="70"/>
      <c r="AN78" s="70"/>
      <c r="AO78" s="70"/>
      <c r="AP78" s="81"/>
      <c r="AQ78" s="81"/>
    </row>
    <row r="79" spans="1:43" s="61" customFormat="1" outlineLevel="1" x14ac:dyDescent="0.3">
      <c r="A79" s="61" t="s">
        <v>664</v>
      </c>
      <c r="B79" s="55" t="str">
        <f t="shared" si="53"/>
        <v>2022-6</v>
      </c>
      <c r="C79" s="121">
        <v>44713</v>
      </c>
      <c r="D79" s="20">
        <v>-1.14E-2</v>
      </c>
      <c r="E79" s="15">
        <f t="shared" si="71"/>
        <v>-3.8308765927452249E-2</v>
      </c>
      <c r="F79" s="15">
        <f t="shared" si="63"/>
        <v>0.38007364162413459</v>
      </c>
      <c r="G79" s="13">
        <f>(1+F79)/(1+MAX(F$2:F79))-1</f>
        <v>-3.8308765927452026E-2</v>
      </c>
      <c r="H79" s="20">
        <v>1.47E-2</v>
      </c>
      <c r="I79" s="15">
        <f t="shared" si="72"/>
        <v>6.8524935721097746E-2</v>
      </c>
      <c r="J79" s="15">
        <f t="shared" si="64"/>
        <v>0.75534035434794267</v>
      </c>
      <c r="K79" s="13">
        <f>(1+J79)/(1+MAX(J$2:J79))-1</f>
        <v>-4.283349000000003E-2</v>
      </c>
      <c r="L79" s="20">
        <v>2.2800000000000001E-2</v>
      </c>
      <c r="M79" s="15">
        <f t="shared" si="73"/>
        <v>3.8906032702003435E-2</v>
      </c>
      <c r="N79" s="15">
        <f t="shared" si="65"/>
        <v>0.32464606784982397</v>
      </c>
      <c r="O79" s="13">
        <f>(1+N79)/(1+MAX(N$2:N79))-1</f>
        <v>-2.7699999999999392E-3</v>
      </c>
      <c r="P79" s="20">
        <v>-4.8399999999999999E-2</v>
      </c>
      <c r="Q79" s="15">
        <f t="shared" si="74"/>
        <v>-0.16564009938832902</v>
      </c>
      <c r="R79" s="15">
        <f t="shared" si="66"/>
        <v>1.2570234456804212</v>
      </c>
      <c r="S79" s="13">
        <f>(1+R79)/(1+MAX(R$2:R79))-1</f>
        <v>-0.1656400993883288</v>
      </c>
      <c r="T79" s="20">
        <v>2.0000000000000001E-4</v>
      </c>
      <c r="U79" s="15">
        <f t="shared" si="75"/>
        <v>-9.6490656986566448E-3</v>
      </c>
      <c r="V79" s="15">
        <f t="shared" si="67"/>
        <v>0.26761930760489383</v>
      </c>
      <c r="W79" s="13">
        <f>(1+V79)/(1+MAX(V$2:V79))-1</f>
        <v>-3.4106860000000072E-2</v>
      </c>
      <c r="X79" s="20">
        <v>-7.4999999999999997E-2</v>
      </c>
      <c r="Y79" s="15">
        <f t="shared" si="76"/>
        <v>-8.3794387908839418E-2</v>
      </c>
      <c r="Z79" s="15">
        <f t="shared" si="68"/>
        <v>0.80237882405701577</v>
      </c>
      <c r="AA79" s="13">
        <f>(1+Z79)/(1+MAX(Z$2:Z79))-1</f>
        <v>-8.606762499999987E-2</v>
      </c>
      <c r="AB79" s="124"/>
      <c r="AC79" s="20">
        <f t="shared" si="54"/>
        <v>-8.5249999999999979E-3</v>
      </c>
      <c r="AD79" s="15">
        <f t="shared" si="77"/>
        <v>-2.2166842471861847E-2</v>
      </c>
      <c r="AE79" s="15">
        <f t="shared" si="69"/>
        <v>0.57900002263467165</v>
      </c>
      <c r="AF79" s="15">
        <f>(1+AE79)/(1+MAX(AE$2:AE79))-1</f>
        <v>-3.5572437999999984E-2</v>
      </c>
      <c r="AG79" s="58">
        <f t="shared" si="70"/>
        <v>1579.0000226346726</v>
      </c>
      <c r="AH79" s="137"/>
      <c r="AI79" s="70"/>
      <c r="AJ79" s="70"/>
      <c r="AK79" s="70"/>
      <c r="AL79" s="70"/>
      <c r="AM79" s="70"/>
      <c r="AN79" s="70"/>
      <c r="AO79" s="70"/>
      <c r="AP79" s="81"/>
      <c r="AQ79" s="81"/>
    </row>
    <row r="80" spans="1:43" s="61" customFormat="1" outlineLevel="1" x14ac:dyDescent="0.3">
      <c r="A80" s="61" t="s">
        <v>664</v>
      </c>
      <c r="B80" s="55" t="str">
        <f t="shared" si="53"/>
        <v>2022-7</v>
      </c>
      <c r="C80" s="121">
        <v>44743</v>
      </c>
      <c r="D80" s="20">
        <v>5.5300000000000002E-2</v>
      </c>
      <c r="E80" s="15">
        <f t="shared" si="71"/>
        <v>1.4872759316759465E-2</v>
      </c>
      <c r="F80" s="15">
        <f t="shared" si="63"/>
        <v>0.45639171400594902</v>
      </c>
      <c r="G80" s="13">
        <f>(1+F80)/(1+MAX(F$2:F80))-1</f>
        <v>0</v>
      </c>
      <c r="H80" s="20">
        <v>-6.9999999999999999E-4</v>
      </c>
      <c r="I80" s="15">
        <f t="shared" si="72"/>
        <v>6.7776968266092918E-2</v>
      </c>
      <c r="J80" s="15">
        <f t="shared" si="64"/>
        <v>0.75411161609989907</v>
      </c>
      <c r="K80" s="13">
        <f>(1+J80)/(1+MAX(J$2:J80))-1</f>
        <v>-4.3503506556999971E-2</v>
      </c>
      <c r="L80" s="20">
        <v>3.1E-2</v>
      </c>
      <c r="M80" s="15">
        <f t="shared" si="73"/>
        <v>7.1112119715765365E-2</v>
      </c>
      <c r="N80" s="15">
        <f t="shared" si="65"/>
        <v>0.3657100959531685</v>
      </c>
      <c r="O80" s="13">
        <f>(1+N80)/(1+MAX(N$2:N80))-1</f>
        <v>0</v>
      </c>
      <c r="P80" s="20">
        <v>8.2799999999999999E-2</v>
      </c>
      <c r="Q80" s="15">
        <f t="shared" si="74"/>
        <v>-9.6555099617682716E-2</v>
      </c>
      <c r="R80" s="15">
        <f t="shared" si="66"/>
        <v>1.4439049869827603</v>
      </c>
      <c r="S80" s="13">
        <f>(1+R80)/(1+MAX(R$2:R80))-1</f>
        <v>-9.6555099617682383E-2</v>
      </c>
      <c r="T80" s="20">
        <v>6.6699999999999995E-2</v>
      </c>
      <c r="U80" s="15">
        <f t="shared" si="75"/>
        <v>5.640734161924299E-2</v>
      </c>
      <c r="V80" s="15">
        <f t="shared" si="67"/>
        <v>0.35216951542214026</v>
      </c>
      <c r="W80" s="13">
        <f>(1+V80)/(1+MAX(V$2:V80))-1</f>
        <v>0</v>
      </c>
      <c r="X80" s="20">
        <v>0.12540000000000001</v>
      </c>
      <c r="Y80" s="15">
        <f t="shared" si="76"/>
        <v>3.109779584739214E-2</v>
      </c>
      <c r="Z80" s="15">
        <f t="shared" si="68"/>
        <v>1.0283971285937654</v>
      </c>
      <c r="AA80" s="13">
        <f>(1+Z80)/(1+MAX(Z$2:Z80))-1</f>
        <v>0</v>
      </c>
      <c r="AB80" s="124"/>
      <c r="AC80" s="20">
        <f t="shared" si="54"/>
        <v>5.4240000000000003E-2</v>
      </c>
      <c r="AD80" s="15">
        <f t="shared" si="77"/>
        <v>3.0870827992464323E-2</v>
      </c>
      <c r="AE80" s="15">
        <f t="shared" si="69"/>
        <v>0.66464498386237625</v>
      </c>
      <c r="AF80" s="15">
        <f>(1+AE80)/(1+MAX(AE$2:AE80))-1</f>
        <v>0</v>
      </c>
      <c r="AG80" s="58">
        <f t="shared" si="70"/>
        <v>1664.6449838623773</v>
      </c>
      <c r="AH80" s="137"/>
      <c r="AI80" s="70"/>
      <c r="AJ80" s="70"/>
      <c r="AK80" s="70"/>
      <c r="AL80" s="70"/>
      <c r="AM80" s="70"/>
      <c r="AN80" s="70"/>
      <c r="AO80" s="70"/>
      <c r="AP80" s="81"/>
      <c r="AQ80" s="81"/>
    </row>
    <row r="81" spans="1:43" s="61" customFormat="1" outlineLevel="1" x14ac:dyDescent="0.3">
      <c r="A81" s="61" t="s">
        <v>664</v>
      </c>
      <c r="B81" s="55" t="str">
        <f t="shared" si="53"/>
        <v>2022-8</v>
      </c>
      <c r="C81" s="121">
        <v>44774</v>
      </c>
      <c r="D81" s="20">
        <v>6.0000000000000001E-3</v>
      </c>
      <c r="E81" s="15">
        <f t="shared" si="71"/>
        <v>2.0961995872660122E-2</v>
      </c>
      <c r="F81" s="15">
        <f t="shared" si="63"/>
        <v>0.46513006428998471</v>
      </c>
      <c r="G81" s="13">
        <f>(1+F81)/(1+MAX(F$2:F81))-1</f>
        <v>0</v>
      </c>
      <c r="H81" s="20">
        <v>-1.34E-2</v>
      </c>
      <c r="I81" s="15">
        <f t="shared" si="72"/>
        <v>5.346875689132724E-2</v>
      </c>
      <c r="J81" s="15">
        <f t="shared" si="64"/>
        <v>0.73060652044416052</v>
      </c>
      <c r="K81" s="13">
        <f>(1+J81)/(1+MAX(J$2:J81))-1</f>
        <v>-5.6320559569136175E-2</v>
      </c>
      <c r="L81" s="20">
        <v>1.09E-2</v>
      </c>
      <c r="M81" s="15">
        <f t="shared" si="73"/>
        <v>8.2787241820667212E-2</v>
      </c>
      <c r="N81" s="15">
        <f t="shared" si="65"/>
        <v>0.38059633599905784</v>
      </c>
      <c r="O81" s="13">
        <f>(1+N81)/(1+MAX(N$2:N81))-1</f>
        <v>0</v>
      </c>
      <c r="P81" s="20">
        <v>-2.07E-2</v>
      </c>
      <c r="Q81" s="15">
        <f t="shared" si="74"/>
        <v>-0.11525640905559675</v>
      </c>
      <c r="R81" s="15">
        <f t="shared" si="66"/>
        <v>1.3933161537522172</v>
      </c>
      <c r="S81" s="13">
        <f>(1+R81)/(1+MAX(R$2:R81))-1</f>
        <v>-0.11525640905559631</v>
      </c>
      <c r="T81" s="20">
        <v>-1.01E-2</v>
      </c>
      <c r="U81" s="15">
        <f t="shared" si="75"/>
        <v>4.5737627468888542E-2</v>
      </c>
      <c r="V81" s="15">
        <f t="shared" si="67"/>
        <v>0.33851260331637656</v>
      </c>
      <c r="W81" s="13">
        <f>(1+V81)/(1+MAX(V$2:V81))-1</f>
        <v>-1.0100000000000109E-2</v>
      </c>
      <c r="X81" s="20">
        <v>-1.12E-2</v>
      </c>
      <c r="Y81" s="15">
        <f t="shared" si="76"/>
        <v>1.9549500533901254E-2</v>
      </c>
      <c r="Z81" s="15">
        <f t="shared" si="68"/>
        <v>1.0056790807535152</v>
      </c>
      <c r="AA81" s="13">
        <f>(1+Z81)/(1+MAX(Z$2:Z81))-1</f>
        <v>-1.1199999999999988E-2</v>
      </c>
      <c r="AB81" s="124"/>
      <c r="AC81" s="20">
        <f t="shared" si="54"/>
        <v>-4.6300000000000004E-3</v>
      </c>
      <c r="AD81" s="15">
        <f t="shared" si="77"/>
        <v>2.6097896058859149E-2</v>
      </c>
      <c r="AE81" s="15">
        <f t="shared" si="69"/>
        <v>0.65693767758709343</v>
      </c>
      <c r="AF81" s="15">
        <f>(1+AE81)/(1+MAX(AE$2:AE81))-1</f>
        <v>-4.630000000000023E-3</v>
      </c>
      <c r="AG81" s="58">
        <f t="shared" si="70"/>
        <v>1656.9376775870944</v>
      </c>
      <c r="AH81" s="137"/>
      <c r="AI81" s="70"/>
      <c r="AJ81" s="70"/>
      <c r="AK81" s="70"/>
      <c r="AL81" s="70"/>
      <c r="AM81" s="70"/>
      <c r="AN81" s="70"/>
      <c r="AO81" s="70"/>
      <c r="AP81" s="81"/>
      <c r="AQ81" s="81"/>
    </row>
    <row r="82" spans="1:43" s="61" customFormat="1" outlineLevel="1" x14ac:dyDescent="0.3">
      <c r="A82" s="61" t="s">
        <v>664</v>
      </c>
      <c r="B82" s="55" t="str">
        <f t="shared" si="53"/>
        <v>2022-9</v>
      </c>
      <c r="C82" s="121">
        <v>44805</v>
      </c>
      <c r="D82" s="20">
        <v>-2.2599999999999999E-2</v>
      </c>
      <c r="E82" s="15">
        <f t="shared" si="71"/>
        <v>-2.1117452340619902E-3</v>
      </c>
      <c r="F82" s="15">
        <f t="shared" si="63"/>
        <v>0.43201812483703117</v>
      </c>
      <c r="G82" s="13">
        <f>(1+F82)/(1+MAX(F$2:F82))-1</f>
        <v>-2.2599999999999953E-2</v>
      </c>
      <c r="H82" s="20">
        <v>-9.2999999999999992E-3</v>
      </c>
      <c r="I82" s="15">
        <f t="shared" si="72"/>
        <v>4.3671497452237862E-2</v>
      </c>
      <c r="J82" s="15">
        <f t="shared" si="64"/>
        <v>0.71451187980402997</v>
      </c>
      <c r="K82" s="13">
        <f>(1+J82)/(1+MAX(J$2:J82))-1</f>
        <v>-6.509677836514316E-2</v>
      </c>
      <c r="L82" s="20">
        <v>5.4000000000000003E-3</v>
      </c>
      <c r="M82" s="15">
        <f t="shared" si="73"/>
        <v>8.8634292926498937E-2</v>
      </c>
      <c r="N82" s="15">
        <f t="shared" si="65"/>
        <v>0.38805155621345278</v>
      </c>
      <c r="O82" s="13">
        <f>(1+N82)/(1+MAX(N$2:N82))-1</f>
        <v>0</v>
      </c>
      <c r="P82" s="20">
        <v>-8.3699999999999997E-2</v>
      </c>
      <c r="Q82" s="15">
        <f t="shared" si="74"/>
        <v>-0.18930944761764334</v>
      </c>
      <c r="R82" s="15">
        <f t="shared" si="66"/>
        <v>1.1929955916831565</v>
      </c>
      <c r="S82" s="13">
        <f>(1+R82)/(1+MAX(R$2:R82))-1</f>
        <v>-0.18930944761764301</v>
      </c>
      <c r="T82" s="20">
        <v>-4.7600000000000003E-2</v>
      </c>
      <c r="U82" s="15">
        <f t="shared" si="75"/>
        <v>-4.0394835986304889E-3</v>
      </c>
      <c r="V82" s="15">
        <f t="shared" si="67"/>
        <v>0.27479940339851705</v>
      </c>
      <c r="W82" s="13">
        <f>(1+V82)/(1+MAX(V$2:V82))-1</f>
        <v>-5.7219240000000005E-2</v>
      </c>
      <c r="X82" s="20">
        <v>-8.1900000000000001E-2</v>
      </c>
      <c r="Y82" s="15">
        <f t="shared" si="76"/>
        <v>-6.395160355982521E-2</v>
      </c>
      <c r="Z82" s="15">
        <f t="shared" si="68"/>
        <v>0.8414139640398024</v>
      </c>
      <c r="AA82" s="13">
        <f>(1+Z82)/(1+MAX(Z$2:Z82))-1</f>
        <v>-9.218271999999994E-2</v>
      </c>
      <c r="AB82" s="124"/>
      <c r="AC82" s="20">
        <f t="shared" si="54"/>
        <v>-3.3700000000000001E-2</v>
      </c>
      <c r="AD82" s="15">
        <f t="shared" si="77"/>
        <v>-8.4816030383243479E-3</v>
      </c>
      <c r="AE82" s="15">
        <f t="shared" si="69"/>
        <v>0.60109887785240845</v>
      </c>
      <c r="AF82" s="15">
        <f>(1+AE82)/(1+MAX(AE$2:AE82))-1</f>
        <v>-3.8173968999999919E-2</v>
      </c>
      <c r="AG82" s="58">
        <f t="shared" si="70"/>
        <v>1601.0988778524095</v>
      </c>
      <c r="AH82" s="137"/>
      <c r="AI82" s="70"/>
      <c r="AJ82" s="70"/>
      <c r="AK82" s="70"/>
      <c r="AL82" s="70"/>
      <c r="AM82" s="70"/>
      <c r="AN82" s="70"/>
      <c r="AO82" s="70"/>
      <c r="AP82" s="81"/>
      <c r="AQ82" s="81"/>
    </row>
    <row r="83" spans="1:43" s="61" customFormat="1" outlineLevel="1" x14ac:dyDescent="0.3">
      <c r="A83" s="61" t="s">
        <v>664</v>
      </c>
      <c r="B83" s="55" t="str">
        <f t="shared" si="53"/>
        <v>2022-10</v>
      </c>
      <c r="C83" s="121">
        <v>44835</v>
      </c>
      <c r="D83" s="20">
        <v>-1.3599999999999999E-2</v>
      </c>
      <c r="E83" s="15">
        <f t="shared" si="71"/>
        <v>-1.5683025498878678E-2</v>
      </c>
      <c r="F83" s="15">
        <f t="shared" si="63"/>
        <v>0.41254267833924763</v>
      </c>
      <c r="G83" s="13">
        <f>(1+F83)/(1+MAX(F$2:F83))-1</f>
        <v>-3.589263999999992E-2</v>
      </c>
      <c r="H83" s="20">
        <v>-2.98E-2</v>
      </c>
      <c r="I83" s="15">
        <f t="shared" si="72"/>
        <v>1.2570086828161076E-2</v>
      </c>
      <c r="J83" s="15">
        <f t="shared" si="64"/>
        <v>0.66341942578586988</v>
      </c>
      <c r="K83" s="13">
        <f>(1+J83)/(1+MAX(J$2:J83))-1</f>
        <v>-9.2956894369861875E-2</v>
      </c>
      <c r="L83" s="20">
        <v>-1.4200000000000001E-2</v>
      </c>
      <c r="M83" s="15">
        <f t="shared" si="73"/>
        <v>7.3175685966942572E-2</v>
      </c>
      <c r="N83" s="15">
        <f t="shared" si="65"/>
        <v>0.36834122411522174</v>
      </c>
      <c r="O83" s="13">
        <f>(1+N83)/(1+MAX(N$2:N83))-1</f>
        <v>-1.419999999999999E-2</v>
      </c>
      <c r="P83" s="20">
        <v>3.9600000000000003E-2</v>
      </c>
      <c r="Q83" s="15">
        <f t="shared" si="74"/>
        <v>-0.15720610174330196</v>
      </c>
      <c r="R83" s="15">
        <f t="shared" si="66"/>
        <v>1.2798382171138099</v>
      </c>
      <c r="S83" s="13">
        <f>(1+R83)/(1+MAX(R$2:R83))-1</f>
        <v>-0.15720610174330152</v>
      </c>
      <c r="T83" s="20">
        <v>-1E-4</v>
      </c>
      <c r="U83" s="15">
        <f t="shared" si="75"/>
        <v>-4.1390796502706051E-3</v>
      </c>
      <c r="V83" s="15">
        <f t="shared" si="67"/>
        <v>0.27467192345817715</v>
      </c>
      <c r="W83" s="13">
        <f>(1+V83)/(1+MAX(V$2:V83))-1</f>
        <v>-5.7313518076000047E-2</v>
      </c>
      <c r="X83" s="20">
        <v>0.1061</v>
      </c>
      <c r="Y83" s="15">
        <f t="shared" si="76"/>
        <v>3.5363131302477369E-2</v>
      </c>
      <c r="Z83" s="15">
        <f t="shared" si="68"/>
        <v>1.0367879856244255</v>
      </c>
      <c r="AA83" s="13">
        <f>(1+Z83)/(1+MAX(Z$2:Z83))-1</f>
        <v>0</v>
      </c>
      <c r="AB83" s="124"/>
      <c r="AC83" s="20">
        <f t="shared" si="54"/>
        <v>6.4700000000000018E-3</v>
      </c>
      <c r="AD83" s="15">
        <f t="shared" si="77"/>
        <v>-2.0664790099823582E-3</v>
      </c>
      <c r="AE83" s="15">
        <f t="shared" si="69"/>
        <v>0.61145798759211356</v>
      </c>
      <c r="AF83" s="15">
        <f>(1+AE83)/(1+MAX(AE$2:AE83))-1</f>
        <v>-3.195095457942998E-2</v>
      </c>
      <c r="AG83" s="58">
        <f t="shared" si="70"/>
        <v>1611.4579875921145</v>
      </c>
      <c r="AH83" s="137"/>
      <c r="AI83" s="70"/>
      <c r="AJ83" s="70"/>
      <c r="AK83" s="70"/>
      <c r="AL83" s="70"/>
      <c r="AM83" s="70"/>
      <c r="AN83" s="70"/>
      <c r="AO83" s="70"/>
      <c r="AP83" s="81"/>
      <c r="AQ83" s="81"/>
    </row>
    <row r="84" spans="1:43" s="61" customFormat="1" outlineLevel="1" x14ac:dyDescent="0.3">
      <c r="A84" s="61" t="s">
        <v>664</v>
      </c>
      <c r="B84" s="55" t="str">
        <f t="shared" si="53"/>
        <v>2022-11</v>
      </c>
      <c r="C84" s="121">
        <v>44866</v>
      </c>
      <c r="D84" s="20">
        <v>1.44E-2</v>
      </c>
      <c r="E84" s="15">
        <f t="shared" si="71"/>
        <v>-1.5088610660625168E-3</v>
      </c>
      <c r="F84" s="15">
        <f t="shared" si="63"/>
        <v>0.43288329290733274</v>
      </c>
      <c r="G84" s="13">
        <f>(1+F84)/(1+MAX(F$2:F84))-1</f>
        <v>-2.2009494015999942E-2</v>
      </c>
      <c r="H84" s="20">
        <v>4.58E-2</v>
      </c>
      <c r="I84" s="15">
        <f t="shared" si="72"/>
        <v>5.8945796804890982E-2</v>
      </c>
      <c r="J84" s="15">
        <f t="shared" si="64"/>
        <v>0.73960403548686293</v>
      </c>
      <c r="K84" s="13">
        <f>(1+J84)/(1+MAX(J$2:J84))-1</f>
        <v>-5.1414320132001423E-2</v>
      </c>
      <c r="L84" s="20">
        <v>-2.64E-2</v>
      </c>
      <c r="M84" s="15">
        <f t="shared" si="73"/>
        <v>4.4843847857415353E-2</v>
      </c>
      <c r="N84" s="15">
        <f t="shared" si="65"/>
        <v>0.33221701579857998</v>
      </c>
      <c r="O84" s="13">
        <f>(1+N84)/(1+MAX(N$2:N84))-1</f>
        <v>-4.0225119999999892E-2</v>
      </c>
      <c r="P84" s="20">
        <v>5.8599999999999999E-2</v>
      </c>
      <c r="Q84" s="15">
        <f t="shared" si="74"/>
        <v>-0.10781837930545946</v>
      </c>
      <c r="R84" s="15">
        <f t="shared" si="66"/>
        <v>1.4134367366366791</v>
      </c>
      <c r="S84" s="13">
        <f>(1+R84)/(1+MAX(R$2:R84))-1</f>
        <v>-0.1078183793054589</v>
      </c>
      <c r="T84" s="20">
        <v>-1.8200000000000001E-2</v>
      </c>
      <c r="U84" s="15">
        <f t="shared" si="75"/>
        <v>-2.2263748400635719E-2</v>
      </c>
      <c r="V84" s="15">
        <f t="shared" si="67"/>
        <v>0.25147289445123833</v>
      </c>
      <c r="W84" s="13">
        <f>(1+V84)/(1+MAX(V$2:V84))-1</f>
        <v>-7.4470412047016876E-2</v>
      </c>
      <c r="X84" s="20">
        <v>1.8599999999999998E-2</v>
      </c>
      <c r="Y84" s="15">
        <f t="shared" si="76"/>
        <v>5.4620885544703457E-2</v>
      </c>
      <c r="Z84" s="15">
        <f t="shared" si="68"/>
        <v>1.0746722421570398</v>
      </c>
      <c r="AA84" s="13">
        <f>(1+Z84)/(1+MAX(Z$2:Z84))-1</f>
        <v>0</v>
      </c>
      <c r="AB84" s="124"/>
      <c r="AC84" s="20">
        <f t="shared" si="54"/>
        <v>9.4399999999999987E-3</v>
      </c>
      <c r="AD84" s="15">
        <f t="shared" si="77"/>
        <v>7.3540134281633307E-3</v>
      </c>
      <c r="AE84" s="15">
        <f t="shared" si="69"/>
        <v>0.62667015099498302</v>
      </c>
      <c r="AF84" s="15">
        <f>(1+AE84)/(1+MAX(AE$2:AE84))-1</f>
        <v>-2.2812571590659858E-2</v>
      </c>
      <c r="AG84" s="58">
        <f t="shared" si="70"/>
        <v>1626.6701509949839</v>
      </c>
      <c r="AH84" s="137"/>
      <c r="AI84" s="70"/>
      <c r="AJ84" s="70"/>
      <c r="AK84" s="70"/>
      <c r="AL84" s="70"/>
      <c r="AM84" s="70"/>
      <c r="AN84" s="70"/>
      <c r="AO84" s="70"/>
      <c r="AP84" s="81"/>
      <c r="AQ84" s="81"/>
    </row>
    <row r="85" spans="1:43" s="27" customFormat="1" ht="15" thickBot="1" x14ac:dyDescent="0.35">
      <c r="A85" s="27" t="s">
        <v>664</v>
      </c>
      <c r="B85" s="63" t="str">
        <f t="shared" si="53"/>
        <v>2022-12</v>
      </c>
      <c r="C85" s="122">
        <v>44896</v>
      </c>
      <c r="D85" s="32">
        <v>-2.3300000000000001E-2</v>
      </c>
      <c r="E85" s="25">
        <f t="shared" si="71"/>
        <v>-2.4773704603223257E-2</v>
      </c>
      <c r="F85" s="25">
        <f t="shared" si="63"/>
        <v>0.39949711218259187</v>
      </c>
      <c r="G85" s="26">
        <f>(1+F85)/(1+MAX(F$2:F85))-1</f>
        <v>-4.4796672805427096E-2</v>
      </c>
      <c r="H85" s="32">
        <v>-3.0000000000000001E-3</v>
      </c>
      <c r="I85" s="25">
        <f t="shared" si="72"/>
        <v>5.5768959414476349E-2</v>
      </c>
      <c r="J85" s="25">
        <f t="shared" si="64"/>
        <v>0.73438522338040224</v>
      </c>
      <c r="K85" s="26">
        <f>(1+J85)/(1+MAX(J$2:J85))-1</f>
        <v>-5.4260077171605414E-2</v>
      </c>
      <c r="L85" s="32">
        <v>-2.92E-2</v>
      </c>
      <c r="M85" s="25">
        <f t="shared" si="73"/>
        <v>1.4334407499978719E-2</v>
      </c>
      <c r="N85" s="25">
        <f t="shared" si="65"/>
        <v>0.29331627893726142</v>
      </c>
      <c r="O85" s="26">
        <f>(1+N85)/(1+MAX(N$2:N85))-1</f>
        <v>-6.8250546495999931E-2</v>
      </c>
      <c r="P85" s="32">
        <v>1.7299999999999999E-2</v>
      </c>
      <c r="Q85" s="25">
        <f t="shared" si="74"/>
        <v>-9.2383637267443808E-2</v>
      </c>
      <c r="R85" s="25">
        <f t="shared" si="66"/>
        <v>1.455189192180494</v>
      </c>
      <c r="S85" s="26">
        <f>(1+R85)/(1+MAX(R$2:R85))-1</f>
        <v>-9.2383637267443253E-2</v>
      </c>
      <c r="T85" s="32">
        <v>-4.4400000000000002E-2</v>
      </c>
      <c r="U85" s="25">
        <f t="shared" si="75"/>
        <v>-6.5675237971647538E-2</v>
      </c>
      <c r="V85" s="25">
        <f t="shared" si="67"/>
        <v>0.19590749793760343</v>
      </c>
      <c r="W85" s="26">
        <f>(1+V85)/(1+MAX(V$2:V85))-1</f>
        <v>-0.11556392575212926</v>
      </c>
      <c r="X85" s="32">
        <v>-8.6499999999999994E-2</v>
      </c>
      <c r="Y85" s="25">
        <f t="shared" si="76"/>
        <v>-3.6603821054913444E-2</v>
      </c>
      <c r="Z85" s="25">
        <f t="shared" si="68"/>
        <v>0.89521309321045583</v>
      </c>
      <c r="AA85" s="26">
        <f>(1+Z85)/(1+MAX(Z$2:Z85))-1</f>
        <v>-8.6500000000000021E-2</v>
      </c>
      <c r="AB85" s="125"/>
      <c r="AC85" s="20">
        <f t="shared" si="54"/>
        <v>-2.6180000000000002E-2</v>
      </c>
      <c r="AD85" s="25">
        <f t="shared" si="77"/>
        <v>-1.9018514643385998E-2</v>
      </c>
      <c r="AE85" s="25">
        <f t="shared" si="69"/>
        <v>0.58408392644193441</v>
      </c>
      <c r="AF85" s="25">
        <f>(1+AE85)/(1+MAX(AE$2:AE85))-1</f>
        <v>-4.8395338466416304E-2</v>
      </c>
      <c r="AG85" s="66">
        <f t="shared" si="70"/>
        <v>1584.0839264419353</v>
      </c>
      <c r="AH85" s="138"/>
      <c r="AI85" s="139"/>
      <c r="AJ85" s="139"/>
      <c r="AK85" s="139"/>
      <c r="AL85" s="139"/>
      <c r="AM85" s="139"/>
      <c r="AN85" s="139"/>
      <c r="AO85" s="139"/>
      <c r="AP85" s="78"/>
      <c r="AQ85" s="78"/>
    </row>
    <row r="86" spans="1:43" s="54" customFormat="1" outlineLevel="1" x14ac:dyDescent="0.3">
      <c r="A86" s="54" t="s">
        <v>664</v>
      </c>
      <c r="B86" s="48" t="str">
        <f t="shared" si="53"/>
        <v>2023-1</v>
      </c>
      <c r="C86" s="120">
        <v>44927</v>
      </c>
      <c r="D86" s="10">
        <v>2.0500000000000001E-2</v>
      </c>
      <c r="E86" s="5">
        <f>+D86</f>
        <v>2.0500000000000001E-2</v>
      </c>
      <c r="F86" s="5">
        <f t="shared" si="63"/>
        <v>0.42818680298233502</v>
      </c>
      <c r="G86" s="3">
        <f>(1+F86)/(1+MAX(F$2:F86))-1</f>
        <v>-2.5215004597938351E-2</v>
      </c>
      <c r="H86" s="10">
        <v>3.9300000000000002E-2</v>
      </c>
      <c r="I86" s="5">
        <f>+H86</f>
        <v>3.9300000000000002E-2</v>
      </c>
      <c r="J86" s="5">
        <f t="shared" si="64"/>
        <v>0.80254656265925184</v>
      </c>
      <c r="K86" s="3">
        <f>(1+J86)/(1+MAX(J$2:J86))-1</f>
        <v>-1.7092498204449691E-2</v>
      </c>
      <c r="L86" s="10">
        <v>-8.0999999999999996E-3</v>
      </c>
      <c r="M86" s="5">
        <f>+L86</f>
        <v>-8.0999999999999996E-3</v>
      </c>
      <c r="N86" s="5">
        <f t="shared" si="65"/>
        <v>0.28284041707786955</v>
      </c>
      <c r="O86" s="3">
        <f>(1+N86)/(1+MAX(N$2:N86))-1</f>
        <v>-7.5797717069382431E-2</v>
      </c>
      <c r="P86" s="10">
        <v>9.64E-2</v>
      </c>
      <c r="Q86" s="5">
        <f>+P86</f>
        <v>9.64E-2</v>
      </c>
      <c r="R86" s="5">
        <f t="shared" si="66"/>
        <v>1.6918694303066939</v>
      </c>
      <c r="S86" s="3">
        <f>(1+R86)/(1+MAX(R$2:R86))-1</f>
        <v>-4.8894199000246719E-3</v>
      </c>
      <c r="T86" s="10">
        <v>3.3E-3</v>
      </c>
      <c r="U86" s="5">
        <f>+T86</f>
        <v>3.3E-3</v>
      </c>
      <c r="V86" s="5">
        <f t="shared" si="67"/>
        <v>0.19985399268079762</v>
      </c>
      <c r="W86" s="3">
        <f>(1+V86)/(1+MAX(V$2:V86))-1</f>
        <v>-0.11264528670711127</v>
      </c>
      <c r="X86" s="10">
        <v>7.1499999999999994E-2</v>
      </c>
      <c r="Y86" s="5">
        <f>+X86</f>
        <v>7.1499999999999994E-2</v>
      </c>
      <c r="Z86" s="5">
        <f t="shared" si="68"/>
        <v>1.0307208293750034</v>
      </c>
      <c r="AA86" s="3">
        <f>(1+Z86)/(1+MAX(Z$2:Z86))-1</f>
        <v>-2.1184749999999974E-2</v>
      </c>
      <c r="AB86" s="124"/>
      <c r="AC86" s="10">
        <f t="shared" si="54"/>
        <v>2.9215000000000001E-2</v>
      </c>
      <c r="AD86" s="5">
        <f>+AC86</f>
        <v>2.9215000000000001E-2</v>
      </c>
      <c r="AE86" s="5">
        <f t="shared" si="69"/>
        <v>0.63036293835293544</v>
      </c>
      <c r="AF86" s="5">
        <f>(1+AE86)/(1+MAX(AE$2:AE86))-1</f>
        <v>-2.05942082797127E-2</v>
      </c>
      <c r="AG86" s="51">
        <f t="shared" si="70"/>
        <v>1630.3629383529365</v>
      </c>
      <c r="AH86" s="137"/>
      <c r="AI86" s="70"/>
      <c r="AJ86" s="70"/>
      <c r="AK86" s="70"/>
      <c r="AL86" s="70"/>
      <c r="AM86" s="70"/>
      <c r="AN86" s="70"/>
      <c r="AO86" s="70"/>
      <c r="AP86" s="81"/>
      <c r="AQ86" s="81"/>
    </row>
    <row r="87" spans="1:43" s="61" customFormat="1" outlineLevel="1" x14ac:dyDescent="0.3">
      <c r="A87" s="61" t="s">
        <v>664</v>
      </c>
      <c r="B87" s="55" t="str">
        <f t="shared" si="53"/>
        <v>2023-2</v>
      </c>
      <c r="C87" s="121">
        <v>44958</v>
      </c>
      <c r="D87" s="20">
        <v>1E-4</v>
      </c>
      <c r="E87" s="15">
        <f t="shared" ref="E87:E119" si="78">+(1+D87)*(1+E86)-1</f>
        <v>2.0602049999999927E-2</v>
      </c>
      <c r="F87" s="15">
        <f t="shared" ref="F87:F119" si="79">+(1+D87)*(1+F86)-1</f>
        <v>0.42832962166263333</v>
      </c>
      <c r="G87" s="13">
        <f>(1+F87)/(1+MAX(F$2:F87))-1</f>
        <v>-2.5117526098398124E-2</v>
      </c>
      <c r="H87" s="20">
        <v>-3.2500000000000001E-2</v>
      </c>
      <c r="I87" s="15">
        <f t="shared" si="72"/>
        <v>5.5227499999999097E-3</v>
      </c>
      <c r="J87" s="15">
        <f t="shared" si="64"/>
        <v>0.74396379937282631</v>
      </c>
      <c r="K87" s="13">
        <f>(1+J87)/(1+MAX(J$2:J87))-1</f>
        <v>-4.9036992012804981E-2</v>
      </c>
      <c r="L87" s="20">
        <v>1.54E-2</v>
      </c>
      <c r="M87" s="15">
        <f t="shared" si="73"/>
        <v>7.1752600000001276E-3</v>
      </c>
      <c r="N87" s="15">
        <f t="shared" si="65"/>
        <v>0.30259615950086882</v>
      </c>
      <c r="O87" s="13">
        <f>(1+N87)/(1+MAX(N$2:N87))-1</f>
        <v>-6.1565001912250783E-2</v>
      </c>
      <c r="P87" s="20">
        <v>-2.3E-2</v>
      </c>
      <c r="Q87" s="15">
        <f t="shared" si="74"/>
        <v>7.1182800000000102E-2</v>
      </c>
      <c r="R87" s="15">
        <f t="shared" si="66"/>
        <v>1.6299564334096397</v>
      </c>
      <c r="S87" s="13">
        <f>(1+R87)/(1+MAX(R$2:R87))-1</f>
        <v>-2.777696324232426E-2</v>
      </c>
      <c r="T87" s="20">
        <v>7.3000000000000001E-3</v>
      </c>
      <c r="U87" s="15">
        <f t="shared" si="75"/>
        <v>1.0624090000000086E-2</v>
      </c>
      <c r="V87" s="15">
        <f t="shared" si="67"/>
        <v>0.20861292682736754</v>
      </c>
      <c r="W87" s="13">
        <f>(1+V87)/(1+MAX(V$2:V87))-1</f>
        <v>-0.10616759730007308</v>
      </c>
      <c r="X87" s="20">
        <v>-8.0000000000000004E-4</v>
      </c>
      <c r="Y87" s="15">
        <f t="shared" si="76"/>
        <v>7.0642799999999895E-2</v>
      </c>
      <c r="Z87" s="15">
        <f t="shared" si="68"/>
        <v>1.0290962527115033</v>
      </c>
      <c r="AA87" s="13">
        <f>(1+Z87)/(1+MAX(Z$2:Z87))-1</f>
        <v>-2.1967802200000053E-2</v>
      </c>
      <c r="AB87" s="124"/>
      <c r="AC87" s="20">
        <f t="shared" si="54"/>
        <v>-3.0799999999999994E-3</v>
      </c>
      <c r="AD87" s="15">
        <f t="shared" si="77"/>
        <v>2.6045017800000014E-2</v>
      </c>
      <c r="AE87" s="15">
        <f t="shared" si="69"/>
        <v>0.6253414205028085</v>
      </c>
      <c r="AF87" s="15">
        <f>(1+AE87)/(1+MAX(AE$2:AE87))-1</f>
        <v>-2.3610778118211107E-2</v>
      </c>
      <c r="AG87" s="58">
        <f t="shared" si="70"/>
        <v>1625.3414205028093</v>
      </c>
      <c r="AH87" s="137"/>
      <c r="AI87" s="70"/>
      <c r="AJ87" s="70"/>
      <c r="AK87" s="70"/>
      <c r="AL87" s="70"/>
      <c r="AM87" s="70"/>
      <c r="AN87" s="70"/>
      <c r="AO87" s="70"/>
      <c r="AP87" s="81"/>
      <c r="AQ87" s="81"/>
    </row>
    <row r="88" spans="1:43" s="61" customFormat="1" outlineLevel="1" x14ac:dyDescent="0.3">
      <c r="A88" s="61" t="s">
        <v>664</v>
      </c>
      <c r="B88" s="55" t="str">
        <f t="shared" si="53"/>
        <v>2023-3</v>
      </c>
      <c r="C88" s="121">
        <v>44986</v>
      </c>
      <c r="D88" s="20">
        <v>-8.8000000000000005E-3</v>
      </c>
      <c r="E88" s="15">
        <f t="shared" si="78"/>
        <v>1.1620751959999787E-2</v>
      </c>
      <c r="F88" s="15">
        <f t="shared" si="79"/>
        <v>0.41576032099200222</v>
      </c>
      <c r="G88" s="13">
        <f>(1+F88)/(1+MAX(F$2:F88))-1</f>
        <v>-3.3696491868732137E-2</v>
      </c>
      <c r="H88" s="20">
        <v>5.04E-2</v>
      </c>
      <c r="I88" s="15">
        <f t="shared" si="72"/>
        <v>5.6201096599999945E-2</v>
      </c>
      <c r="J88" s="15">
        <f t="shared" si="64"/>
        <v>0.83185957486121676</v>
      </c>
      <c r="K88" s="13">
        <f>(1+J88)/(1+MAX(J$2:J88))-1</f>
        <v>-1.1084564102503691E-3</v>
      </c>
      <c r="L88" s="20">
        <v>-1.84E-2</v>
      </c>
      <c r="M88" s="15">
        <f t="shared" si="73"/>
        <v>-1.1356764783999829E-2</v>
      </c>
      <c r="N88" s="15">
        <f t="shared" si="65"/>
        <v>0.2786283901660529</v>
      </c>
      <c r="O88" s="13">
        <f>(1+N88)/(1+MAX(N$2:N88))-1</f>
        <v>-7.8832205877065409E-2</v>
      </c>
      <c r="P88" s="20">
        <v>-2.3E-3</v>
      </c>
      <c r="Q88" s="15">
        <f t="shared" si="74"/>
        <v>6.8719079560000118E-2</v>
      </c>
      <c r="R88" s="15">
        <f t="shared" si="66"/>
        <v>1.6239075336127975</v>
      </c>
      <c r="S88" s="13">
        <f>(1+R88)/(1+MAX(R$2:R88))-1</f>
        <v>-3.0013076226866886E-2</v>
      </c>
      <c r="T88" s="20">
        <v>1.4E-3</v>
      </c>
      <c r="U88" s="15">
        <f t="shared" si="75"/>
        <v>1.2038963726000107E-2</v>
      </c>
      <c r="V88" s="15">
        <f t="shared" si="67"/>
        <v>0.21030498492492589</v>
      </c>
      <c r="W88" s="13">
        <f>(1+V88)/(1+MAX(V$2:V88))-1</f>
        <v>-0.10491623193629318</v>
      </c>
      <c r="X88" s="20">
        <v>-8.1199999999999994E-2</v>
      </c>
      <c r="Y88" s="15">
        <f t="shared" si="76"/>
        <v>-1.6293395360000074E-2</v>
      </c>
      <c r="Z88" s="15">
        <f t="shared" si="68"/>
        <v>0.86433363699132926</v>
      </c>
      <c r="AA88" s="13">
        <f>(1+Z88)/(1+MAX(Z$2:Z88))-1</f>
        <v>-0.1013840166613601</v>
      </c>
      <c r="AB88" s="124"/>
      <c r="AC88" s="20">
        <f t="shared" si="54"/>
        <v>-6.5450000000000005E-3</v>
      </c>
      <c r="AD88" s="15">
        <f t="shared" si="77"/>
        <v>1.9329553158498936E-2</v>
      </c>
      <c r="AE88" s="15">
        <f t="shared" si="69"/>
        <v>0.61470356090561751</v>
      </c>
      <c r="AF88" s="15">
        <f>(1+AE88)/(1+MAX(AE$2:AE88))-1</f>
        <v>-3.0001245575427493E-2</v>
      </c>
      <c r="AG88" s="58">
        <f t="shared" si="70"/>
        <v>1614.7035609056184</v>
      </c>
      <c r="AH88" s="137"/>
      <c r="AI88" s="70"/>
      <c r="AJ88" s="70"/>
      <c r="AK88" s="70"/>
      <c r="AL88" s="70"/>
      <c r="AM88" s="70"/>
      <c r="AN88" s="70"/>
      <c r="AO88" s="70"/>
      <c r="AP88" s="81"/>
      <c r="AQ88" s="81"/>
    </row>
    <row r="89" spans="1:43" s="61" customFormat="1" outlineLevel="1" x14ac:dyDescent="0.3">
      <c r="A89" s="61" t="s">
        <v>664</v>
      </c>
      <c r="B89" s="55" t="str">
        <f t="shared" si="53"/>
        <v>2023-4</v>
      </c>
      <c r="C89" s="121">
        <v>45017</v>
      </c>
      <c r="D89" s="20">
        <v>-3.8999999999999998E-3</v>
      </c>
      <c r="E89" s="15">
        <f t="shared" si="78"/>
        <v>7.6754310273556836E-3</v>
      </c>
      <c r="F89" s="15">
        <f t="shared" si="79"/>
        <v>0.4102388557401333</v>
      </c>
      <c r="G89" s="13">
        <f>(1+F89)/(1+MAX(F$2:F89))-1</f>
        <v>-3.7465075550444205E-2</v>
      </c>
      <c r="H89" s="20">
        <v>-2.5999999999999999E-3</v>
      </c>
      <c r="I89" s="15">
        <f t="shared" si="72"/>
        <v>5.3454973748839896E-2</v>
      </c>
      <c r="J89" s="15">
        <f t="shared" si="64"/>
        <v>0.8270967399665774</v>
      </c>
      <c r="K89" s="13">
        <f>(1+J89)/(1+MAX(J$2:J89))-1</f>
        <v>-3.7055744235837684E-3</v>
      </c>
      <c r="L89" s="20">
        <v>-7.9000000000000008E-3</v>
      </c>
      <c r="M89" s="15">
        <f t="shared" si="73"/>
        <v>-1.9167046342206229E-2</v>
      </c>
      <c r="N89" s="15">
        <f t="shared" si="65"/>
        <v>0.26852722588374101</v>
      </c>
      <c r="O89" s="13">
        <f>(1+N89)/(1+MAX(N$2:N89))-1</f>
        <v>-8.6109431450636653E-2</v>
      </c>
      <c r="P89" s="20">
        <v>-8.5000000000000006E-3</v>
      </c>
      <c r="Q89" s="15">
        <f t="shared" si="74"/>
        <v>5.9634967383740189E-2</v>
      </c>
      <c r="R89" s="15">
        <f t="shared" si="66"/>
        <v>1.6016043195770888</v>
      </c>
      <c r="S89" s="13">
        <f>(1+R89)/(1+MAX(R$2:R89))-1</f>
        <v>-3.8257965078938527E-2</v>
      </c>
      <c r="T89" s="20">
        <v>-1.0699999999999999E-2</v>
      </c>
      <c r="U89" s="15">
        <f t="shared" si="75"/>
        <v>1.2101468141318961E-3</v>
      </c>
      <c r="V89" s="15">
        <f t="shared" si="67"/>
        <v>0.19735472158622902</v>
      </c>
      <c r="W89" s="13">
        <f>(1+V89)/(1+MAX(V$2:V89))-1</f>
        <v>-0.11449362825457488</v>
      </c>
      <c r="X89" s="20">
        <v>-2.1700000000000001E-2</v>
      </c>
      <c r="Y89" s="15">
        <f t="shared" si="76"/>
        <v>-3.7639828680688159E-2</v>
      </c>
      <c r="Z89" s="15">
        <f t="shared" si="68"/>
        <v>0.82387759706861741</v>
      </c>
      <c r="AA89" s="13">
        <f>(1+Z89)/(1+MAX(Z$2:Z89))-1</f>
        <v>-0.12088398349980856</v>
      </c>
      <c r="AB89" s="124"/>
      <c r="AC89" s="20">
        <f t="shared" si="54"/>
        <v>-8.5350000000000009E-3</v>
      </c>
      <c r="AD89" s="15">
        <f t="shared" si="77"/>
        <v>1.0629575422291149E-2</v>
      </c>
      <c r="AE89" s="15">
        <f t="shared" si="69"/>
        <v>0.60092206601328813</v>
      </c>
      <c r="AF89" s="15">
        <f>(1+AE89)/(1+MAX(AE$2:AE89))-1</f>
        <v>-3.8280184944441187E-2</v>
      </c>
      <c r="AG89" s="58">
        <f t="shared" si="70"/>
        <v>1600.9220660132889</v>
      </c>
      <c r="AH89" s="137"/>
      <c r="AI89" s="70"/>
      <c r="AJ89" s="70"/>
      <c r="AK89" s="70"/>
      <c r="AL89" s="70"/>
      <c r="AM89" s="70"/>
      <c r="AN89" s="70"/>
      <c r="AO89" s="70"/>
      <c r="AP89" s="81"/>
      <c r="AQ89" s="81"/>
    </row>
    <row r="90" spans="1:43" s="61" customFormat="1" outlineLevel="1" x14ac:dyDescent="0.3">
      <c r="A90" s="61" t="s">
        <v>664</v>
      </c>
      <c r="B90" s="55" t="str">
        <f t="shared" si="53"/>
        <v>2023-5</v>
      </c>
      <c r="C90" s="121">
        <v>45047</v>
      </c>
      <c r="D90" s="20">
        <v>2.29E-2</v>
      </c>
      <c r="E90" s="15">
        <f t="shared" si="78"/>
        <v>3.0751198397882096E-2</v>
      </c>
      <c r="F90" s="15">
        <f t="shared" si="79"/>
        <v>0.4425333255365822</v>
      </c>
      <c r="G90" s="13">
        <f>(1+F90)/(1+MAX(F$2:F90))-1</f>
        <v>-1.5423025780549438E-2</v>
      </c>
      <c r="H90" s="20">
        <v>1.4E-2</v>
      </c>
      <c r="I90" s="15">
        <f t="shared" si="72"/>
        <v>6.8203343381323611E-2</v>
      </c>
      <c r="J90" s="15">
        <f t="shared" si="64"/>
        <v>0.85267609432610958</v>
      </c>
      <c r="K90" s="13">
        <f>(1+J90)/(1+MAX(J$2:J90))-1</f>
        <v>0</v>
      </c>
      <c r="L90" s="20">
        <v>2.5700000000000001E-2</v>
      </c>
      <c r="M90" s="15">
        <f t="shared" si="73"/>
        <v>6.04036056679913E-3</v>
      </c>
      <c r="N90" s="15">
        <f t="shared" si="65"/>
        <v>0.30112837558895311</v>
      </c>
      <c r="O90" s="13">
        <f>(1+N90)/(1+MAX(N$2:N90))-1</f>
        <v>-6.2622443838918018E-2</v>
      </c>
      <c r="P90" s="20">
        <v>2.5399999999999999E-2</v>
      </c>
      <c r="Q90" s="15">
        <f t="shared" si="74"/>
        <v>8.6549695555287354E-2</v>
      </c>
      <c r="R90" s="15">
        <f t="shared" si="66"/>
        <v>1.6676850692943472</v>
      </c>
      <c r="S90" s="13">
        <f>(1+R90)/(1+MAX(R$2:R90))-1</f>
        <v>-1.3829717391943386E-2</v>
      </c>
      <c r="T90" s="20">
        <v>1.52E-2</v>
      </c>
      <c r="U90" s="15">
        <f t="shared" si="75"/>
        <v>1.642854104570679E-2</v>
      </c>
      <c r="V90" s="15">
        <f t="shared" si="67"/>
        <v>0.21555451335433973</v>
      </c>
      <c r="W90" s="13">
        <f>(1+V90)/(1+MAX(V$2:V90))-1</f>
        <v>-0.10103393140404449</v>
      </c>
      <c r="X90" s="20">
        <v>-7.6E-3</v>
      </c>
      <c r="Y90" s="15">
        <f t="shared" si="76"/>
        <v>-4.4953765982714944E-2</v>
      </c>
      <c r="Z90" s="15">
        <f t="shared" si="68"/>
        <v>0.8100161273308959</v>
      </c>
      <c r="AA90" s="13">
        <f>(1+Z90)/(1+MAX(Z$2:Z90))-1</f>
        <v>-0.12756526522521006</v>
      </c>
      <c r="AB90" s="124"/>
      <c r="AC90" s="20">
        <f t="shared" si="54"/>
        <v>1.805E-2</v>
      </c>
      <c r="AD90" s="15">
        <f t="shared" si="77"/>
        <v>2.8871439258663312E-2</v>
      </c>
      <c r="AE90" s="15">
        <f t="shared" si="69"/>
        <v>0.62981870930482775</v>
      </c>
      <c r="AF90" s="15">
        <f>(1+AE90)/(1+MAX(AE$2:AE90))-1</f>
        <v>-2.0921142282688487E-2</v>
      </c>
      <c r="AG90" s="58">
        <f t="shared" si="70"/>
        <v>1629.8187093048286</v>
      </c>
      <c r="AH90" s="137"/>
      <c r="AI90" s="70"/>
      <c r="AJ90" s="70"/>
      <c r="AK90" s="70"/>
      <c r="AL90" s="70"/>
      <c r="AM90" s="70"/>
      <c r="AN90" s="70"/>
      <c r="AO90" s="70"/>
      <c r="AP90" s="81"/>
      <c r="AQ90" s="81"/>
    </row>
    <row r="91" spans="1:43" s="61" customFormat="1" outlineLevel="1" x14ac:dyDescent="0.3">
      <c r="A91" s="61" t="s">
        <v>664</v>
      </c>
      <c r="B91" s="55" t="str">
        <f t="shared" si="53"/>
        <v>2023-6</v>
      </c>
      <c r="C91" s="121">
        <v>45078</v>
      </c>
      <c r="D91" s="20">
        <v>1.8E-3</v>
      </c>
      <c r="E91" s="15">
        <f t="shared" si="78"/>
        <v>3.2606550554998392E-2</v>
      </c>
      <c r="F91" s="15">
        <f t="shared" si="79"/>
        <v>0.44512988552254806</v>
      </c>
      <c r="G91" s="13">
        <f>(1+F91)/(1+MAX(F$2:F91))-1</f>
        <v>-1.3650787226954453E-2</v>
      </c>
      <c r="H91" s="20">
        <v>-3.39E-2</v>
      </c>
      <c r="I91" s="15">
        <f t="shared" si="72"/>
        <v>3.1991250040696695E-2</v>
      </c>
      <c r="J91" s="15">
        <f t="shared" si="64"/>
        <v>0.78987037472845434</v>
      </c>
      <c r="K91" s="13">
        <f>(1+J91)/(1+MAX(J$2:J91))-1</f>
        <v>-3.3900000000000041E-2</v>
      </c>
      <c r="L91" s="20">
        <v>-1.52E-2</v>
      </c>
      <c r="M91" s="15">
        <f t="shared" si="73"/>
        <v>-9.2514529138162382E-3</v>
      </c>
      <c r="N91" s="15">
        <f t="shared" si="65"/>
        <v>0.28135122428000114</v>
      </c>
      <c r="O91" s="13">
        <f>(1+N91)/(1+MAX(N$2:N91))-1</f>
        <v>-7.6870582692566303E-2</v>
      </c>
      <c r="P91" s="20">
        <v>5.1400000000000001E-2</v>
      </c>
      <c r="Q91" s="15">
        <f t="shared" si="74"/>
        <v>0.14239834990682931</v>
      </c>
      <c r="R91" s="15">
        <f t="shared" si="66"/>
        <v>1.8048040818560769</v>
      </c>
      <c r="S91" s="13">
        <f>(1+R91)/(1+MAX(R$2:R91))-1</f>
        <v>0</v>
      </c>
      <c r="T91" s="20">
        <v>-1.6899999999999998E-2</v>
      </c>
      <c r="U91" s="15">
        <f t="shared" si="75"/>
        <v>-7.4910129796568192E-4</v>
      </c>
      <c r="V91" s="15">
        <f t="shared" si="67"/>
        <v>0.1950116420786514</v>
      </c>
      <c r="W91" s="13">
        <f>(1+V91)/(1+MAX(V$2:V91))-1</f>
        <v>-0.1162264579633161</v>
      </c>
      <c r="X91" s="20">
        <v>8.14E-2</v>
      </c>
      <c r="Y91" s="15">
        <f t="shared" si="76"/>
        <v>3.2786997466291989E-2</v>
      </c>
      <c r="Z91" s="15">
        <f t="shared" si="68"/>
        <v>0.95735144009563067</v>
      </c>
      <c r="AA91" s="13">
        <f>(1+Z91)/(1+MAX(Z$2:Z91))-1</f>
        <v>-5.6549077814542215E-2</v>
      </c>
      <c r="AB91" s="124"/>
      <c r="AC91" s="20">
        <f t="shared" si="54"/>
        <v>3.8550000000000008E-3</v>
      </c>
      <c r="AD91" s="15">
        <f t="shared" si="77"/>
        <v>3.2837738657005344E-2</v>
      </c>
      <c r="AE91" s="15">
        <f t="shared" si="69"/>
        <v>0.6361016604291978</v>
      </c>
      <c r="AF91" s="15">
        <f>(1+AE91)/(1+MAX(AE$2:AE91))-1</f>
        <v>-1.7146793286188289E-2</v>
      </c>
      <c r="AG91" s="58">
        <f t="shared" si="70"/>
        <v>1636.1016604291988</v>
      </c>
      <c r="AH91" s="137"/>
      <c r="AI91" s="70"/>
      <c r="AJ91" s="70"/>
      <c r="AK91" s="70"/>
      <c r="AL91" s="70"/>
      <c r="AM91" s="70"/>
      <c r="AN91" s="70"/>
      <c r="AO91" s="70"/>
      <c r="AP91" s="81"/>
      <c r="AQ91" s="81"/>
    </row>
    <row r="92" spans="1:43" s="61" customFormat="1" outlineLevel="1" x14ac:dyDescent="0.3">
      <c r="A92" s="61" t="s">
        <v>664</v>
      </c>
      <c r="B92" s="55" t="str">
        <f t="shared" si="53"/>
        <v>2023-7</v>
      </c>
      <c r="C92" s="121">
        <v>45108</v>
      </c>
      <c r="D92" s="20">
        <v>-1E-4</v>
      </c>
      <c r="E92" s="15">
        <f t="shared" si="78"/>
        <v>3.2503289899942889E-2</v>
      </c>
      <c r="F92" s="15">
        <f t="shared" si="79"/>
        <v>0.44498537253399584</v>
      </c>
      <c r="G92" s="13">
        <f>(1+F92)/(1+MAX(F$2:F92))-1</f>
        <v>-1.3749422148231716E-2</v>
      </c>
      <c r="H92" s="20">
        <v>7.7999999999999996E-3</v>
      </c>
      <c r="I92" s="15">
        <f t="shared" si="72"/>
        <v>4.0040781791014224E-2</v>
      </c>
      <c r="J92" s="15">
        <f t="shared" si="64"/>
        <v>0.80383136365133634</v>
      </c>
      <c r="K92" s="13">
        <f>(1+J92)/(1+MAX(J$2:J92))-1</f>
        <v>-2.6364420000000055E-2</v>
      </c>
      <c r="L92" s="20">
        <v>-9.2999999999999992E-3</v>
      </c>
      <c r="M92" s="15">
        <f t="shared" si="73"/>
        <v>-1.8465414401717672E-2</v>
      </c>
      <c r="N92" s="15">
        <f t="shared" si="65"/>
        <v>0.26943465789419707</v>
      </c>
      <c r="O92" s="13">
        <f>(1+N92)/(1+MAX(N$2:N92))-1</f>
        <v>-8.5455686273525511E-2</v>
      </c>
      <c r="P92" s="20">
        <v>2.3800000000000002E-2</v>
      </c>
      <c r="Q92" s="15">
        <f t="shared" si="74"/>
        <v>0.1695874306346119</v>
      </c>
      <c r="R92" s="15">
        <f t="shared" si="66"/>
        <v>1.8715584190042516</v>
      </c>
      <c r="S92" s="13">
        <f>(1+R92)/(1+MAX(R$2:R92))-1</f>
        <v>0</v>
      </c>
      <c r="T92" s="20">
        <v>-1.3299999999999999E-2</v>
      </c>
      <c r="U92" s="15">
        <f t="shared" si="75"/>
        <v>-1.4039138250702687E-2</v>
      </c>
      <c r="V92" s="15">
        <f t="shared" si="67"/>
        <v>0.17911798723900541</v>
      </c>
      <c r="W92" s="13">
        <f>(1+V92)/(1+MAX(V$2:V92))-1</f>
        <v>-0.12798064607240389</v>
      </c>
      <c r="X92" s="20">
        <v>3.9699999999999999E-2</v>
      </c>
      <c r="Y92" s="15">
        <f t="shared" si="76"/>
        <v>7.3788641265703836E-2</v>
      </c>
      <c r="Z92" s="15">
        <f t="shared" si="68"/>
        <v>1.0350582922674274</v>
      </c>
      <c r="AA92" s="13">
        <f>(1+Z92)/(1+MAX(Z$2:Z92))-1</f>
        <v>-1.9094076203779453E-2</v>
      </c>
      <c r="AB92" s="124"/>
      <c r="AC92" s="20">
        <f t="shared" si="54"/>
        <v>3.7100000000000006E-3</v>
      </c>
      <c r="AD92" s="15">
        <f t="shared" si="77"/>
        <v>3.6669566667423048E-2</v>
      </c>
      <c r="AE92" s="15">
        <f t="shared" si="69"/>
        <v>0.64217159758939024</v>
      </c>
      <c r="AF92" s="15">
        <f>(1+AE92)/(1+MAX(AE$2:AE92))-1</f>
        <v>-1.3500407889279975E-2</v>
      </c>
      <c r="AG92" s="58">
        <f t="shared" si="70"/>
        <v>1642.1715975893912</v>
      </c>
      <c r="AH92" s="137"/>
      <c r="AI92" s="70"/>
      <c r="AJ92" s="70"/>
      <c r="AK92" s="70"/>
      <c r="AL92" s="70"/>
      <c r="AM92" s="70"/>
      <c r="AN92" s="70"/>
      <c r="AO92" s="70"/>
      <c r="AP92" s="81"/>
      <c r="AQ92" s="81"/>
    </row>
    <row r="93" spans="1:43" s="61" customFormat="1" outlineLevel="1" x14ac:dyDescent="0.3">
      <c r="A93" s="61" t="s">
        <v>664</v>
      </c>
      <c r="B93" s="55" t="str">
        <f t="shared" si="53"/>
        <v>2023-8</v>
      </c>
      <c r="C93" s="121">
        <v>45139</v>
      </c>
      <c r="D93" s="20">
        <v>-3.0000000000000001E-3</v>
      </c>
      <c r="E93" s="15">
        <f t="shared" si="78"/>
        <v>2.9405780030242967E-2</v>
      </c>
      <c r="F93" s="15">
        <f t="shared" si="79"/>
        <v>0.4406504164163938</v>
      </c>
      <c r="G93" s="13">
        <f>(1+F93)/(1+MAX(F$2:F93))-1</f>
        <v>-1.6708173881787025E-2</v>
      </c>
      <c r="H93" s="20">
        <v>-3.8E-3</v>
      </c>
      <c r="I93" s="15">
        <f t="shared" si="72"/>
        <v>3.6088626820208303E-2</v>
      </c>
      <c r="J93" s="15">
        <f t="shared" si="64"/>
        <v>0.79697680446946118</v>
      </c>
      <c r="K93" s="13">
        <f>(1+J93)/(1+MAX(J$2:J93))-1</f>
        <v>-3.0064235204000034E-2</v>
      </c>
      <c r="L93" s="20">
        <v>1.12E-2</v>
      </c>
      <c r="M93" s="15">
        <f t="shared" si="73"/>
        <v>-7.4722270430168658E-3</v>
      </c>
      <c r="N93" s="15">
        <f t="shared" si="65"/>
        <v>0.28365232606261226</v>
      </c>
      <c r="O93" s="13">
        <f>(1+N93)/(1+MAX(N$2:N93))-1</f>
        <v>-7.5212789959788862E-2</v>
      </c>
      <c r="P93" s="20">
        <v>-3.2500000000000001E-2</v>
      </c>
      <c r="Q93" s="15">
        <f t="shared" si="74"/>
        <v>0.13157583913898696</v>
      </c>
      <c r="R93" s="15">
        <f t="shared" si="66"/>
        <v>1.7782327703866136</v>
      </c>
      <c r="S93" s="13">
        <f>(1+R93)/(1+MAX(R$2:R93))-1</f>
        <v>-3.2499999999999862E-2</v>
      </c>
      <c r="T93" s="20">
        <v>-1E-4</v>
      </c>
      <c r="U93" s="15">
        <f t="shared" si="75"/>
        <v>-1.4137734336877594E-2</v>
      </c>
      <c r="V93" s="15">
        <f t="shared" si="67"/>
        <v>0.17900007544028163</v>
      </c>
      <c r="W93" s="13">
        <f>(1+V93)/(1+MAX(V$2:V93))-1</f>
        <v>-0.12806784800779658</v>
      </c>
      <c r="X93" s="20">
        <v>-2.5499999999999998E-2</v>
      </c>
      <c r="Y93" s="15">
        <f t="shared" si="76"/>
        <v>4.6407030913428349E-2</v>
      </c>
      <c r="Z93" s="15">
        <f t="shared" si="68"/>
        <v>0.98316430581460801</v>
      </c>
      <c r="AA93" s="13">
        <f>(1+Z93)/(1+MAX(Z$2:Z93))-1</f>
        <v>-4.4107177260582997E-2</v>
      </c>
      <c r="AB93" s="124"/>
      <c r="AC93" s="20">
        <f t="shared" si="54"/>
        <v>-5.6649999999999999E-3</v>
      </c>
      <c r="AD93" s="15">
        <f t="shared" si="77"/>
        <v>3.0796833572252158E-2</v>
      </c>
      <c r="AE93" s="15">
        <f t="shared" si="69"/>
        <v>0.63286869548904634</v>
      </c>
      <c r="AF93" s="15">
        <f>(1+AE93)/(1+MAX(AE$2:AE93))-1</f>
        <v>-1.9088928078587197E-2</v>
      </c>
      <c r="AG93" s="58">
        <f t="shared" si="70"/>
        <v>1632.8686954890472</v>
      </c>
      <c r="AH93" s="137"/>
      <c r="AI93" s="70"/>
      <c r="AJ93" s="70"/>
      <c r="AK93" s="70"/>
      <c r="AL93" s="70"/>
      <c r="AM93" s="70"/>
      <c r="AN93" s="70"/>
      <c r="AO93" s="70"/>
      <c r="AP93" s="81"/>
      <c r="AQ93" s="81"/>
    </row>
    <row r="94" spans="1:43" s="61" customFormat="1" outlineLevel="1" x14ac:dyDescent="0.3">
      <c r="A94" s="61" t="s">
        <v>664</v>
      </c>
      <c r="B94" s="55" t="str">
        <f t="shared" si="53"/>
        <v>2023-9</v>
      </c>
      <c r="C94" s="121">
        <v>45170</v>
      </c>
      <c r="D94" s="20">
        <v>1.34E-2</v>
      </c>
      <c r="E94" s="15">
        <f t="shared" si="78"/>
        <v>4.3199817482648228E-2</v>
      </c>
      <c r="F94" s="15">
        <f t="shared" si="79"/>
        <v>0.4599551319963735</v>
      </c>
      <c r="G94" s="13">
        <f>(1+F94)/(1+MAX(F$2:F94))-1</f>
        <v>-3.5320634118030103E-3</v>
      </c>
      <c r="H94" s="20">
        <v>-1.4500000000000001E-2</v>
      </c>
      <c r="I94" s="15">
        <f t="shared" si="72"/>
        <v>2.1065341731315357E-2</v>
      </c>
      <c r="J94" s="15">
        <f t="shared" si="64"/>
        <v>0.77092064080465406</v>
      </c>
      <c r="K94" s="13">
        <f>(1+J94)/(1+MAX(J$2:J94))-1</f>
        <v>-4.4128303793542045E-2</v>
      </c>
      <c r="L94" s="20">
        <v>3.32E-2</v>
      </c>
      <c r="M94" s="15">
        <f t="shared" si="73"/>
        <v>2.5479695019154924E-2</v>
      </c>
      <c r="N94" s="15">
        <f t="shared" si="65"/>
        <v>0.3262695832878908</v>
      </c>
      <c r="O94" s="13">
        <f>(1+N94)/(1+MAX(N$2:N94))-1</f>
        <v>-4.4509854586453956E-2</v>
      </c>
      <c r="P94" s="20">
        <v>-2.47E-2</v>
      </c>
      <c r="Q94" s="15">
        <f t="shared" si="74"/>
        <v>0.10362591591225412</v>
      </c>
      <c r="R94" s="15">
        <f t="shared" si="66"/>
        <v>1.7096104209580645</v>
      </c>
      <c r="S94" s="13">
        <f>(1+R94)/(1+MAX(R$2:R94))-1</f>
        <v>-5.6397249999999843E-2</v>
      </c>
      <c r="T94" s="20">
        <v>1.54E-2</v>
      </c>
      <c r="U94" s="15">
        <f t="shared" si="75"/>
        <v>1.0445445543345588E-3</v>
      </c>
      <c r="V94" s="15">
        <f t="shared" si="67"/>
        <v>0.19715667660206204</v>
      </c>
      <c r="W94" s="13">
        <f>(1+V94)/(1+MAX(V$2:V94))-1</f>
        <v>-0.11464009286711663</v>
      </c>
      <c r="X94" s="20">
        <v>-1.5599999999999999E-2</v>
      </c>
      <c r="Y94" s="15">
        <f t="shared" si="76"/>
        <v>3.0083081231178976E-2</v>
      </c>
      <c r="Z94" s="15">
        <f t="shared" si="68"/>
        <v>0.95222694264390029</v>
      </c>
      <c r="AA94" s="13">
        <f>(1+Z94)/(1+MAX(Z$2:Z94))-1</f>
        <v>-5.9019105295317842E-2</v>
      </c>
      <c r="AB94" s="124"/>
      <c r="AC94" s="20">
        <f t="shared" si="54"/>
        <v>5.9500000000000004E-3</v>
      </c>
      <c r="AD94" s="15">
        <f t="shared" si="77"/>
        <v>3.6930074732006934E-2</v>
      </c>
      <c r="AE94" s="15">
        <f t="shared" si="69"/>
        <v>0.64258426422720594</v>
      </c>
      <c r="AF94" s="15">
        <f>(1+AE94)/(1+MAX(AE$2:AE94))-1</f>
        <v>-1.3252507200654962E-2</v>
      </c>
      <c r="AG94" s="58">
        <f t="shared" si="70"/>
        <v>1642.5842642272069</v>
      </c>
      <c r="AH94" s="137"/>
      <c r="AI94" s="70"/>
      <c r="AJ94" s="70"/>
      <c r="AK94" s="70"/>
      <c r="AL94" s="70"/>
      <c r="AM94" s="70"/>
      <c r="AN94" s="70"/>
      <c r="AO94" s="70"/>
      <c r="AP94" s="81"/>
      <c r="AQ94" s="81"/>
    </row>
    <row r="95" spans="1:43" s="61" customFormat="1" outlineLevel="1" x14ac:dyDescent="0.3">
      <c r="A95" s="61" t="s">
        <v>664</v>
      </c>
      <c r="B95" s="55" t="str">
        <f t="shared" si="53"/>
        <v>2023-10</v>
      </c>
      <c r="C95" s="121">
        <v>45200</v>
      </c>
      <c r="D95" s="20">
        <v>-2.1499999999999998E-2</v>
      </c>
      <c r="E95" s="15">
        <f t="shared" si="78"/>
        <v>2.0771021406771339E-2</v>
      </c>
      <c r="F95" s="15">
        <f t="shared" si="79"/>
        <v>0.42856609665845147</v>
      </c>
      <c r="G95" s="13">
        <f>(1+F95)/(1+MAX(F$2:F95))-1</f>
        <v>-2.4956124048449269E-2</v>
      </c>
      <c r="H95" s="20">
        <v>6.9000000000000006E-2</v>
      </c>
      <c r="I95" s="15">
        <f t="shared" si="72"/>
        <v>9.1518850310776001E-2</v>
      </c>
      <c r="J95" s="15">
        <f t="shared" si="64"/>
        <v>0.89311416502017504</v>
      </c>
      <c r="K95" s="13">
        <f>(1+J95)/(1+MAX(J$2:J95))-1</f>
        <v>0</v>
      </c>
      <c r="L95" s="20">
        <v>-4.3E-3</v>
      </c>
      <c r="M95" s="15">
        <f t="shared" si="73"/>
        <v>2.1070132330572644E-2</v>
      </c>
      <c r="N95" s="15">
        <f t="shared" si="65"/>
        <v>0.32056662407975289</v>
      </c>
      <c r="O95" s="13">
        <f>(1+N95)/(1+MAX(N$2:N95))-1</f>
        <v>-4.8618462211732272E-2</v>
      </c>
      <c r="P95" s="20">
        <v>-4.7199999999999999E-2</v>
      </c>
      <c r="Q95" s="15">
        <f t="shared" si="74"/>
        <v>5.1534772681195662E-2</v>
      </c>
      <c r="R95" s="15">
        <f t="shared" si="66"/>
        <v>1.5817168090888436</v>
      </c>
      <c r="S95" s="13">
        <f>(1+R95)/(1+MAX(R$2:R95))-1</f>
        <v>-0.10093529979999993</v>
      </c>
      <c r="T95" s="20">
        <v>-1.1900000000000001E-2</v>
      </c>
      <c r="U95" s="15">
        <f t="shared" si="75"/>
        <v>-1.0867885525862042E-2</v>
      </c>
      <c r="V95" s="15">
        <f t="shared" si="67"/>
        <v>0.18291051215049747</v>
      </c>
      <c r="W95" s="13">
        <f>(1+V95)/(1+MAX(V$2:V95))-1</f>
        <v>-0.12517587576199796</v>
      </c>
      <c r="X95" s="20">
        <v>-5.3199999999999997E-2</v>
      </c>
      <c r="Y95" s="15">
        <f t="shared" si="76"/>
        <v>-2.4717338690319779E-2</v>
      </c>
      <c r="Z95" s="15">
        <f t="shared" si="68"/>
        <v>0.84836846929524468</v>
      </c>
      <c r="AA95" s="13">
        <f>(1+Z95)/(1+MAX(Z$2:Z95))-1</f>
        <v>-0.10907928889360696</v>
      </c>
      <c r="AB95" s="124"/>
      <c r="AC95" s="20">
        <f t="shared" si="54"/>
        <v>-8.7299999999999999E-3</v>
      </c>
      <c r="AD95" s="15">
        <f t="shared" si="77"/>
        <v>2.7877675179596606E-2</v>
      </c>
      <c r="AE95" s="15">
        <f t="shared" si="69"/>
        <v>0.62824450360050244</v>
      </c>
      <c r="AF95" s="15">
        <f>(1+AE95)/(1+MAX(AE$2:AE95))-1</f>
        <v>-2.1866812812793235E-2</v>
      </c>
      <c r="AG95" s="58">
        <f t="shared" si="70"/>
        <v>1628.2445036005033</v>
      </c>
      <c r="AH95" s="137"/>
      <c r="AI95" s="70"/>
      <c r="AJ95" s="70"/>
      <c r="AK95" s="70"/>
      <c r="AL95" s="70"/>
      <c r="AM95" s="70"/>
      <c r="AN95" s="70"/>
      <c r="AO95" s="70"/>
      <c r="AP95" s="81"/>
      <c r="AQ95" s="81"/>
    </row>
    <row r="96" spans="1:43" s="61" customFormat="1" outlineLevel="1" x14ac:dyDescent="0.3">
      <c r="A96" s="61" t="s">
        <v>664</v>
      </c>
      <c r="B96" s="55" t="str">
        <f t="shared" si="53"/>
        <v>2023-11</v>
      </c>
      <c r="C96" s="121">
        <v>45231</v>
      </c>
      <c r="D96" s="20">
        <v>2.2200000000000001E-2</v>
      </c>
      <c r="E96" s="15">
        <f t="shared" si="78"/>
        <v>4.3432138082001748E-2</v>
      </c>
      <c r="F96" s="15">
        <f t="shared" si="79"/>
        <v>0.46028026400426914</v>
      </c>
      <c r="G96" s="13">
        <f>(1+F96)/(1+MAX(F$2:F96))-1</f>
        <v>-3.3101500023248187E-3</v>
      </c>
      <c r="H96" s="20">
        <v>-8.2000000000000007E-3</v>
      </c>
      <c r="I96" s="15">
        <f t="shared" si="72"/>
        <v>8.2568395738227718E-2</v>
      </c>
      <c r="J96" s="15">
        <f t="shared" si="64"/>
        <v>0.87759062886700967</v>
      </c>
      <c r="K96" s="13">
        <f>(1+J96)/(1+MAX(J$2:J96))-1</f>
        <v>-8.1999999999999851E-3</v>
      </c>
      <c r="L96" s="20">
        <v>-1.7999999999999999E-2</v>
      </c>
      <c r="M96" s="15">
        <f t="shared" si="73"/>
        <v>2.690869948622332E-3</v>
      </c>
      <c r="N96" s="15">
        <f t="shared" si="65"/>
        <v>0.2967964248463173</v>
      </c>
      <c r="O96" s="13">
        <f>(1+N96)/(1+MAX(N$2:N96))-1</f>
        <v>-6.574332989192111E-2</v>
      </c>
      <c r="P96" s="20">
        <v>7.2999999999999995E-2</v>
      </c>
      <c r="Q96" s="15">
        <f t="shared" si="74"/>
        <v>0.12829681108692292</v>
      </c>
      <c r="R96" s="15">
        <f t="shared" si="66"/>
        <v>1.7701821361523291</v>
      </c>
      <c r="S96" s="13">
        <f>(1+R96)/(1+MAX(R$2:R96))-1</f>
        <v>-3.5303576685399962E-2</v>
      </c>
      <c r="T96" s="20">
        <v>-7.1000000000000004E-3</v>
      </c>
      <c r="U96" s="15">
        <f t="shared" si="75"/>
        <v>-1.7890723538628417E-2</v>
      </c>
      <c r="V96" s="15">
        <f t="shared" si="67"/>
        <v>0.17451184751422888</v>
      </c>
      <c r="W96" s="13">
        <f>(1+V96)/(1+MAX(V$2:V96))-1</f>
        <v>-0.13138712704408784</v>
      </c>
      <c r="X96" s="20">
        <v>5.1900000000000002E-2</v>
      </c>
      <c r="Y96" s="15">
        <f t="shared" si="76"/>
        <v>2.5899831431652753E-2</v>
      </c>
      <c r="Z96" s="15">
        <f t="shared" si="68"/>
        <v>0.94429879285166796</v>
      </c>
      <c r="AA96" s="13">
        <f>(1+Z96)/(1+MAX(Z$2:Z96))-1</f>
        <v>-6.2840503987185214E-2</v>
      </c>
      <c r="AB96" s="124"/>
      <c r="AC96" s="20">
        <f t="shared" si="54"/>
        <v>1.2320000000000001E-2</v>
      </c>
      <c r="AD96" s="15">
        <f t="shared" si="77"/>
        <v>4.0541128137809412E-2</v>
      </c>
      <c r="AE96" s="15">
        <f t="shared" si="69"/>
        <v>0.64830447588486084</v>
      </c>
      <c r="AF96" s="15">
        <f>(1+AE96)/(1+MAX(AE$2:AE96))-1</f>
        <v>-9.8162119466467246E-3</v>
      </c>
      <c r="AG96" s="58">
        <f t="shared" si="70"/>
        <v>1648.3044758848616</v>
      </c>
      <c r="AH96" s="137"/>
      <c r="AI96" s="70"/>
      <c r="AJ96" s="70"/>
      <c r="AK96" s="70"/>
      <c r="AL96" s="70"/>
      <c r="AM96" s="70"/>
      <c r="AN96" s="70"/>
      <c r="AO96" s="70"/>
      <c r="AP96" s="81"/>
      <c r="AQ96" s="81"/>
    </row>
    <row r="97" spans="1:43" s="27" customFormat="1" ht="15" thickBot="1" x14ac:dyDescent="0.35">
      <c r="A97" s="27" t="s">
        <v>664</v>
      </c>
      <c r="B97" s="63" t="str">
        <f t="shared" si="53"/>
        <v>2023-12</v>
      </c>
      <c r="C97" s="122">
        <v>45261</v>
      </c>
      <c r="D97" s="32">
        <v>3.6600000000000001E-2</v>
      </c>
      <c r="E97" s="25">
        <f t="shared" si="78"/>
        <v>8.1621754335802876E-2</v>
      </c>
      <c r="F97" s="25">
        <f t="shared" si="79"/>
        <v>0.51372652166682542</v>
      </c>
      <c r="G97" s="26">
        <f>(1+F97)/(1+MAX(F$2:F97))-1</f>
        <v>0</v>
      </c>
      <c r="H97" s="32">
        <v>4.1000000000000003E-3</v>
      </c>
      <c r="I97" s="25">
        <f t="shared" si="72"/>
        <v>8.700692616075445E-2</v>
      </c>
      <c r="J97" s="25">
        <f t="shared" si="64"/>
        <v>0.88528875044536437</v>
      </c>
      <c r="K97" s="26">
        <f>(1+J97)/(1+MAX(J$2:J97))-1</f>
        <v>-4.133619999999949E-3</v>
      </c>
      <c r="L97" s="32">
        <v>3.2000000000000002E-3</v>
      </c>
      <c r="M97" s="25">
        <f t="shared" si="73"/>
        <v>5.8994807324579401E-3</v>
      </c>
      <c r="N97" s="25">
        <f t="shared" si="65"/>
        <v>0.30094617340582563</v>
      </c>
      <c r="O97" s="26">
        <f>(1+N97)/(1+MAX(N$2:N97))-1</f>
        <v>-6.2753708547575116E-2</v>
      </c>
      <c r="P97" s="32">
        <v>5.4300000000000001E-2</v>
      </c>
      <c r="Q97" s="25">
        <f t="shared" si="74"/>
        <v>0.18956332792894282</v>
      </c>
      <c r="R97" s="25">
        <f t="shared" si="66"/>
        <v>1.9206030261454008</v>
      </c>
      <c r="S97" s="26">
        <f>(1+R97)/(1+MAX(R$2:R97))-1</f>
        <v>0</v>
      </c>
      <c r="T97" s="32">
        <v>1.7399999999999999E-2</v>
      </c>
      <c r="U97" s="25">
        <f t="shared" si="75"/>
        <v>-8.0202212820046359E-4</v>
      </c>
      <c r="V97" s="25">
        <f t="shared" si="67"/>
        <v>0.19494835366097663</v>
      </c>
      <c r="W97" s="26">
        <f>(1+V97)/(1+MAX(V$2:V97))-1</f>
        <v>-0.1162732630546548</v>
      </c>
      <c r="X97" s="32">
        <v>8.8599999999999998E-2</v>
      </c>
      <c r="Y97" s="25">
        <f t="shared" si="76"/>
        <v>0.11679455649649717</v>
      </c>
      <c r="Z97" s="25">
        <f t="shared" si="68"/>
        <v>1.1165636658983256</v>
      </c>
      <c r="AA97" s="26">
        <f>(1+Z97)/(1+MAX(Z$2:Z97))-1</f>
        <v>0</v>
      </c>
      <c r="AB97" s="125"/>
      <c r="AC97" s="20">
        <f t="shared" si="54"/>
        <v>2.7390000000000001E-2</v>
      </c>
      <c r="AD97" s="25">
        <f t="shared" si="77"/>
        <v>6.9041549637504085E-2</v>
      </c>
      <c r="AE97" s="25">
        <f t="shared" si="69"/>
        <v>0.69345153547934713</v>
      </c>
      <c r="AF97" s="25">
        <f>(1+AE97)/(1+MAX(AE$2:AE97))-1</f>
        <v>0</v>
      </c>
      <c r="AG97" s="66">
        <f t="shared" si="70"/>
        <v>1693.451535479348</v>
      </c>
      <c r="AH97" s="138"/>
      <c r="AI97" s="139"/>
      <c r="AJ97" s="139"/>
      <c r="AK97" s="139"/>
      <c r="AL97" s="139"/>
      <c r="AM97" s="139"/>
      <c r="AN97" s="139"/>
      <c r="AO97" s="139"/>
      <c r="AP97" s="78"/>
      <c r="AQ97" s="78"/>
    </row>
    <row r="98" spans="1:43" s="54" customFormat="1" outlineLevel="1" x14ac:dyDescent="0.3">
      <c r="A98" s="54" t="s">
        <v>664</v>
      </c>
      <c r="B98" s="48" t="str">
        <f t="shared" si="53"/>
        <v>2024-1</v>
      </c>
      <c r="C98" s="120">
        <v>45292</v>
      </c>
      <c r="D98" s="10">
        <v>1.61E-2</v>
      </c>
      <c r="E98" s="5">
        <f>+D98</f>
        <v>1.61E-2</v>
      </c>
      <c r="F98" s="5">
        <f t="shared" si="79"/>
        <v>0.53809751866566136</v>
      </c>
      <c r="G98" s="3">
        <f>(1+F98)/(1+MAX(F$2:F98))-1</f>
        <v>0</v>
      </c>
      <c r="H98" s="10">
        <v>6.6E-3</v>
      </c>
      <c r="I98" s="5">
        <f>+H98</f>
        <v>6.6E-3</v>
      </c>
      <c r="J98" s="5">
        <f t="shared" si="64"/>
        <v>0.89773165619830375</v>
      </c>
      <c r="K98" s="3">
        <f>(1+J98)/(1+MAX(J$2:J98))-1</f>
        <v>0</v>
      </c>
      <c r="L98" s="10">
        <v>2.5999999999999999E-2</v>
      </c>
      <c r="M98" s="5">
        <f>+L98</f>
        <v>2.5999999999999999E-2</v>
      </c>
      <c r="N98" s="5">
        <f t="shared" si="65"/>
        <v>0.33477077391437704</v>
      </c>
      <c r="O98" s="3">
        <f>(1+N98)/(1+MAX(N$2:N98))-1</f>
        <v>-3.8385304969812184E-2</v>
      </c>
      <c r="P98" s="10">
        <v>1.4800000000000001E-2</v>
      </c>
      <c r="Q98" s="5">
        <f>+P98</f>
        <v>1.4800000000000001E-2</v>
      </c>
      <c r="R98" s="5">
        <f t="shared" si="66"/>
        <v>1.9638279509323526</v>
      </c>
      <c r="S98" s="3">
        <f>(1+R98)/(1+MAX(R$2:R98))-1</f>
        <v>0</v>
      </c>
      <c r="T98" s="10">
        <v>2.3300000000000001E-2</v>
      </c>
      <c r="U98" s="5">
        <f>+T98</f>
        <v>2.3300000000000001E-2</v>
      </c>
      <c r="V98" s="5">
        <f t="shared" si="67"/>
        <v>0.22279065030127754</v>
      </c>
      <c r="W98" s="3">
        <f>(1+V98)/(1+MAX(V$2:V98))-1</f>
        <v>-9.5682430083828152E-2</v>
      </c>
      <c r="X98" s="10">
        <v>-4.3E-3</v>
      </c>
      <c r="Y98" s="5">
        <f>+X98</f>
        <v>-4.3E-3</v>
      </c>
      <c r="Z98" s="5">
        <f t="shared" si="68"/>
        <v>1.1074624421349628</v>
      </c>
      <c r="AA98" s="3">
        <f>(1+Z98)/(1+MAX(Z$2:Z98))-1</f>
        <v>-4.2999999999999705E-3</v>
      </c>
      <c r="AB98" s="124"/>
      <c r="AC98" s="10">
        <f t="shared" ref="AC98:AC119" si="80">D98*$E$1+H98*$I$1+L98*$M$1+P98*$Q$1+T98*$U$1+X98*$Y$1</f>
        <v>1.6355000000000001E-2</v>
      </c>
      <c r="AD98" s="5">
        <f>+AC98</f>
        <v>1.6355000000000001E-2</v>
      </c>
      <c r="AE98" s="5">
        <f t="shared" si="69"/>
        <v>0.72114793534211175</v>
      </c>
      <c r="AF98" s="5">
        <f>(1+AE98)/(1+MAX(AE$2:AE98))-1</f>
        <v>0</v>
      </c>
      <c r="AG98" s="51">
        <f t="shared" si="70"/>
        <v>1721.1479353421125</v>
      </c>
      <c r="AH98" s="137"/>
      <c r="AI98" s="70"/>
      <c r="AJ98" s="70"/>
      <c r="AK98" s="70"/>
      <c r="AL98" s="70"/>
      <c r="AM98" s="70"/>
      <c r="AN98" s="70"/>
      <c r="AO98" s="70"/>
      <c r="AP98" s="81"/>
      <c r="AQ98" s="81"/>
    </row>
    <row r="99" spans="1:43" s="61" customFormat="1" outlineLevel="1" x14ac:dyDescent="0.3">
      <c r="A99" s="61" t="s">
        <v>664</v>
      </c>
      <c r="B99" s="55" t="str">
        <f t="shared" si="53"/>
        <v>2024-2</v>
      </c>
      <c r="C99" s="121">
        <v>45323</v>
      </c>
      <c r="D99" s="20">
        <v>-9.7000000000000003E-3</v>
      </c>
      <c r="E99" s="15">
        <f t="shared" si="78"/>
        <v>6.2438300000000613E-3</v>
      </c>
      <c r="F99" s="15">
        <f t="shared" si="79"/>
        <v>0.52317797273460442</v>
      </c>
      <c r="G99" s="13">
        <f>(1+F99)/(1+MAX(F$2:F99))-1</f>
        <v>-9.7000000000000419E-3</v>
      </c>
      <c r="H99" s="20">
        <v>4.5999999999999999E-3</v>
      </c>
      <c r="I99" s="15">
        <f t="shared" si="72"/>
        <v>1.1230359999999884E-2</v>
      </c>
      <c r="J99" s="15">
        <f t="shared" si="64"/>
        <v>0.90646122181681577</v>
      </c>
      <c r="K99" s="13">
        <f>(1+J99)/(1+MAX(J$2:J99))-1</f>
        <v>0</v>
      </c>
      <c r="L99" s="20">
        <v>-1.2999999999999999E-3</v>
      </c>
      <c r="M99" s="15">
        <f t="shared" si="73"/>
        <v>2.4666199999999971E-2</v>
      </c>
      <c r="N99" s="15">
        <f t="shared" si="65"/>
        <v>0.33303557190828847</v>
      </c>
      <c r="O99" s="13">
        <f>(1+N99)/(1+MAX(N$2:N99))-1</f>
        <v>-3.963540407335131E-2</v>
      </c>
      <c r="P99" s="20">
        <v>5.5899999999999998E-2</v>
      </c>
      <c r="Q99" s="15">
        <f t="shared" si="74"/>
        <v>7.152731999999995E-2</v>
      </c>
      <c r="R99" s="15">
        <f t="shared" si="66"/>
        <v>2.1295059333894715</v>
      </c>
      <c r="S99" s="13">
        <f>(1+R99)/(1+MAX(R$2:R99))-1</f>
        <v>0</v>
      </c>
      <c r="T99" s="20">
        <v>-1.06E-2</v>
      </c>
      <c r="U99" s="15">
        <f t="shared" si="75"/>
        <v>1.2453020000000148E-2</v>
      </c>
      <c r="V99" s="15">
        <f t="shared" si="67"/>
        <v>0.20982906940808399</v>
      </c>
      <c r="W99" s="13">
        <f>(1+V99)/(1+MAX(V$2:V99))-1</f>
        <v>-0.10526819632493956</v>
      </c>
      <c r="X99" s="20">
        <v>4.1099999999999998E-2</v>
      </c>
      <c r="Y99" s="15">
        <f t="shared" si="76"/>
        <v>3.6623269999999986E-2</v>
      </c>
      <c r="Z99" s="15">
        <f t="shared" si="68"/>
        <v>1.1940791485067095</v>
      </c>
      <c r="AA99" s="13">
        <f>(1+Z99)/(1+MAX(Z$2:Z99))-1</f>
        <v>0</v>
      </c>
      <c r="AB99" s="124"/>
      <c r="AC99" s="20">
        <f t="shared" si="80"/>
        <v>9.2850000000000016E-3</v>
      </c>
      <c r="AD99" s="15">
        <f t="shared" si="77"/>
        <v>2.5791856174999905E-2</v>
      </c>
      <c r="AE99" s="15">
        <f t="shared" si="69"/>
        <v>0.73712879392176323</v>
      </c>
      <c r="AF99" s="15">
        <f>(1+AE99)/(1+MAX(AE$2:AE99))-1</f>
        <v>0</v>
      </c>
      <c r="AG99" s="58">
        <f t="shared" si="70"/>
        <v>1737.1287939217641</v>
      </c>
      <c r="AH99" s="137"/>
      <c r="AI99" s="70"/>
      <c r="AJ99" s="70"/>
      <c r="AK99" s="70"/>
      <c r="AL99" s="70"/>
      <c r="AM99" s="70"/>
      <c r="AN99" s="70"/>
      <c r="AO99" s="70"/>
      <c r="AP99" s="81"/>
      <c r="AQ99" s="81"/>
    </row>
    <row r="100" spans="1:43" s="61" customFormat="1" outlineLevel="1" x14ac:dyDescent="0.3">
      <c r="A100" s="61" t="s">
        <v>664</v>
      </c>
      <c r="B100" s="55" t="str">
        <f t="shared" si="53"/>
        <v>2024-3</v>
      </c>
      <c r="C100" s="121">
        <v>45352</v>
      </c>
      <c r="D100" s="20">
        <v>1.2E-2</v>
      </c>
      <c r="E100" s="15">
        <f t="shared" si="78"/>
        <v>1.8318755959999988E-2</v>
      </c>
      <c r="F100" s="15">
        <f t="shared" si="79"/>
        <v>0.54145610840741965</v>
      </c>
      <c r="G100" s="13">
        <f>(1+F100)/(1+MAX(F$2:F100))-1</f>
        <v>0</v>
      </c>
      <c r="H100" s="20">
        <v>8.9499999999999996E-2</v>
      </c>
      <c r="I100" s="15">
        <f t="shared" si="72"/>
        <v>0.10173547721999987</v>
      </c>
      <c r="J100" s="15">
        <f t="shared" si="64"/>
        <v>1.0770895011694206</v>
      </c>
      <c r="K100" s="13">
        <f>(1+J100)/(1+MAX(J$2:J100))-1</f>
        <v>0</v>
      </c>
      <c r="L100" s="20">
        <v>6.3E-3</v>
      </c>
      <c r="M100" s="15">
        <f t="shared" si="73"/>
        <v>3.1121597059999839E-2</v>
      </c>
      <c r="N100" s="15">
        <f t="shared" si="65"/>
        <v>0.34143369601131068</v>
      </c>
      <c r="O100" s="13">
        <f>(1+N100)/(1+MAX(N$2:N100))-1</f>
        <v>-3.3585107119013413E-2</v>
      </c>
      <c r="P100" s="20">
        <v>3.2199999999999999E-2</v>
      </c>
      <c r="Q100" s="15">
        <f t="shared" si="74"/>
        <v>0.10603049970400003</v>
      </c>
      <c r="R100" s="15">
        <f t="shared" si="66"/>
        <v>2.2302760244446125</v>
      </c>
      <c r="S100" s="13">
        <f>(1+R100)/(1+MAX(R$2:R100))-1</f>
        <v>0</v>
      </c>
      <c r="T100" s="20">
        <v>9.5999999999999992E-3</v>
      </c>
      <c r="U100" s="15">
        <f t="shared" si="75"/>
        <v>2.2172568992000263E-2</v>
      </c>
      <c r="V100" s="15">
        <f t="shared" si="67"/>
        <v>0.22144342847440157</v>
      </c>
      <c r="W100" s="13">
        <f>(1+V100)/(1+MAX(V$2:V100))-1</f>
        <v>-9.6678771009659048E-2</v>
      </c>
      <c r="X100" s="20">
        <v>5.7799999999999997E-2</v>
      </c>
      <c r="Y100" s="15">
        <f t="shared" si="76"/>
        <v>9.6540095006000026E-2</v>
      </c>
      <c r="Z100" s="15">
        <f t="shared" si="68"/>
        <v>1.3208969232903973</v>
      </c>
      <c r="AA100" s="13">
        <f>(1+Z100)/(1+MAX(Z$2:Z100))-1</f>
        <v>0</v>
      </c>
      <c r="AB100" s="124"/>
      <c r="AC100" s="20">
        <f t="shared" si="80"/>
        <v>2.9330000000000002E-2</v>
      </c>
      <c r="AD100" s="15">
        <f t="shared" si="77"/>
        <v>5.5878331316612684E-2</v>
      </c>
      <c r="AE100" s="15">
        <f t="shared" si="69"/>
        <v>0.78807878144748877</v>
      </c>
      <c r="AF100" s="15">
        <f>(1+AE100)/(1+MAX(AE$2:AE100))-1</f>
        <v>0</v>
      </c>
      <c r="AG100" s="58">
        <f t="shared" si="70"/>
        <v>1788.0787814474895</v>
      </c>
      <c r="AH100" s="137"/>
      <c r="AI100" s="70"/>
      <c r="AJ100" s="70"/>
      <c r="AK100" s="70"/>
      <c r="AL100" s="70"/>
      <c r="AM100" s="70"/>
      <c r="AN100" s="70"/>
      <c r="AO100" s="70"/>
      <c r="AP100" s="81"/>
      <c r="AQ100" s="81"/>
    </row>
    <row r="101" spans="1:43" s="61" customFormat="1" outlineLevel="1" x14ac:dyDescent="0.3">
      <c r="A101" s="61" t="s">
        <v>664</v>
      </c>
      <c r="B101" s="55" t="str">
        <f t="shared" si="53"/>
        <v>2024-4</v>
      </c>
      <c r="C101" s="121">
        <v>45383</v>
      </c>
      <c r="D101" s="20">
        <v>-1.7000000000000001E-2</v>
      </c>
      <c r="E101" s="15">
        <f t="shared" si="78"/>
        <v>1.007337108680062E-3</v>
      </c>
      <c r="F101" s="15">
        <f t="shared" si="79"/>
        <v>0.51525135456449345</v>
      </c>
      <c r="G101" s="13">
        <f>(1+F101)/(1+MAX(F$2:F101))-1</f>
        <v>-1.7000000000000015E-2</v>
      </c>
      <c r="H101" s="20">
        <v>4.0099999999999997E-2</v>
      </c>
      <c r="I101" s="15">
        <f t="shared" si="72"/>
        <v>0.14591506985652192</v>
      </c>
      <c r="J101" s="15">
        <f t="shared" si="64"/>
        <v>1.1603807901663146</v>
      </c>
      <c r="K101" s="13">
        <f>(1+J101)/(1+MAX(J$2:J101))-1</f>
        <v>0</v>
      </c>
      <c r="L101" s="20">
        <v>6.7999999999999996E-3</v>
      </c>
      <c r="M101" s="15">
        <f t="shared" si="73"/>
        <v>3.8133223920007842E-2</v>
      </c>
      <c r="N101" s="15">
        <f t="shared" si="65"/>
        <v>0.35055544514418746</v>
      </c>
      <c r="O101" s="13">
        <f>(1+N101)/(1+MAX(N$2:N101))-1</f>
        <v>-2.7013485847422802E-2</v>
      </c>
      <c r="P101" s="20">
        <v>-2.8899999999999999E-2</v>
      </c>
      <c r="Q101" s="15">
        <f t="shared" si="74"/>
        <v>7.406621826255444E-2</v>
      </c>
      <c r="R101" s="15">
        <f t="shared" si="66"/>
        <v>2.1369210473381632</v>
      </c>
      <c r="S101" s="13">
        <f>(1+R101)/(1+MAX(R$2:R101))-1</f>
        <v>-2.8900000000000037E-2</v>
      </c>
      <c r="T101" s="20">
        <v>-7.3000000000000001E-3</v>
      </c>
      <c r="U101" s="15">
        <f t="shared" si="75"/>
        <v>1.471070923835871E-2</v>
      </c>
      <c r="V101" s="15">
        <f t="shared" si="67"/>
        <v>0.21252689144653858</v>
      </c>
      <c r="W101" s="13">
        <f>(1+V101)/(1+MAX(V$2:V101))-1</f>
        <v>-0.10327301598128835</v>
      </c>
      <c r="X101" s="20">
        <v>-5.1700000000000003E-2</v>
      </c>
      <c r="Y101" s="15">
        <f t="shared" si="76"/>
        <v>3.9848972094189916E-2</v>
      </c>
      <c r="Z101" s="15">
        <f t="shared" si="68"/>
        <v>1.2009065523562836</v>
      </c>
      <c r="AA101" s="13">
        <f>(1+Z101)/(1+MAX(Z$2:Z101))-1</f>
        <v>-5.1700000000000079E-2</v>
      </c>
      <c r="AB101" s="124"/>
      <c r="AC101" s="20">
        <f t="shared" si="80"/>
        <v>-5.8000000000000013E-3</v>
      </c>
      <c r="AD101" s="15">
        <f t="shared" si="77"/>
        <v>4.9754236994976386E-2</v>
      </c>
      <c r="AE101" s="15">
        <f t="shared" si="69"/>
        <v>0.7777079245150933</v>
      </c>
      <c r="AF101" s="15">
        <f>(1+AE101)/(1+MAX(AE$2:AE101))-1</f>
        <v>-5.8000000000000274E-3</v>
      </c>
      <c r="AG101" s="58">
        <f t="shared" si="70"/>
        <v>1777.707924515094</v>
      </c>
      <c r="AH101" s="137"/>
      <c r="AI101" s="70"/>
      <c r="AJ101" s="70"/>
      <c r="AK101" s="70"/>
      <c r="AL101" s="70"/>
      <c r="AM101" s="70"/>
      <c r="AN101" s="70"/>
      <c r="AO101" s="70"/>
      <c r="AP101" s="81"/>
      <c r="AQ101" s="81"/>
    </row>
    <row r="102" spans="1:43" s="61" customFormat="1" outlineLevel="1" x14ac:dyDescent="0.3">
      <c r="A102" s="61" t="s">
        <v>664</v>
      </c>
      <c r="B102" s="55" t="str">
        <f t="shared" si="53"/>
        <v>2024-5</v>
      </c>
      <c r="C102" s="121">
        <v>45413</v>
      </c>
      <c r="D102" s="20">
        <v>1.06E-2</v>
      </c>
      <c r="E102" s="15">
        <f t="shared" si="78"/>
        <v>1.1618014882031957E-2</v>
      </c>
      <c r="F102" s="15">
        <f t="shared" si="79"/>
        <v>0.53131301892287697</v>
      </c>
      <c r="G102" s="13">
        <f>(1+F102)/(1+MAX(F$2:F102))-1</f>
        <v>-6.580200000000147E-3</v>
      </c>
      <c r="H102" s="20">
        <v>4.7000000000000002E-3</v>
      </c>
      <c r="I102" s="15">
        <f t="shared" si="72"/>
        <v>0.15130087068484754</v>
      </c>
      <c r="J102" s="15">
        <f t="shared" si="64"/>
        <v>1.1705345798800959</v>
      </c>
      <c r="K102" s="13">
        <f>(1+J102)/(1+MAX(J$2:J102))-1</f>
        <v>0</v>
      </c>
      <c r="L102" s="20">
        <v>-3.7000000000000002E-3</v>
      </c>
      <c r="M102" s="15">
        <f t="shared" si="73"/>
        <v>3.4292130991503855E-2</v>
      </c>
      <c r="N102" s="15">
        <f t="shared" si="65"/>
        <v>0.34555838999715394</v>
      </c>
      <c r="O102" s="13">
        <f>(1+N102)/(1+MAX(N$2:N102))-1</f>
        <v>-3.0613535949787329E-2</v>
      </c>
      <c r="P102" s="20">
        <v>2.8299999999999999E-2</v>
      </c>
      <c r="Q102" s="15">
        <f t="shared" si="74"/>
        <v>0.10446229223938475</v>
      </c>
      <c r="R102" s="15">
        <f t="shared" si="66"/>
        <v>2.2256959129778333</v>
      </c>
      <c r="S102" s="13">
        <f>(1+R102)/(1+MAX(R$2:R102))-1</f>
        <v>-1.4178699999999322E-3</v>
      </c>
      <c r="T102" s="20">
        <v>7.0000000000000001E-3</v>
      </c>
      <c r="U102" s="15">
        <f t="shared" si="75"/>
        <v>2.1813684203027206E-2</v>
      </c>
      <c r="V102" s="15">
        <f t="shared" si="67"/>
        <v>0.22101457968666427</v>
      </c>
      <c r="W102" s="13">
        <f>(1+V102)/(1+MAX(V$2:V102))-1</f>
        <v>-9.6995927093157519E-2</v>
      </c>
      <c r="X102" s="20">
        <v>3.1099999999999999E-2</v>
      </c>
      <c r="Y102" s="15">
        <f t="shared" si="76"/>
        <v>7.2188275126319201E-2</v>
      </c>
      <c r="Z102" s="15">
        <f t="shared" si="68"/>
        <v>1.2693547461345638</v>
      </c>
      <c r="AA102" s="13">
        <f>(1+Z102)/(1+MAX(Z$2:Z102))-1</f>
        <v>-2.2207870000000129E-2</v>
      </c>
      <c r="AB102" s="124"/>
      <c r="AC102" s="20">
        <f t="shared" si="80"/>
        <v>1.0125E-2</v>
      </c>
      <c r="AD102" s="15">
        <f t="shared" si="77"/>
        <v>6.0382998644550545E-2</v>
      </c>
      <c r="AE102" s="15">
        <f t="shared" si="69"/>
        <v>0.79570721725080862</v>
      </c>
      <c r="AF102" s="15">
        <f>(1+AE102)/(1+MAX(AE$2:AE102))-1</f>
        <v>0</v>
      </c>
      <c r="AG102" s="58">
        <f t="shared" si="70"/>
        <v>1795.7072172508092</v>
      </c>
      <c r="AH102" s="137"/>
      <c r="AI102" s="70"/>
      <c r="AJ102" s="70"/>
      <c r="AK102" s="70"/>
      <c r="AL102" s="70"/>
      <c r="AM102" s="70"/>
      <c r="AN102" s="70"/>
      <c r="AO102" s="70"/>
      <c r="AP102" s="81"/>
      <c r="AQ102" s="81"/>
    </row>
    <row r="103" spans="1:43" s="61" customFormat="1" outlineLevel="1" x14ac:dyDescent="0.3">
      <c r="A103" s="61" t="s">
        <v>664</v>
      </c>
      <c r="B103" s="55" t="str">
        <f t="shared" si="53"/>
        <v>2024-6</v>
      </c>
      <c r="C103" s="121">
        <v>45444</v>
      </c>
      <c r="D103" s="20">
        <v>1.49E-2</v>
      </c>
      <c r="E103" s="15">
        <f t="shared" si="78"/>
        <v>2.66911233037741E-2</v>
      </c>
      <c r="F103" s="15">
        <f t="shared" si="79"/>
        <v>0.55412958290482761</v>
      </c>
      <c r="G103" s="13">
        <f>(1+F103)/(1+MAX(F$2:F103))-1</f>
        <v>0</v>
      </c>
      <c r="H103" s="20">
        <v>1.0500000000000001E-2</v>
      </c>
      <c r="I103" s="15">
        <f t="shared" si="72"/>
        <v>0.16338952982703847</v>
      </c>
      <c r="J103" s="15">
        <f t="shared" si="64"/>
        <v>1.1933251929688367</v>
      </c>
      <c r="K103" s="13">
        <f>(1+J103)/(1+MAX(J$2:J103))-1</f>
        <v>0</v>
      </c>
      <c r="L103" s="20">
        <v>1.7000000000000001E-2</v>
      </c>
      <c r="M103" s="15">
        <f t="shared" si="73"/>
        <v>5.1875097218359256E-2</v>
      </c>
      <c r="N103" s="15">
        <f t="shared" si="65"/>
        <v>0.3684328826271055</v>
      </c>
      <c r="O103" s="13">
        <f>(1+N103)/(1+MAX(N$2:N103))-1</f>
        <v>-1.4133966060933756E-2</v>
      </c>
      <c r="P103" s="20">
        <v>1.84E-2</v>
      </c>
      <c r="Q103" s="15">
        <f t="shared" si="74"/>
        <v>0.1247843984165895</v>
      </c>
      <c r="R103" s="15">
        <f t="shared" si="66"/>
        <v>2.2850487177766254</v>
      </c>
      <c r="S103" s="13">
        <f>(1+R103)/(1+MAX(R$2:R103))-1</f>
        <v>0</v>
      </c>
      <c r="T103" s="20">
        <v>1.9199999999999998E-2</v>
      </c>
      <c r="U103" s="15">
        <f t="shared" si="75"/>
        <v>4.1432506939725444E-2</v>
      </c>
      <c r="V103" s="15">
        <f t="shared" si="67"/>
        <v>0.24445805961664835</v>
      </c>
      <c r="W103" s="13">
        <f>(1+V103)/(1+MAX(V$2:V103))-1</f>
        <v>-7.9658248893346051E-2</v>
      </c>
      <c r="X103" s="20">
        <v>-1.21E-2</v>
      </c>
      <c r="Y103" s="15">
        <f t="shared" si="76"/>
        <v>5.9214796997290708E-2</v>
      </c>
      <c r="Z103" s="15">
        <f t="shared" si="68"/>
        <v>1.2418955537063354</v>
      </c>
      <c r="AA103" s="13">
        <f>(1+Z103)/(1+MAX(Z$2:Z103))-1</f>
        <v>-3.4039154773000235E-2</v>
      </c>
      <c r="AB103" s="124"/>
      <c r="AC103" s="20">
        <f t="shared" si="80"/>
        <v>1.345E-2</v>
      </c>
      <c r="AD103" s="15">
        <f t="shared" si="77"/>
        <v>7.4645149976319658E-2</v>
      </c>
      <c r="AE103" s="15">
        <f t="shared" si="69"/>
        <v>0.81985947932283199</v>
      </c>
      <c r="AF103" s="15">
        <f>(1+AE103)/(1+MAX(AE$2:AE103))-1</f>
        <v>0</v>
      </c>
      <c r="AG103" s="58">
        <f t="shared" si="70"/>
        <v>1819.8594793228326</v>
      </c>
      <c r="AH103" s="137"/>
      <c r="AI103" s="70"/>
      <c r="AJ103" s="70"/>
      <c r="AK103" s="70"/>
      <c r="AL103" s="70"/>
      <c r="AM103" s="70"/>
      <c r="AN103" s="70"/>
      <c r="AO103" s="70"/>
      <c r="AP103" s="81"/>
      <c r="AQ103" s="81"/>
    </row>
    <row r="104" spans="1:43" s="61" customFormat="1" outlineLevel="1" x14ac:dyDescent="0.3">
      <c r="A104" s="61" t="s">
        <v>664</v>
      </c>
      <c r="B104" s="55" t="str">
        <f t="shared" si="53"/>
        <v>2024-7</v>
      </c>
      <c r="C104" s="121">
        <v>45474</v>
      </c>
      <c r="D104" s="20">
        <v>1.6E-2</v>
      </c>
      <c r="E104" s="15">
        <f t="shared" si="78"/>
        <v>4.3118181276634582E-2</v>
      </c>
      <c r="F104" s="15">
        <f t="shared" si="79"/>
        <v>0.57899565623130478</v>
      </c>
      <c r="G104" s="13">
        <f>(1+F104)/(1+MAX(F$2:F104))-1</f>
        <v>0</v>
      </c>
      <c r="H104" s="20">
        <v>4.3499999999999997E-2</v>
      </c>
      <c r="I104" s="15">
        <f t="shared" si="72"/>
        <v>0.2139969743745147</v>
      </c>
      <c r="J104" s="15">
        <f t="shared" si="64"/>
        <v>1.2887348388629811</v>
      </c>
      <c r="K104" s="13">
        <f>(1+J104)/(1+MAX(J$2:J104))-1</f>
        <v>0</v>
      </c>
      <c r="L104" s="20">
        <v>1.8E-3</v>
      </c>
      <c r="M104" s="15">
        <f t="shared" si="73"/>
        <v>5.3768472393352251E-2</v>
      </c>
      <c r="N104" s="15">
        <f t="shared" si="65"/>
        <v>0.37089606181583434</v>
      </c>
      <c r="O104" s="13">
        <f>(1+N104)/(1+MAX(N$2:N104))-1</f>
        <v>-1.2359407199843409E-2</v>
      </c>
      <c r="P104" s="20">
        <v>5.7000000000000002E-3</v>
      </c>
      <c r="Q104" s="15">
        <f t="shared" si="74"/>
        <v>0.131195669487564</v>
      </c>
      <c r="R104" s="15">
        <f t="shared" si="66"/>
        <v>2.3037734954679525</v>
      </c>
      <c r="S104" s="13">
        <f>(1+R104)/(1+MAX(R$2:R104))-1</f>
        <v>0</v>
      </c>
      <c r="T104" s="20">
        <v>7.9000000000000008E-3</v>
      </c>
      <c r="U104" s="15">
        <f t="shared" si="75"/>
        <v>4.9659823744549358E-2</v>
      </c>
      <c r="V104" s="15">
        <f t="shared" si="67"/>
        <v>0.25428927828761982</v>
      </c>
      <c r="W104" s="13">
        <f>(1+V104)/(1+MAX(V$2:V104))-1</f>
        <v>-7.2387549059603429E-2</v>
      </c>
      <c r="X104" s="20">
        <v>7.4499999999999997E-2</v>
      </c>
      <c r="Y104" s="15">
        <f t="shared" si="76"/>
        <v>0.13812629937358878</v>
      </c>
      <c r="Z104" s="15">
        <f t="shared" si="68"/>
        <v>1.4089167724574576</v>
      </c>
      <c r="AA104" s="13">
        <f>(1+Z104)/(1+MAX(Z$2:Z104))-1</f>
        <v>0</v>
      </c>
      <c r="AB104" s="124"/>
      <c r="AC104" s="20">
        <f t="shared" si="80"/>
        <v>1.9259999999999999E-2</v>
      </c>
      <c r="AD104" s="15">
        <f t="shared" si="77"/>
        <v>9.5342815564863681E-2</v>
      </c>
      <c r="AE104" s="15">
        <f t="shared" si="69"/>
        <v>0.85490997289458992</v>
      </c>
      <c r="AF104" s="15">
        <f>(1+AE104)/(1+MAX(AE$2:AE104))-1</f>
        <v>0</v>
      </c>
      <c r="AG104" s="58">
        <f t="shared" si="70"/>
        <v>1854.9099728945905</v>
      </c>
      <c r="AH104" s="137"/>
      <c r="AI104" s="70"/>
      <c r="AJ104" s="70"/>
      <c r="AK104" s="70"/>
      <c r="AL104" s="70"/>
      <c r="AM104" s="70"/>
      <c r="AN104" s="70"/>
      <c r="AO104" s="70"/>
      <c r="AP104" s="81"/>
      <c r="AQ104" s="81"/>
    </row>
    <row r="105" spans="1:43" s="61" customFormat="1" outlineLevel="1" x14ac:dyDescent="0.3">
      <c r="A105" s="61" t="s">
        <v>664</v>
      </c>
      <c r="B105" s="55" t="str">
        <f t="shared" si="53"/>
        <v>2024-8</v>
      </c>
      <c r="C105" s="121">
        <v>45505</v>
      </c>
      <c r="D105" s="20">
        <v>-5.1999999999999998E-3</v>
      </c>
      <c r="E105" s="15">
        <f t="shared" si="78"/>
        <v>3.7693966733996165E-2</v>
      </c>
      <c r="F105" s="15">
        <f t="shared" si="79"/>
        <v>0.57078487881890205</v>
      </c>
      <c r="G105" s="13">
        <f>(1+F105)/(1+MAX(F$2:F105))-1</f>
        <v>-5.1999999999999824E-3</v>
      </c>
      <c r="H105" s="20">
        <v>-3.2000000000000002E-3</v>
      </c>
      <c r="I105" s="15">
        <f t="shared" si="72"/>
        <v>0.21011218405651633</v>
      </c>
      <c r="J105" s="15">
        <f t="shared" si="64"/>
        <v>1.2814108873786196</v>
      </c>
      <c r="K105" s="13">
        <f>(1+J105)/(1+MAX(J$2:J105))-1</f>
        <v>-3.1999999999999806E-3</v>
      </c>
      <c r="L105" s="20">
        <v>-1.5699999999999999E-2</v>
      </c>
      <c r="M105" s="15">
        <f t="shared" si="73"/>
        <v>3.7224307376776622E-2</v>
      </c>
      <c r="N105" s="15">
        <f t="shared" si="65"/>
        <v>0.34937299364532559</v>
      </c>
      <c r="O105" s="13">
        <f>(1+N105)/(1+MAX(N$2:N105))-1</f>
        <v>-2.786536450680599E-2</v>
      </c>
      <c r="P105" s="20">
        <v>1.6000000000000001E-3</v>
      </c>
      <c r="Q105" s="15">
        <f t="shared" si="74"/>
        <v>0.13300558255874417</v>
      </c>
      <c r="R105" s="15">
        <f t="shared" si="66"/>
        <v>2.3090595330607013</v>
      </c>
      <c r="S105" s="13">
        <f>(1+R105)/(1+MAX(R$2:R105))-1</f>
        <v>0</v>
      </c>
      <c r="T105" s="20">
        <v>-1.5599999999999999E-2</v>
      </c>
      <c r="U105" s="15">
        <f t="shared" si="75"/>
        <v>3.3285130494134396E-2</v>
      </c>
      <c r="V105" s="15">
        <f t="shared" si="67"/>
        <v>0.23472236554633308</v>
      </c>
      <c r="W105" s="13">
        <f>(1+V105)/(1+MAX(V$2:V105))-1</f>
        <v>-8.6858303294273576E-2</v>
      </c>
      <c r="X105" s="20">
        <v>-2.1600000000000001E-2</v>
      </c>
      <c r="Y105" s="15">
        <f t="shared" si="76"/>
        <v>0.11354277130711932</v>
      </c>
      <c r="Z105" s="15">
        <f t="shared" si="68"/>
        <v>1.3568841701723766</v>
      </c>
      <c r="AA105" s="13">
        <f>(1+Z105)/(1+MAX(Z$2:Z105))-1</f>
        <v>-2.1599999999999953E-2</v>
      </c>
      <c r="AB105" s="124"/>
      <c r="AC105" s="20">
        <f t="shared" si="80"/>
        <v>-1.0225E-2</v>
      </c>
      <c r="AD105" s="15">
        <f t="shared" si="77"/>
        <v>8.4142935275712816E-2</v>
      </c>
      <c r="AE105" s="15">
        <f t="shared" si="69"/>
        <v>0.83594351842174275</v>
      </c>
      <c r="AF105" s="15">
        <f>(1+AE105)/(1+MAX(AE$2:AE105))-1</f>
        <v>-1.022500000000004E-2</v>
      </c>
      <c r="AG105" s="58">
        <f t="shared" si="70"/>
        <v>1835.9435184217432</v>
      </c>
      <c r="AH105" s="137"/>
      <c r="AI105" s="70"/>
      <c r="AJ105" s="70"/>
      <c r="AK105" s="70"/>
      <c r="AL105" s="70"/>
      <c r="AM105" s="70"/>
      <c r="AN105" s="70"/>
      <c r="AO105" s="70"/>
      <c r="AP105" s="81"/>
      <c r="AQ105" s="81"/>
    </row>
    <row r="106" spans="1:43" s="61" customFormat="1" outlineLevel="1" x14ac:dyDescent="0.3">
      <c r="A106" s="61" t="s">
        <v>664</v>
      </c>
      <c r="B106" s="55" t="str">
        <f t="shared" si="53"/>
        <v>2024-9</v>
      </c>
      <c r="C106" s="121">
        <v>45536</v>
      </c>
      <c r="D106" s="20">
        <v>1.03E-2</v>
      </c>
      <c r="E106" s="15">
        <f t="shared" si="78"/>
        <v>4.8382214591356387E-2</v>
      </c>
      <c r="F106" s="15">
        <f t="shared" si="79"/>
        <v>0.58696396307073662</v>
      </c>
      <c r="G106" s="13">
        <f>(1+F106)/(1+MAX(F$2:F106))-1</f>
        <v>0</v>
      </c>
      <c r="H106" s="20">
        <v>4.2799999999999998E-2</v>
      </c>
      <c r="I106" s="15">
        <f t="shared" si="72"/>
        <v>0.2619049855341351</v>
      </c>
      <c r="J106" s="15">
        <f t="shared" si="64"/>
        <v>1.3790552733584245</v>
      </c>
      <c r="K106" s="13">
        <f>(1+J106)/(1+MAX(J$2:J106))-1</f>
        <v>0</v>
      </c>
      <c r="L106" s="20">
        <v>1E-4</v>
      </c>
      <c r="M106" s="15">
        <f t="shared" si="73"/>
        <v>3.7328029807514262E-2</v>
      </c>
      <c r="N106" s="15">
        <f t="shared" si="65"/>
        <v>0.34950793094469002</v>
      </c>
      <c r="O106" s="13">
        <f>(1+N106)/(1+MAX(N$2:N106))-1</f>
        <v>-2.7768151043256806E-2</v>
      </c>
      <c r="P106" s="20">
        <v>1.4800000000000001E-2</v>
      </c>
      <c r="Q106" s="15">
        <f t="shared" si="74"/>
        <v>0.14977406518061342</v>
      </c>
      <c r="R106" s="15">
        <f t="shared" si="66"/>
        <v>2.3580336141499996</v>
      </c>
      <c r="S106" s="13">
        <f>(1+R106)/(1+MAX(R$2:R106))-1</f>
        <v>0</v>
      </c>
      <c r="T106" s="20">
        <v>6.1999999999999998E-3</v>
      </c>
      <c r="U106" s="15">
        <f t="shared" si="75"/>
        <v>3.9691498303197958E-2</v>
      </c>
      <c r="V106" s="15">
        <f t="shared" si="67"/>
        <v>0.24237764421272034</v>
      </c>
      <c r="W106" s="13">
        <f>(1+V106)/(1+MAX(V$2:V106))-1</f>
        <v>-8.1196824774698029E-2</v>
      </c>
      <c r="X106" s="20">
        <v>7.9000000000000008E-3</v>
      </c>
      <c r="Y106" s="15">
        <f t="shared" si="76"/>
        <v>0.1223397592004456</v>
      </c>
      <c r="Z106" s="15">
        <f t="shared" si="68"/>
        <v>1.3755035551167385</v>
      </c>
      <c r="AA106" s="13">
        <f>(1+Z106)/(1+MAX(Z$2:Z106))-1</f>
        <v>-1.3870639999999934E-2</v>
      </c>
      <c r="AB106" s="124"/>
      <c r="AC106" s="20">
        <f t="shared" si="80"/>
        <v>1.2240000000000001E-2</v>
      </c>
      <c r="AD106" s="15">
        <f t="shared" si="77"/>
        <v>9.7412844803487664E-2</v>
      </c>
      <c r="AE106" s="15">
        <f t="shared" si="69"/>
        <v>0.85841546708722483</v>
      </c>
      <c r="AF106" s="15">
        <f>(1+AE106)/(1+MAX(AE$2:AE106))-1</f>
        <v>0</v>
      </c>
      <c r="AG106" s="58">
        <f t="shared" si="70"/>
        <v>1858.4154670872254</v>
      </c>
      <c r="AH106" s="137"/>
      <c r="AI106" s="70"/>
      <c r="AJ106" s="70"/>
      <c r="AK106" s="70"/>
      <c r="AL106" s="70"/>
      <c r="AM106" s="70"/>
      <c r="AN106" s="70"/>
      <c r="AO106" s="70"/>
      <c r="AP106" s="81"/>
      <c r="AQ106" s="81"/>
    </row>
    <row r="107" spans="1:43" s="61" customFormat="1" outlineLevel="1" x14ac:dyDescent="0.3">
      <c r="A107" s="61" t="s">
        <v>664</v>
      </c>
      <c r="B107" s="55" t="str">
        <f t="shared" si="53"/>
        <v>2024-10</v>
      </c>
      <c r="C107" s="121">
        <v>45566</v>
      </c>
      <c r="D107" s="20">
        <v>-6.1000000000000004E-3</v>
      </c>
      <c r="E107" s="15">
        <f t="shared" si="78"/>
        <v>4.1987083082349219E-2</v>
      </c>
      <c r="F107" s="15">
        <f t="shared" si="79"/>
        <v>0.57728348289600517</v>
      </c>
      <c r="G107" s="13">
        <f>(1+F107)/(1+MAX(F$2:F107))-1</f>
        <v>-6.0999999999999943E-3</v>
      </c>
      <c r="H107" s="20">
        <v>7.2900000000000006E-2</v>
      </c>
      <c r="I107" s="15">
        <f t="shared" si="72"/>
        <v>0.3538978589795736</v>
      </c>
      <c r="J107" s="15">
        <f t="shared" si="64"/>
        <v>1.5524884027862536</v>
      </c>
      <c r="K107" s="13">
        <f>(1+J107)/(1+MAX(J$2:J107))-1</f>
        <v>0</v>
      </c>
      <c r="L107" s="20">
        <v>2.35E-2</v>
      </c>
      <c r="M107" s="15">
        <f t="shared" si="73"/>
        <v>6.1705238507991034E-2</v>
      </c>
      <c r="N107" s="15">
        <f t="shared" si="65"/>
        <v>0.38122136732189027</v>
      </c>
      <c r="O107" s="13">
        <f>(1+N107)/(1+MAX(N$2:N107))-1</f>
        <v>-4.9207025927732184E-3</v>
      </c>
      <c r="P107" s="20">
        <v>7.7000000000000002E-3</v>
      </c>
      <c r="Q107" s="15">
        <f t="shared" si="74"/>
        <v>0.15862732548250413</v>
      </c>
      <c r="R107" s="15">
        <f t="shared" si="66"/>
        <v>2.3838904729789547</v>
      </c>
      <c r="S107" s="13">
        <f>(1+R107)/(1+MAX(R$2:R107))-1</f>
        <v>0</v>
      </c>
      <c r="T107" s="20">
        <v>9.7999999999999997E-3</v>
      </c>
      <c r="U107" s="15">
        <f t="shared" si="75"/>
        <v>4.9880474986569334E-2</v>
      </c>
      <c r="V107" s="15">
        <f t="shared" si="67"/>
        <v>0.25455294512600513</v>
      </c>
      <c r="W107" s="13">
        <f>(1+V107)/(1+MAX(V$2:V107))-1</f>
        <v>-7.219255365749E-2</v>
      </c>
      <c r="X107" s="20">
        <v>1.7600000000000001E-2</v>
      </c>
      <c r="Y107" s="15">
        <f t="shared" si="76"/>
        <v>0.14209293896237352</v>
      </c>
      <c r="Z107" s="15">
        <f t="shared" si="68"/>
        <v>1.4173124176867931</v>
      </c>
      <c r="AA107" s="13">
        <f>(1+Z107)/(1+MAX(Z$2:Z107))-1</f>
        <v>0</v>
      </c>
      <c r="AB107" s="124"/>
      <c r="AC107" s="20">
        <f t="shared" si="80"/>
        <v>2.077E-2</v>
      </c>
      <c r="AD107" s="15">
        <f t="shared" si="77"/>
        <v>0.12020610959005595</v>
      </c>
      <c r="AE107" s="15">
        <f t="shared" si="69"/>
        <v>0.89701475633862637</v>
      </c>
      <c r="AF107" s="15">
        <f>(1+AE107)/(1+MAX(AE$2:AE107))-1</f>
        <v>0</v>
      </c>
      <c r="AG107" s="58">
        <f t="shared" si="70"/>
        <v>1897.014756338627</v>
      </c>
      <c r="AH107" s="137"/>
      <c r="AI107" s="70"/>
      <c r="AJ107" s="70"/>
      <c r="AK107" s="70"/>
      <c r="AL107" s="70"/>
      <c r="AM107" s="70"/>
      <c r="AN107" s="70"/>
      <c r="AO107" s="70"/>
      <c r="AP107" s="81"/>
      <c r="AQ107" s="81"/>
    </row>
    <row r="108" spans="1:43" s="61" customFormat="1" outlineLevel="1" x14ac:dyDescent="0.3">
      <c r="A108" s="61" t="s">
        <v>664</v>
      </c>
      <c r="B108" s="55" t="str">
        <f t="shared" si="53"/>
        <v>2024-11</v>
      </c>
      <c r="C108" s="121">
        <v>45597</v>
      </c>
      <c r="D108" s="20">
        <v>3.6499999999999998E-2</v>
      </c>
      <c r="E108" s="15">
        <f t="shared" si="78"/>
        <v>8.0019611614855046E-2</v>
      </c>
      <c r="F108" s="15">
        <f t="shared" si="79"/>
        <v>0.63485433002170932</v>
      </c>
      <c r="G108" s="13">
        <f>(1+F108)/(1+MAX(F$2:F108))-1</f>
        <v>0</v>
      </c>
      <c r="H108" s="20">
        <v>-3.5000000000000001E-3</v>
      </c>
      <c r="I108" s="15">
        <f t="shared" si="72"/>
        <v>0.34915921647314518</v>
      </c>
      <c r="J108" s="15">
        <f t="shared" si="64"/>
        <v>1.5435546933765019</v>
      </c>
      <c r="K108" s="13">
        <f>(1+J108)/(1+MAX(J$2:J108))-1</f>
        <v>-3.4999999999999476E-3</v>
      </c>
      <c r="L108" s="20">
        <v>3.1899999999999998E-2</v>
      </c>
      <c r="M108" s="15">
        <f t="shared" si="73"/>
        <v>9.5573635616396091E-2</v>
      </c>
      <c r="N108" s="15">
        <f t="shared" si="65"/>
        <v>0.42528232893945872</v>
      </c>
      <c r="O108" s="13">
        <f>(1+N108)/(1+MAX(N$2:N108))-1</f>
        <v>0</v>
      </c>
      <c r="P108" s="20">
        <v>7.1800000000000003E-2</v>
      </c>
      <c r="Q108" s="15">
        <f t="shared" si="74"/>
        <v>0.24181676745214808</v>
      </c>
      <c r="R108" s="15">
        <f t="shared" si="66"/>
        <v>2.626853808938844</v>
      </c>
      <c r="S108" s="13">
        <f>(1+R108)/(1+MAX(R$2:R108))-1</f>
        <v>0</v>
      </c>
      <c r="T108" s="20">
        <v>3.2399999999999998E-2</v>
      </c>
      <c r="U108" s="15">
        <f t="shared" si="75"/>
        <v>8.3896602376134055E-2</v>
      </c>
      <c r="V108" s="15">
        <f t="shared" si="67"/>
        <v>0.29520046054808757</v>
      </c>
      <c r="W108" s="13">
        <f>(1+V108)/(1+MAX(V$2:V108))-1</f>
        <v>-4.2131592395992734E-2</v>
      </c>
      <c r="X108" s="20">
        <v>0.1171</v>
      </c>
      <c r="Y108" s="15">
        <f t="shared" si="76"/>
        <v>0.27583202211486735</v>
      </c>
      <c r="Z108" s="15">
        <f t="shared" si="68"/>
        <v>1.7003797017979165</v>
      </c>
      <c r="AA108" s="13">
        <f>(1+Z108)/(1+MAX(Z$2:Z108))-1</f>
        <v>0</v>
      </c>
      <c r="AB108" s="124"/>
      <c r="AC108" s="20">
        <f t="shared" si="80"/>
        <v>4.1884999999999999E-2</v>
      </c>
      <c r="AD108" s="15">
        <f t="shared" si="77"/>
        <v>0.16712594249023538</v>
      </c>
      <c r="AE108" s="15">
        <f t="shared" si="69"/>
        <v>0.97647121940786974</v>
      </c>
      <c r="AF108" s="15">
        <f>(1+AE108)/(1+MAX(AE$2:AE108))-1</f>
        <v>0</v>
      </c>
      <c r="AG108" s="58">
        <f t="shared" si="70"/>
        <v>1976.4712194078702</v>
      </c>
      <c r="AH108" s="137"/>
      <c r="AI108" s="70"/>
      <c r="AJ108" s="70"/>
      <c r="AK108" s="70"/>
      <c r="AL108" s="70"/>
      <c r="AM108" s="70"/>
      <c r="AN108" s="70"/>
      <c r="AO108" s="70"/>
      <c r="AP108" s="81"/>
      <c r="AQ108" s="81"/>
    </row>
    <row r="109" spans="1:43" s="27" customFormat="1" ht="15" thickBot="1" x14ac:dyDescent="0.35">
      <c r="A109" s="27" t="s">
        <v>664</v>
      </c>
      <c r="B109" s="63" t="str">
        <f t="shared" si="53"/>
        <v>2024-12</v>
      </c>
      <c r="C109" s="122">
        <v>45627</v>
      </c>
      <c r="D109" s="32">
        <v>-9.9000000000000008E-3</v>
      </c>
      <c r="E109" s="25">
        <f t="shared" si="78"/>
        <v>6.9327417459867924E-2</v>
      </c>
      <c r="F109" s="25">
        <f t="shared" si="79"/>
        <v>0.61866927215449441</v>
      </c>
      <c r="G109" s="26">
        <f>(1+F109)/(1+MAX(F$2:F109))-1</f>
        <v>-9.9000000000000199E-3</v>
      </c>
      <c r="H109" s="32">
        <v>1E-4</v>
      </c>
      <c r="I109" s="25">
        <f t="shared" si="72"/>
        <v>0.34929413239479246</v>
      </c>
      <c r="J109" s="25">
        <f t="shared" si="64"/>
        <v>1.5438090488458394</v>
      </c>
      <c r="K109" s="26">
        <f>(1+J109)/(1+MAX(J$2:J109))-1</f>
        <v>-3.4003499999999409E-3</v>
      </c>
      <c r="L109" s="32">
        <v>1.66E-2</v>
      </c>
      <c r="M109" s="25">
        <f t="shared" si="73"/>
        <v>0.11376015796762817</v>
      </c>
      <c r="N109" s="25">
        <f t="shared" si="65"/>
        <v>0.44894201559985358</v>
      </c>
      <c r="O109" s="26">
        <f>(1+N109)/(1+MAX(N$2:N109))-1</f>
        <v>0</v>
      </c>
      <c r="P109" s="32">
        <v>1E-3</v>
      </c>
      <c r="Q109" s="25">
        <f t="shared" si="74"/>
        <v>0.24305858421960003</v>
      </c>
      <c r="R109" s="25">
        <f t="shared" si="66"/>
        <v>2.6304806627477824</v>
      </c>
      <c r="S109" s="26">
        <f>(1+R109)/(1+MAX(R$2:R109))-1</f>
        <v>0</v>
      </c>
      <c r="T109" s="32">
        <v>-1.5E-3</v>
      </c>
      <c r="U109" s="25">
        <f t="shared" si="75"/>
        <v>8.2270757472569844E-2</v>
      </c>
      <c r="V109" s="25">
        <f t="shared" si="67"/>
        <v>0.2932576598572656</v>
      </c>
      <c r="W109" s="26">
        <f>(1+V109)/(1+MAX(V$2:V109))-1</f>
        <v>-4.3568395007398619E-2</v>
      </c>
      <c r="X109" s="32">
        <v>-6.3100000000000003E-2</v>
      </c>
      <c r="Y109" s="25">
        <f t="shared" si="76"/>
        <v>0.19532702151941916</v>
      </c>
      <c r="Z109" s="25">
        <f t="shared" si="68"/>
        <v>1.5299857426144681</v>
      </c>
      <c r="AA109" s="26">
        <f>(1+Z109)/(1+MAX(Z$2:Z109))-1</f>
        <v>-6.3099999999999934E-2</v>
      </c>
      <c r="AB109" s="125"/>
      <c r="AC109" s="20">
        <f t="shared" si="80"/>
        <v>-3.7800000000000004E-3</v>
      </c>
      <c r="AD109" s="25">
        <f t="shared" si="77"/>
        <v>0.16271420642762235</v>
      </c>
      <c r="AE109" s="25">
        <f t="shared" si="69"/>
        <v>0.96900015819850793</v>
      </c>
      <c r="AF109" s="25">
        <f>(1+AE109)/(1+MAX(AE$2:AE109))-1</f>
        <v>-3.7800000000000056E-3</v>
      </c>
      <c r="AG109" s="66">
        <f t="shared" si="70"/>
        <v>1969.0001581985084</v>
      </c>
      <c r="AH109" s="138"/>
      <c r="AI109" s="139"/>
      <c r="AJ109" s="139"/>
      <c r="AK109" s="139"/>
      <c r="AL109" s="139"/>
      <c r="AM109" s="139"/>
      <c r="AN109" s="139"/>
      <c r="AO109" s="139"/>
      <c r="AP109" s="78"/>
      <c r="AQ109" s="78"/>
    </row>
    <row r="110" spans="1:43" s="54" customFormat="1" outlineLevel="1" x14ac:dyDescent="0.3">
      <c r="A110" s="54" t="s">
        <v>664</v>
      </c>
      <c r="B110" s="48" t="str">
        <f t="shared" si="53"/>
        <v>2025-1</v>
      </c>
      <c r="C110" s="120">
        <v>45658</v>
      </c>
      <c r="D110" s="10">
        <v>1.32E-2</v>
      </c>
      <c r="E110" s="5">
        <f>+D110</f>
        <v>1.32E-2</v>
      </c>
      <c r="F110" s="5">
        <f t="shared" si="79"/>
        <v>0.64003570654693398</v>
      </c>
      <c r="G110" s="3">
        <f>(1+F110)/(1+MAX(F$2:F110))-1</f>
        <v>0</v>
      </c>
      <c r="H110" s="10">
        <v>6.88E-2</v>
      </c>
      <c r="I110" s="5">
        <f>+H110</f>
        <v>6.88E-2</v>
      </c>
      <c r="J110" s="5">
        <f t="shared" si="64"/>
        <v>1.718823111406433</v>
      </c>
      <c r="K110" s="3">
        <f>(1+J110)/(1+MAX(J$2:J110))-1</f>
        <v>0</v>
      </c>
      <c r="L110" s="10">
        <v>6.7999999999999996E-3</v>
      </c>
      <c r="M110" s="5">
        <f>+L110</f>
        <v>6.7999999999999996E-3</v>
      </c>
      <c r="N110" s="5">
        <f t="shared" si="65"/>
        <v>0.45879482130593252</v>
      </c>
      <c r="O110" s="3">
        <f>(1+N110)/(1+MAX(N$2:N110))-1</f>
        <v>0</v>
      </c>
      <c r="P110" s="10">
        <v>4.99E-2</v>
      </c>
      <c r="Q110" s="5">
        <f>+P110</f>
        <v>4.99E-2</v>
      </c>
      <c r="R110" s="5">
        <f t="shared" si="66"/>
        <v>2.811641647818897</v>
      </c>
      <c r="S110" s="3">
        <f>(1+R110)/(1+MAX(R$2:R110))-1</f>
        <v>0</v>
      </c>
      <c r="T110" s="10">
        <v>1.3100000000000001E-2</v>
      </c>
      <c r="U110" s="5">
        <f>+T110</f>
        <v>1.3100000000000001E-2</v>
      </c>
      <c r="V110" s="5">
        <f t="shared" si="67"/>
        <v>0.31019933520139586</v>
      </c>
      <c r="W110" s="3">
        <f>(1+V110)/(1+MAX(V$2:V110))-1</f>
        <v>-3.1039140981995561E-2</v>
      </c>
      <c r="X110" s="10">
        <v>3.6999999999999998E-2</v>
      </c>
      <c r="Y110" s="5">
        <f>+X110</f>
        <v>3.6999999999999998E-2</v>
      </c>
      <c r="Z110" s="5">
        <f t="shared" si="68"/>
        <v>1.623595215091203</v>
      </c>
      <c r="AA110" s="3">
        <f>(1+Z110)/(1+MAX(Z$2:Z110))-1</f>
        <v>-2.8434700000000146E-2</v>
      </c>
      <c r="AB110" s="124"/>
      <c r="AC110" s="10">
        <f t="shared" si="80"/>
        <v>2.7804999999999996E-2</v>
      </c>
      <c r="AD110" s="5">
        <f>+AC110</f>
        <v>2.7804999999999996E-2</v>
      </c>
      <c r="AE110" s="5">
        <f t="shared" si="69"/>
        <v>1.0237482075972175</v>
      </c>
      <c r="AF110" s="5">
        <f>(1+AE110)/(1+MAX(AE$2:AE110))-1</f>
        <v>0</v>
      </c>
      <c r="AG110" s="51">
        <f t="shared" si="70"/>
        <v>2023.7482075972182</v>
      </c>
      <c r="AH110" s="137"/>
      <c r="AI110" s="70"/>
      <c r="AJ110" s="70"/>
      <c r="AK110" s="70"/>
      <c r="AL110" s="70"/>
      <c r="AM110" s="70"/>
      <c r="AN110" s="70"/>
      <c r="AO110" s="70"/>
      <c r="AP110" s="81"/>
      <c r="AQ110" s="81"/>
    </row>
    <row r="111" spans="1:43" s="61" customFormat="1" outlineLevel="1" x14ac:dyDescent="0.3">
      <c r="A111" s="61" t="s">
        <v>664</v>
      </c>
      <c r="B111" s="55" t="str">
        <f t="shared" si="53"/>
        <v>2025-2</v>
      </c>
      <c r="C111" s="121">
        <v>45689</v>
      </c>
      <c r="D111" s="20">
        <v>2.18E-2</v>
      </c>
      <c r="E111" s="15">
        <f t="shared" si="78"/>
        <v>3.5287760000000112E-2</v>
      </c>
      <c r="F111" s="15">
        <f t="shared" si="79"/>
        <v>0.67578848494965715</v>
      </c>
      <c r="G111" s="13">
        <f>(1+F111)/(1+MAX(F$2:F111))-1</f>
        <v>0</v>
      </c>
      <c r="H111" s="20">
        <v>1.9099999999999999E-2</v>
      </c>
      <c r="I111" s="15">
        <f t="shared" si="72"/>
        <v>8.9214079999999862E-2</v>
      </c>
      <c r="J111" s="15">
        <f t="shared" si="64"/>
        <v>1.7707526328342955</v>
      </c>
      <c r="K111" s="13">
        <f>(1+J111)/(1+MAX(J$2:J111))-1</f>
        <v>0</v>
      </c>
      <c r="L111" s="20">
        <v>6.8999999999999999E-3</v>
      </c>
      <c r="M111" s="15">
        <f t="shared" si="73"/>
        <v>1.3746919999999774E-2</v>
      </c>
      <c r="N111" s="15">
        <f t="shared" si="65"/>
        <v>0.46886050557294334</v>
      </c>
      <c r="O111" s="13">
        <f>(1+N111)/(1+MAX(N$2:N111))-1</f>
        <v>0</v>
      </c>
      <c r="P111" s="20">
        <v>-1.4800000000000001E-2</v>
      </c>
      <c r="Q111" s="15">
        <f t="shared" si="74"/>
        <v>3.4361480000000055E-2</v>
      </c>
      <c r="R111" s="15">
        <f t="shared" si="66"/>
        <v>2.7552293514311774</v>
      </c>
      <c r="S111" s="13">
        <f>(1+R111)/(1+MAX(R$2:R111))-1</f>
        <v>-1.4800000000000035E-2</v>
      </c>
      <c r="T111" s="20">
        <v>2.2599999999999999E-2</v>
      </c>
      <c r="U111" s="15">
        <f t="shared" si="75"/>
        <v>3.5996059999999996E-2</v>
      </c>
      <c r="V111" s="15">
        <f t="shared" si="67"/>
        <v>0.33980984017694738</v>
      </c>
      <c r="W111" s="13">
        <f>(1+V111)/(1+MAX(V$2:V111))-1</f>
        <v>-9.1406255681886206E-3</v>
      </c>
      <c r="X111" s="20">
        <v>-3.7100000000000001E-2</v>
      </c>
      <c r="Y111" s="15">
        <f t="shared" si="76"/>
        <v>-1.4727000000001045E-3</v>
      </c>
      <c r="Z111" s="15">
        <f t="shared" si="68"/>
        <v>1.5262598326113195</v>
      </c>
      <c r="AA111" s="13">
        <f>(1+Z111)/(1+MAX(Z$2:Z111))-1</f>
        <v>-6.4479772630000043E-2</v>
      </c>
      <c r="AB111" s="124"/>
      <c r="AC111" s="20">
        <f t="shared" si="80"/>
        <v>6.4499999999999991E-3</v>
      </c>
      <c r="AD111" s="15">
        <f t="shared" si="77"/>
        <v>3.4434342250000194E-2</v>
      </c>
      <c r="AE111" s="15">
        <f t="shared" si="69"/>
        <v>1.0368013835362198</v>
      </c>
      <c r="AF111" s="15">
        <f>(1+AE111)/(1+MAX(AE$2:AE111))-1</f>
        <v>0</v>
      </c>
      <c r="AG111" s="58">
        <f t="shared" si="70"/>
        <v>2036.8013835362203</v>
      </c>
      <c r="AH111" s="137"/>
      <c r="AI111" s="70"/>
      <c r="AJ111" s="70"/>
      <c r="AK111" s="70"/>
      <c r="AL111" s="70"/>
      <c r="AM111" s="70"/>
      <c r="AN111" s="70"/>
      <c r="AO111" s="70"/>
      <c r="AP111" s="81"/>
      <c r="AQ111" s="81"/>
    </row>
    <row r="112" spans="1:43" s="61" customFormat="1" outlineLevel="1" x14ac:dyDescent="0.3">
      <c r="A112" s="61" t="s">
        <v>664</v>
      </c>
      <c r="B112" s="55" t="str">
        <f t="shared" si="53"/>
        <v>2025-3</v>
      </c>
      <c r="C112" s="121">
        <v>45717</v>
      </c>
      <c r="D112" s="20">
        <v>-3.61E-2</v>
      </c>
      <c r="E112" s="15">
        <f t="shared" si="78"/>
        <v>-2.0861281359999539E-3</v>
      </c>
      <c r="F112" s="15">
        <f t="shared" si="79"/>
        <v>0.61529252064297446</v>
      </c>
      <c r="G112" s="13">
        <f>(1+F112)/(1+MAX(F$2:F112))-1</f>
        <v>-3.6100000000000021E-2</v>
      </c>
      <c r="H112" s="20">
        <v>5.11E-2</v>
      </c>
      <c r="I112" s="15">
        <f t="shared" si="72"/>
        <v>0.14487291948799985</v>
      </c>
      <c r="J112" s="15">
        <f t="shared" si="64"/>
        <v>1.9123380923721278</v>
      </c>
      <c r="K112" s="13">
        <f>(1+J112)/(1+MAX(J$2:J112))-1</f>
        <v>0</v>
      </c>
      <c r="L112" s="20">
        <v>-3.61E-2</v>
      </c>
      <c r="M112" s="15">
        <f t="shared" si="73"/>
        <v>-2.2849343812000211E-2</v>
      </c>
      <c r="N112" s="15">
        <f t="shared" si="65"/>
        <v>0.41583464132175996</v>
      </c>
      <c r="O112" s="13">
        <f>(1+N112)/(1+MAX(N$2:N112))-1</f>
        <v>-3.6100000000000132E-2</v>
      </c>
      <c r="P112" s="20">
        <v>-9.5799999999999996E-2</v>
      </c>
      <c r="Q112" s="15">
        <f t="shared" si="74"/>
        <v>-6.4730349783999941E-2</v>
      </c>
      <c r="R112" s="15">
        <f t="shared" si="66"/>
        <v>2.3954783795640706</v>
      </c>
      <c r="S112" s="13">
        <f>(1+R112)/(1+MAX(R$2:R112))-1</f>
        <v>-0.10918216000000003</v>
      </c>
      <c r="T112" s="20">
        <v>-3.3300000000000003E-2</v>
      </c>
      <c r="U112" s="15">
        <f t="shared" si="75"/>
        <v>1.4973912019999869E-3</v>
      </c>
      <c r="V112" s="15">
        <f t="shared" si="67"/>
        <v>0.295194172499055</v>
      </c>
      <c r="W112" s="13">
        <f>(1+V112)/(1+MAX(V$2:V112))-1</f>
        <v>-4.213624273676797E-2</v>
      </c>
      <c r="X112" s="20">
        <v>-8.9499999999999996E-2</v>
      </c>
      <c r="Y112" s="15">
        <f t="shared" si="76"/>
        <v>-9.0840893350000118E-2</v>
      </c>
      <c r="Z112" s="15">
        <f t="shared" si="68"/>
        <v>1.3001595775926065</v>
      </c>
      <c r="AA112" s="13">
        <f>(1+Z112)/(1+MAX(Z$2:Z112))-1</f>
        <v>-0.14820883297961507</v>
      </c>
      <c r="AB112" s="124"/>
      <c r="AC112" s="20">
        <f t="shared" si="80"/>
        <v>-3.6754999999999996E-2</v>
      </c>
      <c r="AD112" s="15">
        <f t="shared" si="77"/>
        <v>-3.5862919993985276E-3</v>
      </c>
      <c r="AE112" s="15">
        <f t="shared" si="69"/>
        <v>0.96193874868434603</v>
      </c>
      <c r="AF112" s="15">
        <f>(1+AE112)/(1+MAX(AE$2:AE112))-1</f>
        <v>-3.6754999999999982E-2</v>
      </c>
      <c r="AG112" s="58">
        <f t="shared" si="70"/>
        <v>1961.9387486843466</v>
      </c>
      <c r="AH112" s="137"/>
      <c r="AI112" s="70"/>
      <c r="AJ112" s="70"/>
      <c r="AK112" s="70"/>
      <c r="AL112" s="70"/>
      <c r="AM112" s="70"/>
      <c r="AN112" s="70"/>
      <c r="AO112" s="70"/>
      <c r="AP112" s="81"/>
      <c r="AQ112" s="81"/>
    </row>
    <row r="113" spans="1:43" s="61" customFormat="1" outlineLevel="1" x14ac:dyDescent="0.3">
      <c r="A113" s="61" t="s">
        <v>664</v>
      </c>
      <c r="B113" s="55" t="str">
        <f t="shared" si="53"/>
        <v>2025-4</v>
      </c>
      <c r="C113" s="121">
        <v>45748</v>
      </c>
      <c r="D113" s="20">
        <v>-3.4700000000000002E-2</v>
      </c>
      <c r="E113" s="15">
        <f t="shared" si="78"/>
        <v>-3.6713739489680708E-2</v>
      </c>
      <c r="F113" s="15">
        <f t="shared" si="79"/>
        <v>0.55924187017666327</v>
      </c>
      <c r="G113" s="13">
        <f>(1+F113)/(1+MAX(F$2:F113))-1</f>
        <v>-6.9547330000000018E-2</v>
      </c>
      <c r="H113" s="20">
        <v>2.0999999999999999E-3</v>
      </c>
      <c r="I113" s="15">
        <f t="shared" si="72"/>
        <v>0.14727715261892471</v>
      </c>
      <c r="J113" s="15">
        <f t="shared" si="64"/>
        <v>1.9184540023661092</v>
      </c>
      <c r="K113" s="13">
        <f>(1+J113)/(1+MAX(J$2:J113))-1</f>
        <v>0</v>
      </c>
      <c r="L113" s="20">
        <v>-4.53E-2</v>
      </c>
      <c r="M113" s="15">
        <f t="shared" si="73"/>
        <v>-6.7114268537316613E-2</v>
      </c>
      <c r="N113" s="15">
        <f t="shared" si="65"/>
        <v>0.35169733206988418</v>
      </c>
      <c r="O113" s="13">
        <f>(1+N113)/(1+MAX(N$2:N113))-1</f>
        <v>-7.9764670000000093E-2</v>
      </c>
      <c r="P113" s="20">
        <v>-4.3299999999999998E-2</v>
      </c>
      <c r="Q113" s="15">
        <f t="shared" si="74"/>
        <v>-0.1052275256383528</v>
      </c>
      <c r="R113" s="15">
        <f t="shared" si="66"/>
        <v>2.2484541657289463</v>
      </c>
      <c r="S113" s="13">
        <f>(1+R113)/(1+MAX(R$2:R113))-1</f>
        <v>-0.14775457247199997</v>
      </c>
      <c r="T113" s="20">
        <v>-4.8800000000000003E-2</v>
      </c>
      <c r="U113" s="15">
        <f t="shared" si="75"/>
        <v>-4.7375681488657562E-2</v>
      </c>
      <c r="V113" s="15">
        <f t="shared" si="67"/>
        <v>0.23198869688110113</v>
      </c>
      <c r="W113" s="13">
        <f>(1+V113)/(1+MAX(V$2:V113))-1</f>
        <v>-8.8879994091213721E-2</v>
      </c>
      <c r="X113" s="20">
        <v>-8.09E-2</v>
      </c>
      <c r="Y113" s="15">
        <f t="shared" si="76"/>
        <v>-0.16439186507798509</v>
      </c>
      <c r="Z113" s="15">
        <f t="shared" si="68"/>
        <v>1.1140766677653646</v>
      </c>
      <c r="AA113" s="13">
        <f>(1+Z113)/(1+MAX(Z$2:Z113))-1</f>
        <v>-0.21711873839156415</v>
      </c>
      <c r="AB113" s="124"/>
      <c r="AC113" s="20">
        <f t="shared" si="80"/>
        <v>-4.0559999999999999E-2</v>
      </c>
      <c r="AD113" s="15">
        <f t="shared" si="77"/>
        <v>-4.4000831995902989E-2</v>
      </c>
      <c r="AE113" s="15">
        <f t="shared" si="69"/>
        <v>0.88236251303770885</v>
      </c>
      <c r="AF113" s="15">
        <f>(1+AE113)/(1+MAX(AE$2:AE113))-1</f>
        <v>-7.5824217199999988E-2</v>
      </c>
      <c r="AG113" s="58">
        <f t="shared" si="70"/>
        <v>1882.3625130377095</v>
      </c>
      <c r="AH113" s="137"/>
      <c r="AI113" s="70"/>
      <c r="AJ113" s="70"/>
      <c r="AK113" s="70"/>
      <c r="AL113" s="70"/>
      <c r="AM113" s="70"/>
      <c r="AN113" s="70"/>
      <c r="AO113" s="70"/>
      <c r="AP113" s="81"/>
      <c r="AQ113" s="81"/>
    </row>
    <row r="114" spans="1:43" s="61" customFormat="1" outlineLevel="1" x14ac:dyDescent="0.3">
      <c r="A114" s="61" t="s">
        <v>664</v>
      </c>
      <c r="B114" s="55" t="str">
        <f t="shared" si="53"/>
        <v>2025-5</v>
      </c>
      <c r="C114" s="121">
        <v>45778</v>
      </c>
      <c r="D114" s="20">
        <v>0</v>
      </c>
      <c r="E114" s="15">
        <f t="shared" si="78"/>
        <v>-3.6713739489680708E-2</v>
      </c>
      <c r="F114" s="15">
        <f t="shared" si="79"/>
        <v>0.55924187017666327</v>
      </c>
      <c r="G114" s="13">
        <f>(1+F114)/(1+MAX(F$2:F114))-1</f>
        <v>-6.9547330000000018E-2</v>
      </c>
      <c r="H114" s="20">
        <v>8.0000000000000004E-4</v>
      </c>
      <c r="I114" s="15">
        <f t="shared" si="72"/>
        <v>0.1481949743410198</v>
      </c>
      <c r="J114" s="15">
        <f t="shared" si="64"/>
        <v>1.9207887655680018</v>
      </c>
      <c r="K114" s="13">
        <f>(1+J114)/(1+MAX(J$2:J114))-1</f>
        <v>0</v>
      </c>
      <c r="L114" s="20">
        <v>1.1000000000000001E-3</v>
      </c>
      <c r="M114" s="15">
        <f t="shared" si="73"/>
        <v>-6.6088094232707562E-2</v>
      </c>
      <c r="N114" s="15">
        <f t="shared" si="65"/>
        <v>0.35318419913516119</v>
      </c>
      <c r="O114" s="13">
        <f>(1+N114)/(1+MAX(N$2:N114))-1</f>
        <v>-7.8752411137000045E-2</v>
      </c>
      <c r="P114" s="20">
        <v>7.2300000000000003E-2</v>
      </c>
      <c r="Q114" s="15">
        <f t="shared" si="74"/>
        <v>-4.0535475742005667E-2</v>
      </c>
      <c r="R114" s="15">
        <f t="shared" si="66"/>
        <v>2.4833174019111492</v>
      </c>
      <c r="S114" s="13">
        <f>(1+R114)/(1+MAX(R$2:R114))-1</f>
        <v>-8.6137228061725524E-2</v>
      </c>
      <c r="T114" s="20">
        <v>-5.7999999999999996E-3</v>
      </c>
      <c r="U114" s="15">
        <f t="shared" si="75"/>
        <v>-5.290090253602342E-2</v>
      </c>
      <c r="V114" s="15">
        <f t="shared" si="67"/>
        <v>0.22484316243919067</v>
      </c>
      <c r="W114" s="13">
        <f>(1+V114)/(1+MAX(V$2:V114))-1</f>
        <v>-9.4164490125484668E-2</v>
      </c>
      <c r="X114" s="20">
        <v>5.0200000000000002E-2</v>
      </c>
      <c r="Y114" s="15">
        <f t="shared" si="76"/>
        <v>-0.12244433670489996</v>
      </c>
      <c r="Z114" s="15">
        <f t="shared" si="68"/>
        <v>1.2202033164871859</v>
      </c>
      <c r="AA114" s="13">
        <f>(1+Z114)/(1+MAX(Z$2:Z114))-1</f>
        <v>-0.17781809905882073</v>
      </c>
      <c r="AB114" s="124"/>
      <c r="AC114" s="20">
        <f t="shared" si="80"/>
        <v>1.5100000000000001E-2</v>
      </c>
      <c r="AD114" s="15">
        <f t="shared" si="77"/>
        <v>-2.9565244559041193E-2</v>
      </c>
      <c r="AE114" s="15">
        <f t="shared" si="69"/>
        <v>0.91078618698457814</v>
      </c>
      <c r="AF114" s="15">
        <f>(1+AE114)/(1+MAX(AE$2:AE114))-1</f>
        <v>-6.1869162879720108E-2</v>
      </c>
      <c r="AG114" s="58">
        <f t="shared" si="70"/>
        <v>1910.7861869845788</v>
      </c>
      <c r="AH114" s="137"/>
      <c r="AI114" s="70"/>
      <c r="AJ114" s="70"/>
      <c r="AK114" s="70"/>
      <c r="AL114" s="70"/>
      <c r="AM114" s="70"/>
      <c r="AN114" s="70"/>
      <c r="AO114" s="70"/>
      <c r="AP114" s="81"/>
      <c r="AQ114" s="81"/>
    </row>
    <row r="115" spans="1:43" s="61" customFormat="1" outlineLevel="1" x14ac:dyDescent="0.3">
      <c r="A115" s="61" t="s">
        <v>664</v>
      </c>
      <c r="B115" s="55" t="str">
        <f t="shared" si="53"/>
        <v>2025-6</v>
      </c>
      <c r="C115" s="121">
        <v>45809</v>
      </c>
      <c r="D115" s="20">
        <v>-7.1000000000000004E-3</v>
      </c>
      <c r="E115" s="15">
        <f t="shared" si="78"/>
        <v>-4.3553071939304022E-2</v>
      </c>
      <c r="F115" s="15">
        <f t="shared" si="79"/>
        <v>0.54817125289840907</v>
      </c>
      <c r="G115" s="13">
        <f>(1+F115)/(1+MAX(F$2:F115))-1</f>
        <v>-7.6153543956999914E-2</v>
      </c>
      <c r="H115" s="20">
        <v>-2.6599999999999999E-2</v>
      </c>
      <c r="I115" s="15">
        <f t="shared" si="72"/>
        <v>0.11765298802354862</v>
      </c>
      <c r="J115" s="15">
        <f t="shared" si="64"/>
        <v>1.8430957844038929</v>
      </c>
      <c r="K115" s="13">
        <f>(1+J115)/(1+MAX(J$2:J115))-1</f>
        <v>-2.6600000000000068E-2</v>
      </c>
      <c r="L115" s="20">
        <v>-2.3400000000000001E-2</v>
      </c>
      <c r="M115" s="15">
        <f t="shared" si="73"/>
        <v>-8.7941632827662208E-2</v>
      </c>
      <c r="N115" s="15">
        <f t="shared" si="65"/>
        <v>0.32151968887539839</v>
      </c>
      <c r="O115" s="13">
        <f>(1+N115)/(1+MAX(N$2:N115))-1</f>
        <v>-0.10030960471639427</v>
      </c>
      <c r="P115" s="20">
        <v>3.04E-2</v>
      </c>
      <c r="Q115" s="15">
        <f t="shared" si="74"/>
        <v>-1.1367754204562708E-2</v>
      </c>
      <c r="R115" s="15">
        <f t="shared" si="66"/>
        <v>2.5892102509292481</v>
      </c>
      <c r="S115" s="13">
        <f>(1+R115)/(1+MAX(R$2:R115))-1</f>
        <v>-5.8355799794802099E-2</v>
      </c>
      <c r="T115" s="20">
        <v>-2.0299999999999999E-2</v>
      </c>
      <c r="U115" s="15">
        <f t="shared" si="75"/>
        <v>-7.2127014214542151E-2</v>
      </c>
      <c r="V115" s="15">
        <f t="shared" si="67"/>
        <v>0.19997884624167517</v>
      </c>
      <c r="W115" s="13">
        <f>(1+V115)/(1+MAX(V$2:V115))-1</f>
        <v>-0.11255295097593732</v>
      </c>
      <c r="X115" s="20">
        <v>5.8999999999999999E-3</v>
      </c>
      <c r="Y115" s="15">
        <f t="shared" si="76"/>
        <v>-0.11726675829145883</v>
      </c>
      <c r="Z115" s="15">
        <f t="shared" si="68"/>
        <v>1.2333025160544602</v>
      </c>
      <c r="AA115" s="13">
        <f>(1+Z115)/(1+MAX(Z$2:Z115))-1</f>
        <v>-0.17296722584326774</v>
      </c>
      <c r="AB115" s="124"/>
      <c r="AC115" s="20">
        <f t="shared" si="80"/>
        <v>-9.8150000000000008E-3</v>
      </c>
      <c r="AD115" s="15">
        <f t="shared" si="77"/>
        <v>-3.9090061683694222E-2</v>
      </c>
      <c r="AE115" s="15">
        <f t="shared" si="69"/>
        <v>0.89203182055932451</v>
      </c>
      <c r="AF115" s="15">
        <f>(1+AE115)/(1+MAX(AE$2:AE115))-1</f>
        <v>-7.1076917046055677E-2</v>
      </c>
      <c r="AG115" s="58">
        <f t="shared" si="70"/>
        <v>1892.0318205593251</v>
      </c>
      <c r="AH115" s="137"/>
      <c r="AI115" s="70"/>
      <c r="AJ115" s="70"/>
      <c r="AK115" s="70"/>
      <c r="AL115" s="70"/>
      <c r="AM115" s="70"/>
      <c r="AN115" s="70"/>
      <c r="AO115" s="70"/>
      <c r="AP115" s="81"/>
      <c r="AQ115" s="81"/>
    </row>
    <row r="116" spans="1:43" s="61" customFormat="1" outlineLevel="1" x14ac:dyDescent="0.3">
      <c r="A116" s="61" t="s">
        <v>664</v>
      </c>
      <c r="B116" s="55" t="str">
        <f t="shared" si="53"/>
        <v>2025-7</v>
      </c>
      <c r="C116" s="121">
        <v>45839</v>
      </c>
      <c r="D116" s="20">
        <v>2.06E-2</v>
      </c>
      <c r="E116" s="15">
        <f t="shared" si="78"/>
        <v>-2.3850265221253775E-2</v>
      </c>
      <c r="F116" s="15">
        <f t="shared" si="79"/>
        <v>0.58006358070811626</v>
      </c>
      <c r="G116" s="13">
        <f>(1+F116)/(1+MAX(F$2:F116))-1</f>
        <v>-5.7122306962514191E-2</v>
      </c>
      <c r="H116" s="20">
        <v>2.0299999999999999E-2</v>
      </c>
      <c r="I116" s="15">
        <f t="shared" si="72"/>
        <v>0.14034134368042661</v>
      </c>
      <c r="J116" s="15">
        <f t="shared" si="64"/>
        <v>1.9008106288272919</v>
      </c>
      <c r="K116" s="13">
        <f>(1+J116)/(1+MAX(J$2:J116))-1</f>
        <v>-6.8399800000000788E-3</v>
      </c>
      <c r="L116" s="20">
        <v>2.6100000000000002E-2</v>
      </c>
      <c r="M116" s="15">
        <f t="shared" si="73"/>
        <v>-6.4136909444464152E-2</v>
      </c>
      <c r="N116" s="15">
        <f t="shared" si="65"/>
        <v>0.35601135275504636</v>
      </c>
      <c r="O116" s="13">
        <f>(1+N116)/(1+MAX(N$2:N116))-1</f>
        <v>-7.6827685399492029E-2</v>
      </c>
      <c r="P116" s="20">
        <v>3.5200000000000002E-2</v>
      </c>
      <c r="Q116" s="15">
        <f t="shared" si="74"/>
        <v>2.3432100847436521E-2</v>
      </c>
      <c r="R116" s="15">
        <f t="shared" si="66"/>
        <v>2.7155504517619571</v>
      </c>
      <c r="S116" s="13">
        <f>(1+R116)/(1+MAX(R$2:R116))-1</f>
        <v>-2.520992394757926E-2</v>
      </c>
      <c r="T116" s="20">
        <v>2.69E-2</v>
      </c>
      <c r="U116" s="15">
        <f t="shared" si="75"/>
        <v>-4.7167230896913437E-2</v>
      </c>
      <c r="V116" s="15">
        <f t="shared" si="67"/>
        <v>0.23225827720557612</v>
      </c>
      <c r="W116" s="13">
        <f>(1+V116)/(1+MAX(V$2:V116))-1</f>
        <v>-8.8680625357190124E-2</v>
      </c>
      <c r="X116" s="20">
        <v>4.3999999999999997E-2</v>
      </c>
      <c r="Y116" s="15">
        <f t="shared" si="76"/>
        <v>-7.8426495656283013E-2</v>
      </c>
      <c r="Z116" s="15">
        <f t="shared" si="68"/>
        <v>1.3315678267608564</v>
      </c>
      <c r="AA116" s="13">
        <f>(1+Z116)/(1+MAX(Z$2:Z116))-1</f>
        <v>-0.13657778378037155</v>
      </c>
      <c r="AB116" s="124"/>
      <c r="AC116" s="20">
        <f t="shared" si="80"/>
        <v>2.7720000000000002E-2</v>
      </c>
      <c r="AD116" s="15">
        <f t="shared" si="77"/>
        <v>-1.2453638193566263E-2</v>
      </c>
      <c r="AE116" s="15">
        <f t="shared" si="69"/>
        <v>0.94447894262522891</v>
      </c>
      <c r="AF116" s="15">
        <f>(1+AE116)/(1+MAX(AE$2:AE116))-1</f>
        <v>-4.5327169186572314E-2</v>
      </c>
      <c r="AG116" s="58">
        <f t="shared" si="70"/>
        <v>1944.4789426252296</v>
      </c>
      <c r="AH116" s="137"/>
      <c r="AI116" s="70"/>
      <c r="AJ116" s="70"/>
      <c r="AK116" s="70"/>
      <c r="AL116" s="70"/>
      <c r="AM116" s="70"/>
      <c r="AN116" s="70"/>
      <c r="AO116" s="70"/>
      <c r="AP116" s="81"/>
      <c r="AQ116" s="81"/>
    </row>
    <row r="117" spans="1:43" s="61" customFormat="1" outlineLevel="1" x14ac:dyDescent="0.3">
      <c r="A117" s="61" t="s">
        <v>664</v>
      </c>
      <c r="B117" s="55" t="str">
        <f t="shared" si="53"/>
        <v>2025-8</v>
      </c>
      <c r="C117" s="121">
        <v>45870</v>
      </c>
      <c r="D117" s="20">
        <v>-4.7999999999999996E-3</v>
      </c>
      <c r="E117" s="15">
        <f t="shared" si="78"/>
        <v>-2.8535783948191784E-2</v>
      </c>
      <c r="F117" s="15">
        <f t="shared" si="79"/>
        <v>0.57247927552071731</v>
      </c>
      <c r="G117" s="13">
        <f>(1+F117)/(1+MAX(F$2:F117))-1</f>
        <v>-6.1648119889094133E-2</v>
      </c>
      <c r="H117" s="20">
        <v>2.7199999999999998E-2</v>
      </c>
      <c r="I117" s="15">
        <f t="shared" si="72"/>
        <v>0.17135862822853398</v>
      </c>
      <c r="J117" s="15">
        <f t="shared" si="64"/>
        <v>1.9797126779313938</v>
      </c>
      <c r="K117" s="13">
        <f>(1+J117)/(1+MAX(J$2:J117))-1</f>
        <v>0</v>
      </c>
      <c r="L117" s="20">
        <v>-1.3299999999999999E-2</v>
      </c>
      <c r="M117" s="15">
        <f t="shared" si="73"/>
        <v>-7.6583888548852785E-2</v>
      </c>
      <c r="N117" s="15">
        <f t="shared" si="65"/>
        <v>0.33797640176340438</v>
      </c>
      <c r="O117" s="13">
        <f>(1+N117)/(1+MAX(N$2:N117))-1</f>
        <v>-8.9105877183678794E-2</v>
      </c>
      <c r="P117" s="20">
        <v>3.8999999999999998E-3</v>
      </c>
      <c r="Q117" s="15">
        <f t="shared" si="74"/>
        <v>2.7423486040741629E-2</v>
      </c>
      <c r="R117" s="15">
        <f t="shared" si="66"/>
        <v>2.7300410985238286</v>
      </c>
      <c r="S117" s="13">
        <f>(1+R117)/(1+MAX(R$2:R117))-1</f>
        <v>-2.1408242650974851E-2</v>
      </c>
      <c r="T117" s="20">
        <v>-6.7000000000000002E-3</v>
      </c>
      <c r="U117" s="15">
        <f t="shared" si="75"/>
        <v>-5.3551210449904185E-2</v>
      </c>
      <c r="V117" s="15">
        <f t="shared" si="67"/>
        <v>0.22400214674829866</v>
      </c>
      <c r="W117" s="13">
        <f>(1+V117)/(1+MAX(V$2:V117))-1</f>
        <v>-9.4786465167297052E-2</v>
      </c>
      <c r="X117" s="20">
        <v>2.9399999999999999E-2</v>
      </c>
      <c r="Y117" s="15">
        <f t="shared" si="76"/>
        <v>-5.1332234628577611E-2</v>
      </c>
      <c r="Z117" s="15">
        <f t="shared" si="68"/>
        <v>1.4001159208676257</v>
      </c>
      <c r="AA117" s="13">
        <f>(1+Z117)/(1+MAX(Z$2:Z117))-1</f>
        <v>-0.11119317062351441</v>
      </c>
      <c r="AB117" s="124"/>
      <c r="AC117" s="20">
        <f t="shared" si="80"/>
        <v>2.2199999999999993E-3</v>
      </c>
      <c r="AD117" s="15">
        <f t="shared" si="77"/>
        <v>-1.026128527035608E-2</v>
      </c>
      <c r="AE117" s="15">
        <f t="shared" si="69"/>
        <v>0.94879568587785679</v>
      </c>
      <c r="AF117" s="15">
        <f>(1+AE117)/(1+MAX(AE$2:AE117))-1</f>
        <v>-4.3207795502166579E-2</v>
      </c>
      <c r="AG117" s="58">
        <f t="shared" si="70"/>
        <v>1948.7956858778573</v>
      </c>
      <c r="AH117" s="137"/>
      <c r="AI117" s="70"/>
      <c r="AJ117" s="70"/>
      <c r="AK117" s="70"/>
      <c r="AL117" s="70"/>
      <c r="AM117" s="70"/>
      <c r="AN117" s="70"/>
      <c r="AO117" s="70"/>
      <c r="AP117" s="81"/>
      <c r="AQ117" s="81"/>
    </row>
    <row r="118" spans="1:43" s="61" customFormat="1" outlineLevel="1" x14ac:dyDescent="0.3">
      <c r="A118" s="61" t="s">
        <v>664</v>
      </c>
      <c r="B118" s="55" t="str">
        <f t="shared" si="53"/>
        <v>2025-9</v>
      </c>
      <c r="C118" s="121">
        <v>45901</v>
      </c>
      <c r="D118" s="20">
        <v>8.0999999999999996E-3</v>
      </c>
      <c r="E118" s="15">
        <f t="shared" si="78"/>
        <v>-2.0666923798172143E-2</v>
      </c>
      <c r="F118" s="15">
        <f t="shared" si="79"/>
        <v>0.58521635765243518</v>
      </c>
      <c r="G118" s="13">
        <f>(1+F118)/(1+MAX(F$2:F118))-1</f>
        <v>-5.4047469660195691E-2</v>
      </c>
      <c r="H118" s="20">
        <v>0.11310000000000001</v>
      </c>
      <c r="I118" s="15">
        <f t="shared" si="72"/>
        <v>0.30383928908118119</v>
      </c>
      <c r="J118" s="15">
        <f t="shared" si="64"/>
        <v>2.3167181818054345</v>
      </c>
      <c r="K118" s="13">
        <f>(1+J118)/(1+MAX(J$2:J118))-1</f>
        <v>0</v>
      </c>
      <c r="L118" s="20">
        <v>-8.9999999999999998E-4</v>
      </c>
      <c r="M118" s="15">
        <f t="shared" si="73"/>
        <v>-7.7414963049158847E-2</v>
      </c>
      <c r="N118" s="15">
        <f t="shared" si="65"/>
        <v>0.33677222300181731</v>
      </c>
      <c r="O118" s="13">
        <f>(1+N118)/(1+MAX(N$2:N118))-1</f>
        <v>-8.9925681894213461E-2</v>
      </c>
      <c r="P118" s="20">
        <v>2.76E-2</v>
      </c>
      <c r="Q118" s="15">
        <f t="shared" si="74"/>
        <v>5.5780374255466114E-2</v>
      </c>
      <c r="R118" s="15">
        <f t="shared" si="66"/>
        <v>2.8329902328430867</v>
      </c>
      <c r="S118" s="13">
        <f>(1+R118)/(1+MAX(R$2:R118))-1</f>
        <v>0</v>
      </c>
      <c r="T118" s="20">
        <v>5.0000000000000001E-4</v>
      </c>
      <c r="U118" s="15">
        <f t="shared" si="75"/>
        <v>-5.3077986055129145E-2</v>
      </c>
      <c r="V118" s="15">
        <f t="shared" si="67"/>
        <v>0.22461414782167277</v>
      </c>
      <c r="W118" s="13">
        <f>(1+V118)/(1+MAX(V$2:V118))-1</f>
        <v>-9.4333858399880732E-2</v>
      </c>
      <c r="X118" s="20">
        <v>-2.9999999999999997E-4</v>
      </c>
      <c r="Y118" s="15">
        <f t="shared" si="76"/>
        <v>-5.1616834958189028E-2</v>
      </c>
      <c r="Z118" s="15">
        <f t="shared" si="68"/>
        <v>1.3993958860913653</v>
      </c>
      <c r="AA118" s="13">
        <f>(1+Z118)/(1+MAX(Z$2:Z118))-1</f>
        <v>-0.11145981267232741</v>
      </c>
      <c r="AB118" s="124"/>
      <c r="AC118" s="20">
        <f t="shared" si="80"/>
        <v>2.2165000000000004E-2</v>
      </c>
      <c r="AD118" s="15">
        <f t="shared" si="77"/>
        <v>1.1676273341626464E-2</v>
      </c>
      <c r="AE118" s="15">
        <f t="shared" si="69"/>
        <v>0.99199074225533956</v>
      </c>
      <c r="AF118" s="15">
        <f>(1+AE118)/(1+MAX(AE$2:AE118))-1</f>
        <v>-2.2000496289472093E-2</v>
      </c>
      <c r="AG118" s="58">
        <f t="shared" si="70"/>
        <v>1991.9907422553399</v>
      </c>
      <c r="AH118" s="137"/>
      <c r="AI118" s="70"/>
      <c r="AJ118" s="70"/>
      <c r="AK118" s="70"/>
      <c r="AL118" s="70"/>
      <c r="AM118" s="70"/>
      <c r="AN118" s="70"/>
      <c r="AO118" s="70"/>
      <c r="AP118" s="81"/>
      <c r="AQ118" s="81"/>
    </row>
    <row r="119" spans="1:43" s="61" customFormat="1" outlineLevel="1" x14ac:dyDescent="0.3">
      <c r="A119" s="61" t="s">
        <v>664</v>
      </c>
      <c r="B119" s="55" t="str">
        <f t="shared" si="53"/>
        <v>2025-10</v>
      </c>
      <c r="C119" s="121">
        <v>45931</v>
      </c>
      <c r="D119" s="20">
        <v>1.9099999999999999E-2</v>
      </c>
      <c r="E119" s="15">
        <f t="shared" si="78"/>
        <v>-1.9616620427173048E-3</v>
      </c>
      <c r="F119" s="15">
        <f t="shared" si="79"/>
        <v>0.61549399008359651</v>
      </c>
      <c r="G119" s="13">
        <f>(1+F119)/(1+MAX(F$2:F119))-1</f>
        <v>-3.5979776330705593E-2</v>
      </c>
      <c r="H119" s="20">
        <v>5.0200000000000002E-2</v>
      </c>
      <c r="I119" s="15">
        <f t="shared" si="72"/>
        <v>0.36929202139305661</v>
      </c>
      <c r="J119" s="15">
        <f t="shared" si="64"/>
        <v>2.4832174345320674</v>
      </c>
      <c r="K119" s="13">
        <f>(1+J119)/(1+MAX(J$2:J119))-1</f>
        <v>0</v>
      </c>
      <c r="L119" s="20">
        <v>1.72E-2</v>
      </c>
      <c r="M119" s="15">
        <f t="shared" si="73"/>
        <v>-6.1546500413604321E-2</v>
      </c>
      <c r="N119" s="15">
        <f t="shared" si="65"/>
        <v>0.35976470523744863</v>
      </c>
      <c r="O119" s="13">
        <f>(1+N119)/(1+MAX(N$2:N119))-1</f>
        <v>-7.4272403622793859E-2</v>
      </c>
      <c r="P119" s="20">
        <v>3.56E-2</v>
      </c>
      <c r="Q119" s="15">
        <f t="shared" si="74"/>
        <v>9.3366155578960885E-2</v>
      </c>
      <c r="R119" s="15">
        <f t="shared" si="66"/>
        <v>2.9694446851323009</v>
      </c>
      <c r="S119" s="13">
        <f>(1+R119)/(1+MAX(R$2:R119))-1</f>
        <v>0</v>
      </c>
      <c r="T119" s="20">
        <v>1.7100000000000001E-2</v>
      </c>
      <c r="U119" s="15">
        <f t="shared" si="75"/>
        <v>-3.6885619616671916E-2</v>
      </c>
      <c r="V119" s="15">
        <f t="shared" si="67"/>
        <v>0.24555504974942322</v>
      </c>
      <c r="W119" s="13">
        <f>(1+V119)/(1+MAX(V$2:V119))-1</f>
        <v>-7.8846967378518817E-2</v>
      </c>
      <c r="X119" s="20">
        <v>3.2000000000000002E-3</v>
      </c>
      <c r="Y119" s="15">
        <f t="shared" si="76"/>
        <v>-4.8582008830055146E-2</v>
      </c>
      <c r="Z119" s="15">
        <f t="shared" si="68"/>
        <v>1.4070739529268579</v>
      </c>
      <c r="AA119" s="13">
        <f>(1+Z119)/(1+MAX(Z$2:Z119))-1</f>
        <v>-0.10861648407287883</v>
      </c>
      <c r="AB119" s="124"/>
      <c r="AC119" s="20">
        <f t="shared" si="80"/>
        <v>2.3775000000000001E-2</v>
      </c>
      <c r="AD119" s="15">
        <f t="shared" si="77"/>
        <v>3.5728876740323656E-2</v>
      </c>
      <c r="AE119" s="15">
        <f t="shared" si="69"/>
        <v>1.0393503221524605</v>
      </c>
      <c r="AF119" s="15">
        <f>(1+AE119)/(1+MAX(AE$2:AE119))-1</f>
        <v>0</v>
      </c>
      <c r="AG119" s="58">
        <f t="shared" si="70"/>
        <v>2039.3503221524609</v>
      </c>
      <c r="AH119" s="137"/>
      <c r="AI119" s="70"/>
      <c r="AJ119" s="70"/>
      <c r="AK119" s="70"/>
      <c r="AL119" s="70"/>
      <c r="AM119" s="70"/>
      <c r="AN119" s="70"/>
      <c r="AO119" s="70"/>
      <c r="AP119" s="81"/>
      <c r="AQ119" s="81"/>
    </row>
    <row r="120" spans="1:43" s="61" customFormat="1" outlineLevel="1" x14ac:dyDescent="0.3">
      <c r="A120" s="61" t="s">
        <v>664</v>
      </c>
      <c r="B120" s="55" t="str">
        <f t="shared" si="53"/>
        <v>2025-11</v>
      </c>
      <c r="C120" s="121">
        <v>45962</v>
      </c>
      <c r="D120" s="20">
        <v>3.8E-3</v>
      </c>
      <c r="E120" s="15">
        <f>+(1+D120)*(1+E119)-1</f>
        <v>1.8308836415203977E-3</v>
      </c>
      <c r="F120" s="15">
        <f>+(1+D120)*(1+F119)-1</f>
        <v>0.62163286724591416</v>
      </c>
      <c r="G120" s="13">
        <f>(1+F120)/(1+MAX(F$2:F120))-1</f>
        <v>-3.2316499480762317E-2</v>
      </c>
      <c r="H120" s="20">
        <v>5.0799999999999998E-2</v>
      </c>
      <c r="I120" s="15">
        <f>+(1+H120)*(1+I119)-1</f>
        <v>0.43885205607982392</v>
      </c>
      <c r="J120" s="15">
        <f>+(1+H120)*(1+J119)-1</f>
        <v>2.6601648802062963</v>
      </c>
      <c r="K120" s="13">
        <f>(1+J120)/(1+MAX(J$2:J120))-1</f>
        <v>0</v>
      </c>
      <c r="L120" s="20">
        <v>8.0000000000000004E-4</v>
      </c>
      <c r="M120" s="15">
        <f>+(1+L120)*(1+M119)-1</f>
        <v>-6.0795737613935308E-2</v>
      </c>
      <c r="N120" s="15">
        <f>+(1+L120)*(1+N119)-1</f>
        <v>0.36085251700163856</v>
      </c>
      <c r="O120" s="13">
        <f>(1+N120)/(1+MAX(N$2:N120))-1</f>
        <v>-7.3531821545692155E-2</v>
      </c>
      <c r="P120" s="20">
        <v>-1.8100000000000002E-2</v>
      </c>
      <c r="Q120" s="15">
        <f>+(1+P120)*(1+Q119)-1</f>
        <v>7.3576228162981705E-2</v>
      </c>
      <c r="R120" s="15">
        <f>+(1+P120)*(1+R119)-1</f>
        <v>2.8975977363314063</v>
      </c>
      <c r="S120" s="13">
        <f>(1+R120)/(1+MAX(R$2:R120))-1</f>
        <v>-1.8100000000000005E-2</v>
      </c>
      <c r="T120" s="20">
        <v>-6.9999999999999999E-4</v>
      </c>
      <c r="U120" s="15">
        <f>+(1+T120)*(1+U119)-1</f>
        <v>-3.755979968294032E-2</v>
      </c>
      <c r="V120" s="15">
        <f>+(1+T120)*(1+V119)-1</f>
        <v>0.24468316121459854</v>
      </c>
      <c r="W120" s="13">
        <f>(1+V120)/(1+MAX(V$2:V120))-1</f>
        <v>-7.9491774501353918E-2</v>
      </c>
      <c r="X120" s="20">
        <v>2.2200000000000001E-2</v>
      </c>
      <c r="Y120" s="15">
        <f>+(1+X120)*(1+Y119)-1</f>
        <v>-2.7460529426082347E-2</v>
      </c>
      <c r="Z120" s="15">
        <f>+(1+X120)*(1+Z119)-1</f>
        <v>1.460510994681834</v>
      </c>
      <c r="AA120" s="13">
        <f>(1+Z120)/(1+MAX(Z$2:Z120))-1</f>
        <v>-8.8827770019296759E-2</v>
      </c>
      <c r="AB120" s="124"/>
      <c r="AC120" s="20">
        <f t="shared" ref="AC120:AC131" si="81">D120*$E$1+H120*$I$1+L120*$M$1+P120*$Q$1+T120*$U$1+X120*$Y$1</f>
        <v>7.7549999999999997E-3</v>
      </c>
      <c r="AD120" s="15">
        <f>+(1+AC120)*(1+AD119)-1</f>
        <v>4.3760954179444811E-2</v>
      </c>
      <c r="AE120" s="15">
        <f>+(1+AC120)*(1+AE119)-1</f>
        <v>1.0551654839007529</v>
      </c>
      <c r="AF120" s="15">
        <f>(1+AE120)/(1+MAX(AE$2:AE120))-1</f>
        <v>0</v>
      </c>
      <c r="AG120" s="58">
        <f>AG119*(1+AC120)</f>
        <v>2055.1654839007533</v>
      </c>
      <c r="AH120" s="137"/>
      <c r="AI120" s="70"/>
      <c r="AJ120" s="70"/>
      <c r="AK120" s="70"/>
      <c r="AL120" s="70"/>
      <c r="AM120" s="70"/>
      <c r="AN120" s="70"/>
      <c r="AO120" s="70"/>
      <c r="AP120" s="81"/>
      <c r="AQ120" s="81"/>
    </row>
    <row r="121" spans="1:43" s="27" customFormat="1" ht="15" thickBot="1" x14ac:dyDescent="0.35">
      <c r="A121" s="27" t="s">
        <v>664</v>
      </c>
      <c r="B121" s="63" t="str">
        <f t="shared" si="53"/>
        <v>2025-12</v>
      </c>
      <c r="C121" s="122">
        <v>45992</v>
      </c>
      <c r="D121" s="32">
        <v>-1.35E-2</v>
      </c>
      <c r="E121" s="25">
        <f>+(1+D121)*(1+E120)-1</f>
        <v>-1.1693833287640065E-2</v>
      </c>
      <c r="F121" s="25">
        <f>+(1+D121)*(1+F120)-1</f>
        <v>0.59974082353809433</v>
      </c>
      <c r="G121" s="26">
        <f>(1+F121)/(1+MAX(F$2:F121))-1</f>
        <v>-4.5380226737771978E-2</v>
      </c>
      <c r="H121" s="32">
        <v>9.2999999999999992E-3</v>
      </c>
      <c r="I121" s="25">
        <f>+(1+H121)*(1+I120)-1</f>
        <v>0.4522333802013665</v>
      </c>
      <c r="J121" s="25">
        <f>+(1+H121)*(1+J120)-1</f>
        <v>2.6942044135922152</v>
      </c>
      <c r="K121" s="26">
        <f>(1+J121)/(1+MAX(J$2:J121))-1</f>
        <v>0</v>
      </c>
      <c r="L121" s="32">
        <v>-9.2999999999999992E-3</v>
      </c>
      <c r="M121" s="25">
        <f>+(1+L121)*(1+M120)-1</f>
        <v>-6.9530337254125718E-2</v>
      </c>
      <c r="N121" s="25">
        <f>+(1+L121)*(1+N120)-1</f>
        <v>0.34819658859352343</v>
      </c>
      <c r="O121" s="26">
        <f>(1+N121)/(1+MAX(N$2:N121))-1</f>
        <v>-8.2147975605317169E-2</v>
      </c>
      <c r="P121" s="32">
        <v>0.12820000000000001</v>
      </c>
      <c r="Q121" s="25">
        <f>+(1+P121)*(1+Q120)-1</f>
        <v>0.21120870061347596</v>
      </c>
      <c r="R121" s="25">
        <f>+(1+P121)*(1+R120)-1</f>
        <v>3.3972697661290931</v>
      </c>
      <c r="S121" s="26">
        <f>(1+R121)/(1+MAX(R$2:R121))-1</f>
        <v>0</v>
      </c>
      <c r="T121" s="32">
        <v>-1.72E-2</v>
      </c>
      <c r="U121" s="25">
        <f>+(1+T121)*(1+U120)-1</f>
        <v>-5.4113771128393773E-2</v>
      </c>
      <c r="V121" s="25">
        <f>+(1+T121)*(1+V120)-1</f>
        <v>0.22327461084170741</v>
      </c>
      <c r="W121" s="26">
        <f>(1+V121)/(1+MAX(V$2:V121))-1</f>
        <v>-9.5324515979930635E-2</v>
      </c>
      <c r="X121" s="32">
        <v>-6.4000000000000003E-3</v>
      </c>
      <c r="Y121" s="25">
        <f>+(1+X121)*(1+Y120)-1</f>
        <v>-3.3684782037755379E-2</v>
      </c>
      <c r="Z121" s="25">
        <f>+(1+X121)*(1+Z120)-1</f>
        <v>1.4447637243158704</v>
      </c>
      <c r="AA121" s="26">
        <f>(1+Z121)/(1+MAX(Z$2:Z121))-1</f>
        <v>-9.4659272291173213E-2</v>
      </c>
      <c r="AB121" s="125"/>
      <c r="AC121" s="20">
        <f t="shared" si="81"/>
        <v>1.2195000000000001E-2</v>
      </c>
      <c r="AD121" s="25">
        <f>+(1+AC121)*(1+AD120)-1</f>
        <v>5.6489619015663184E-2</v>
      </c>
      <c r="AE121" s="25">
        <f>+(1+AC121)*(1+AE120)-1</f>
        <v>1.0802282269769226</v>
      </c>
      <c r="AF121" s="25">
        <f>(1+AE121)/(1+MAX(AE$2:AE121))-1</f>
        <v>0</v>
      </c>
      <c r="AG121" s="66">
        <f>AG120*(1+AC121)</f>
        <v>2080.228226976923</v>
      </c>
      <c r="AH121" s="138"/>
      <c r="AI121" s="139"/>
      <c r="AJ121" s="139"/>
      <c r="AK121" s="139"/>
      <c r="AL121" s="139"/>
      <c r="AM121" s="139"/>
      <c r="AN121" s="139"/>
      <c r="AO121" s="139"/>
      <c r="AP121" s="78"/>
      <c r="AQ121" s="78"/>
    </row>
    <row r="122" spans="1:43" s="54" customFormat="1" outlineLevel="1" x14ac:dyDescent="0.3">
      <c r="A122" s="54" t="s">
        <v>664</v>
      </c>
      <c r="B122" s="48" t="str">
        <f t="shared" ref="B122:B133" si="82">YEAR(C122)&amp;"-"&amp;MONTH(C122)</f>
        <v>2026-1</v>
      </c>
      <c r="C122" s="120">
        <v>46023</v>
      </c>
      <c r="D122" s="10">
        <v>-6.8999999999999999E-3</v>
      </c>
      <c r="E122" s="5">
        <f>+D122</f>
        <v>-6.8999999999999999E-3</v>
      </c>
      <c r="F122" s="5">
        <f t="shared" ref="F122:F131" si="83">+(1+D122)*(1+F121)-1</f>
        <v>0.58870261185568151</v>
      </c>
      <c r="G122" s="3">
        <f>(1+F122)/(1+MAX(F$2:F122))-1</f>
        <v>-5.1967103173281348E-2</v>
      </c>
      <c r="H122" s="10">
        <v>0.1031</v>
      </c>
      <c r="I122" s="5">
        <f>+H122</f>
        <v>0.1031</v>
      </c>
      <c r="J122" s="5">
        <f t="shared" ref="J122:J131" si="84">+(1+H122)*(1+J121)-1</f>
        <v>3.0750768886335722</v>
      </c>
      <c r="K122" s="3">
        <f>(1+J122)/(1+MAX(J$2:J122))-1</f>
        <v>0</v>
      </c>
      <c r="L122" s="10">
        <v>-1.61E-2</v>
      </c>
      <c r="M122" s="5">
        <f>+L122</f>
        <v>-1.61E-2</v>
      </c>
      <c r="N122" s="5">
        <f t="shared" ref="N122:N131" si="85">+(1+L122)*(1+N121)-1</f>
        <v>0.32649062351716762</v>
      </c>
      <c r="O122" s="3">
        <f>(1+N122)/(1+MAX(N$2:N122))-1</f>
        <v>-9.6925393198071585E-2</v>
      </c>
      <c r="P122" s="10">
        <v>-2.5999999999999999E-3</v>
      </c>
      <c r="Q122" s="5">
        <f>+P122</f>
        <v>-2.5999999999999999E-3</v>
      </c>
      <c r="R122" s="5">
        <f t="shared" ref="R122:R131" si="86">+(1+P122)*(1+R121)-1</f>
        <v>3.3858368647371577</v>
      </c>
      <c r="S122" s="3">
        <f>(1+R122)/(1+MAX(R$2:R122))-1</f>
        <v>-2.5999999999999357E-3</v>
      </c>
      <c r="T122" s="10">
        <v>-1.41E-2</v>
      </c>
      <c r="U122" s="5">
        <f>+T122</f>
        <v>-1.41E-2</v>
      </c>
      <c r="V122" s="5">
        <f t="shared" ref="V122:V131" si="87">+(1+T122)*(1+V121)-1</f>
        <v>0.20602643882883931</v>
      </c>
      <c r="W122" s="3">
        <f>(1+V122)/(1+MAX(V$2:V122))-1</f>
        <v>-0.10808044030461361</v>
      </c>
      <c r="X122" s="10">
        <v>3.4099999999999998E-2</v>
      </c>
      <c r="Y122" s="5">
        <f>+X122</f>
        <v>3.4099999999999998E-2</v>
      </c>
      <c r="Z122" s="5">
        <f t="shared" ref="Z122:Z131" si="88">+(1+X122)*(1+Z121)-1</f>
        <v>1.5281301673150418</v>
      </c>
      <c r="AA122" s="3">
        <f>(1+Z122)/(1+MAX(Z$2:Z122))-1</f>
        <v>-6.378715347630215E-2</v>
      </c>
      <c r="AB122" s="124"/>
      <c r="AC122" s="10">
        <f>D122*$E$1+H122*$I$1+L122*$M$1+P122*$Q$1+T122*$U$1+X122*$Y$1</f>
        <v>1.0605000000000002E-2</v>
      </c>
      <c r="AD122" s="5">
        <f>+AC122</f>
        <v>1.0605000000000002E-2</v>
      </c>
      <c r="AE122" s="5">
        <f t="shared" ref="AE122:AE131" si="89">+(1+AC122)*(1+AE121)-1</f>
        <v>1.1022890473240126</v>
      </c>
      <c r="AF122" s="5">
        <f>(1+AE122)/(1+MAX(AE$2:AE122))-1</f>
        <v>0</v>
      </c>
      <c r="AG122" s="51">
        <f t="shared" ref="AG122:AG131" si="90">AG121*(1+AC122)</f>
        <v>2102.2890473240132</v>
      </c>
      <c r="AH122" s="137"/>
      <c r="AI122" s="70"/>
      <c r="AJ122" s="70"/>
      <c r="AK122" s="70"/>
      <c r="AL122" s="70"/>
      <c r="AM122" s="70"/>
      <c r="AN122" s="70"/>
      <c r="AO122" s="70"/>
      <c r="AP122" s="81"/>
      <c r="AQ122" s="81"/>
    </row>
    <row r="123" spans="1:43" s="61" customFormat="1" outlineLevel="1" x14ac:dyDescent="0.3">
      <c r="A123" s="61" t="s">
        <v>664</v>
      </c>
      <c r="B123" s="55" t="str">
        <f t="shared" si="82"/>
        <v>2026-2</v>
      </c>
      <c r="C123" s="121">
        <v>46054</v>
      </c>
      <c r="D123" s="20">
        <v>2.98E-2</v>
      </c>
      <c r="E123" s="15">
        <f t="shared" ref="E123:E131" si="91">+(1+D123)*(1+E122)-1</f>
        <v>2.2694380000000125E-2</v>
      </c>
      <c r="F123" s="15">
        <f t="shared" si="83"/>
        <v>0.63604594968898098</v>
      </c>
      <c r="G123" s="13">
        <f>(1+F123)/(1+MAX(F$2:F123))-1</f>
        <v>-2.3715722847845067E-2</v>
      </c>
      <c r="H123" s="20">
        <v>0.1013</v>
      </c>
      <c r="I123" s="15">
        <f t="shared" ref="I123:I131" si="92">+(1+H123)*(1+I122)-1</f>
        <v>0.21484402999999985</v>
      </c>
      <c r="J123" s="15">
        <f t="shared" si="84"/>
        <v>3.4878821774521525</v>
      </c>
      <c r="K123" s="13">
        <f>(1+J123)/(1+MAX(J$2:J123))-1</f>
        <v>0</v>
      </c>
      <c r="L123" s="20">
        <v>1.72E-2</v>
      </c>
      <c r="M123" s="15">
        <f t="shared" ref="M123:M131" si="93">+(1+L123)*(1+M122)-1</f>
        <v>8.230800000001981E-4</v>
      </c>
      <c r="N123" s="15">
        <f t="shared" si="85"/>
        <v>0.34930626224166295</v>
      </c>
      <c r="O123" s="13">
        <f>(1+N123)/(1+MAX(N$2:N123))-1</f>
        <v>-8.1392509961078385E-2</v>
      </c>
      <c r="P123" s="20">
        <v>5.7000000000000002E-3</v>
      </c>
      <c r="Q123" s="15">
        <f t="shared" ref="Q123:Q131" si="94">+(1+P123)*(1+Q122)-1</f>
        <v>3.0851800000000207E-3</v>
      </c>
      <c r="R123" s="15">
        <f t="shared" si="86"/>
        <v>3.4108361348661598</v>
      </c>
      <c r="S123" s="13">
        <f>(1+R123)/(1+MAX(R$2:R123))-1</f>
        <v>0</v>
      </c>
      <c r="T123" s="20">
        <v>2.6700000000000002E-2</v>
      </c>
      <c r="U123" s="15">
        <f t="shared" ref="U123:U131" si="95">+(1+T123)*(1+U122)-1</f>
        <v>1.2223529999999982E-2</v>
      </c>
      <c r="V123" s="15">
        <f t="shared" si="87"/>
        <v>0.23822734474556917</v>
      </c>
      <c r="W123" s="13">
        <f>(1+V123)/(1+MAX(V$2:V123))-1</f>
        <v>-8.4266188060746927E-2</v>
      </c>
      <c r="X123" s="20">
        <v>4.4600000000000001E-2</v>
      </c>
      <c r="Y123" s="15">
        <f t="shared" ref="Y123:Y131" si="96">+(1+X123)*(1+Y122)-1</f>
        <v>8.022086000000006E-2</v>
      </c>
      <c r="Z123" s="15">
        <f t="shared" si="88"/>
        <v>1.6408847727772926</v>
      </c>
      <c r="AA123" s="13">
        <f>(1+Z123)/(1+MAX(Z$2:Z123))-1</f>
        <v>-2.2032060521345209E-2</v>
      </c>
      <c r="AB123" s="124"/>
      <c r="AC123" s="20">
        <f t="shared" si="81"/>
        <v>3.4620000000000005E-2</v>
      </c>
      <c r="AD123" s="15">
        <f t="shared" ref="AD123:AD133" si="97">+(1+AC123)*(1+AD122)-1</f>
        <v>4.5592145100000092E-2</v>
      </c>
      <c r="AE123" s="15">
        <f t="shared" si="89"/>
        <v>1.1750702941423703</v>
      </c>
      <c r="AF123" s="15">
        <f>(1+AE123)/(1+MAX(AE$2:AE123))-1</f>
        <v>0</v>
      </c>
      <c r="AG123" s="58">
        <f t="shared" si="90"/>
        <v>2175.0702941423706</v>
      </c>
      <c r="AH123" s="137"/>
      <c r="AI123" s="70"/>
      <c r="AJ123" s="70"/>
      <c r="AK123" s="70"/>
      <c r="AL123" s="70"/>
      <c r="AM123" s="70"/>
      <c r="AN123" s="70"/>
      <c r="AO123" s="70"/>
      <c r="AP123" s="81"/>
      <c r="AQ123" s="81"/>
    </row>
    <row r="124" spans="1:43" s="61" customFormat="1" outlineLevel="1" x14ac:dyDescent="0.3">
      <c r="A124" s="61" t="s">
        <v>664</v>
      </c>
      <c r="B124" s="55" t="str">
        <f t="shared" si="82"/>
        <v>2026-3</v>
      </c>
      <c r="C124" s="121">
        <v>46082</v>
      </c>
      <c r="D124" s="20">
        <v>5.9999999999999995E-4</v>
      </c>
      <c r="E124" s="15">
        <f t="shared" si="91"/>
        <v>2.3307996628000094E-2</v>
      </c>
      <c r="F124" s="15">
        <f t="shared" si="83"/>
        <v>0.63702757725879433</v>
      </c>
      <c r="G124" s="13">
        <f>(1+F124)/(1+MAX(F$2:F124))-1</f>
        <v>-2.3129952281553789E-2</v>
      </c>
      <c r="H124" s="20">
        <v>-8.3500000000000005E-2</v>
      </c>
      <c r="I124" s="15">
        <f t="shared" si="92"/>
        <v>0.11340455349499989</v>
      </c>
      <c r="J124" s="15">
        <f t="shared" si="84"/>
        <v>3.113144015634898</v>
      </c>
      <c r="K124" s="13">
        <f>(1+J124)/(1+MAX(J$2:J124))-1</f>
        <v>-8.3499999999999908E-2</v>
      </c>
      <c r="L124" s="20">
        <v>2.4400000000000002E-2</v>
      </c>
      <c r="M124" s="15">
        <f t="shared" si="93"/>
        <v>2.5243163152000259E-2</v>
      </c>
      <c r="N124" s="15">
        <f t="shared" si="85"/>
        <v>0.38222933504035939</v>
      </c>
      <c r="O124" s="13">
        <f>(1+N124)/(1+MAX(N$2:N124))-1</f>
        <v>-5.8978487204128793E-2</v>
      </c>
      <c r="P124" s="20">
        <v>-3.5700000000000003E-2</v>
      </c>
      <c r="Q124" s="15">
        <f t="shared" si="94"/>
        <v>-3.2724960925999969E-2</v>
      </c>
      <c r="R124" s="15">
        <f t="shared" si="86"/>
        <v>3.2533692848514377</v>
      </c>
      <c r="S124" s="13">
        <f>(1+R124)/(1+MAX(R$2:R124))-1</f>
        <v>-3.5700000000000065E-2</v>
      </c>
      <c r="T124" s="20">
        <v>1.61E-2</v>
      </c>
      <c r="U124" s="15">
        <f t="shared" si="95"/>
        <v>2.8520328833000042E-2</v>
      </c>
      <c r="V124" s="15">
        <f t="shared" si="87"/>
        <v>0.25816280499597277</v>
      </c>
      <c r="W124" s="13">
        <f>(1+V124)/(1+MAX(V$2:V124))-1</f>
        <v>-6.9522873688524944E-2</v>
      </c>
      <c r="X124" s="20">
        <v>-2.1499999999999998E-2</v>
      </c>
      <c r="Y124" s="15">
        <f t="shared" si="96"/>
        <v>5.6996111510000169E-2</v>
      </c>
      <c r="Z124" s="15">
        <f t="shared" si="88"/>
        <v>1.584105750162581</v>
      </c>
      <c r="AA124" s="13">
        <f>(1+Z124)/(1+MAX(Z$2:Z124))-1</f>
        <v>-4.3058371220136227E-2</v>
      </c>
      <c r="AB124" s="124"/>
      <c r="AC124" s="20">
        <f t="shared" si="81"/>
        <v>-1.0619999999999997E-2</v>
      </c>
      <c r="AD124" s="15">
        <f t="shared" si="97"/>
        <v>3.4487956519038132E-2</v>
      </c>
      <c r="AE124" s="15">
        <f t="shared" si="89"/>
        <v>1.1519710476185785</v>
      </c>
      <c r="AF124" s="15">
        <f>(1+AE124)/(1+MAX(AE$2:AE124))-1</f>
        <v>-1.0619999999999963E-2</v>
      </c>
      <c r="AG124" s="58">
        <f t="shared" si="90"/>
        <v>2151.9710476185787</v>
      </c>
      <c r="AH124" s="137"/>
      <c r="AI124" s="70"/>
      <c r="AJ124" s="70"/>
      <c r="AK124" s="70"/>
      <c r="AL124" s="70"/>
      <c r="AM124" s="70"/>
      <c r="AN124" s="70"/>
      <c r="AO124" s="70"/>
      <c r="AP124" s="81"/>
      <c r="AQ124" s="81"/>
    </row>
    <row r="125" spans="1:43" s="61" customFormat="1" outlineLevel="1" x14ac:dyDescent="0.3">
      <c r="A125" s="61" t="s">
        <v>664</v>
      </c>
      <c r="B125" s="55" t="str">
        <f t="shared" si="82"/>
        <v>2026-4</v>
      </c>
      <c r="C125" s="121">
        <v>46113</v>
      </c>
      <c r="D125" s="20">
        <v>-9.5999999999999992E-3</v>
      </c>
      <c r="E125" s="15">
        <f t="shared" si="91"/>
        <v>1.3484239860371172E-2</v>
      </c>
      <c r="F125" s="15">
        <f t="shared" si="83"/>
        <v>0.62131211251710972</v>
      </c>
      <c r="G125" s="13">
        <f>(1+F125)/(1+MAX(F$2:F125))-1</f>
        <v>-3.2507904739650928E-2</v>
      </c>
      <c r="H125" s="20">
        <v>-3.3799999999999997E-2</v>
      </c>
      <c r="I125" s="15">
        <f t="shared" si="92"/>
        <v>7.5771479586868917E-2</v>
      </c>
      <c r="J125" s="15">
        <f t="shared" si="84"/>
        <v>2.9741197479064381</v>
      </c>
      <c r="K125" s="13">
        <f>(1+J125)/(1+MAX(J$2:J125))-1</f>
        <v>-0.11447770000000002</v>
      </c>
      <c r="L125" s="20">
        <v>-1.6400000000000001E-2</v>
      </c>
      <c r="M125" s="15">
        <f t="shared" si="93"/>
        <v>8.4291752763074879E-3</v>
      </c>
      <c r="N125" s="15">
        <f t="shared" si="85"/>
        <v>0.35956077394569763</v>
      </c>
      <c r="O125" s="13">
        <f>(1+N125)/(1+MAX(N$2:N125))-1</f>
        <v>-7.4411240013980917E-2</v>
      </c>
      <c r="P125" s="20">
        <v>7.7100000000000002E-2</v>
      </c>
      <c r="Q125" s="15">
        <f t="shared" si="94"/>
        <v>4.1851944586605461E-2</v>
      </c>
      <c r="R125" s="15">
        <f t="shared" si="86"/>
        <v>3.5813040567134831</v>
      </c>
      <c r="S125" s="13">
        <f>(1+R125)/(1+MAX(R$2:R125))-1</f>
        <v>0</v>
      </c>
      <c r="T125" s="20">
        <v>-8.6999999999999994E-3</v>
      </c>
      <c r="U125" s="15">
        <f t="shared" si="95"/>
        <v>1.9572201972152925E-2</v>
      </c>
      <c r="V125" s="15">
        <f t="shared" si="87"/>
        <v>0.24721678859250784</v>
      </c>
      <c r="W125" s="13">
        <f>(1+V125)/(1+MAX(V$2:V125))-1</f>
        <v>-7.7618024687434839E-2</v>
      </c>
      <c r="X125" s="20">
        <v>4.9700000000000001E-2</v>
      </c>
      <c r="Y125" s="15">
        <f t="shared" si="96"/>
        <v>0.1095288182520473</v>
      </c>
      <c r="Z125" s="15">
        <f t="shared" si="88"/>
        <v>1.7125358059456617</v>
      </c>
      <c r="AA125" s="13">
        <f>(1+Z125)/(1+MAX(Z$2:Z125))-1</f>
        <v>0</v>
      </c>
      <c r="AB125" s="124"/>
      <c r="AC125" s="20">
        <f t="shared" si="81"/>
        <v>4.185000000000003E-3</v>
      </c>
      <c r="AD125" s="15">
        <f t="shared" si="97"/>
        <v>3.8817288617070345E-2</v>
      </c>
      <c r="AE125" s="15">
        <f t="shared" si="89"/>
        <v>1.1609770464528624</v>
      </c>
      <c r="AF125" s="15">
        <f>(1+AE125)/(1+MAX(AE$2:AE125))-1</f>
        <v>-6.4794446999998367E-3</v>
      </c>
      <c r="AG125" s="58">
        <f t="shared" si="90"/>
        <v>2160.9770464528629</v>
      </c>
      <c r="AH125" s="137"/>
      <c r="AI125" s="70"/>
      <c r="AJ125" s="70"/>
      <c r="AK125" s="70"/>
      <c r="AL125" s="70"/>
      <c r="AM125" s="70"/>
      <c r="AN125" s="70"/>
      <c r="AO125" s="70"/>
      <c r="AP125" s="81"/>
      <c r="AQ125" s="81"/>
    </row>
    <row r="126" spans="1:43" s="61" customFormat="1" outlineLevel="1" x14ac:dyDescent="0.3">
      <c r="A126" s="61" t="s">
        <v>664</v>
      </c>
      <c r="B126" s="55" t="str">
        <f t="shared" si="82"/>
        <v>2026-5</v>
      </c>
      <c r="C126" s="121">
        <v>46143</v>
      </c>
      <c r="D126" s="20">
        <v>7.1999999999999998E-3</v>
      </c>
      <c r="E126" s="15">
        <f t="shared" si="91"/>
        <v>2.0781326387365961E-2</v>
      </c>
      <c r="F126" s="15">
        <f t="shared" si="83"/>
        <v>0.63298555972723314</v>
      </c>
      <c r="G126" s="13">
        <f>(1+F126)/(1+MAX(F$2:F126))-1</f>
        <v>-2.5541961653776313E-2</v>
      </c>
      <c r="H126" s="20">
        <v>-1.2999999999999999E-2</v>
      </c>
      <c r="I126" s="15">
        <f t="shared" si="92"/>
        <v>6.1786450352239619E-2</v>
      </c>
      <c r="J126" s="15">
        <f t="shared" si="84"/>
        <v>2.9224561911836542</v>
      </c>
      <c r="K126" s="13">
        <f>(1+J126)/(1+MAX(J$2:J126))-1</f>
        <v>-0.12598948990000003</v>
      </c>
      <c r="L126" s="20">
        <v>5.1000000000000004E-3</v>
      </c>
      <c r="M126" s="15">
        <f t="shared" si="93"/>
        <v>1.3572164070216663E-2</v>
      </c>
      <c r="N126" s="15">
        <f t="shared" si="85"/>
        <v>0.36649453389282094</v>
      </c>
      <c r="O126" s="13">
        <f>(1+N126)/(1+MAX(N$2:N126))-1</f>
        <v>-6.9690737338052089E-2</v>
      </c>
      <c r="P126" s="20">
        <v>3.4599999999999999E-2</v>
      </c>
      <c r="Q126" s="15">
        <f t="shared" si="94"/>
        <v>7.7900021869302005E-2</v>
      </c>
      <c r="R126" s="15">
        <f t="shared" si="86"/>
        <v>3.7398171770757695</v>
      </c>
      <c r="S126" s="13">
        <f>(1+R126)/(1+MAX(R$2:R126))-1</f>
        <v>0</v>
      </c>
      <c r="T126" s="20">
        <v>3.5999999999999999E-3</v>
      </c>
      <c r="U126" s="15">
        <f t="shared" si="95"/>
        <v>2.3242661899252726E-2</v>
      </c>
      <c r="V126" s="15">
        <f t="shared" si="87"/>
        <v>0.25170676903144096</v>
      </c>
      <c r="W126" s="13">
        <f>(1+V126)/(1+MAX(V$2:V126))-1</f>
        <v>-7.429744957630946E-2</v>
      </c>
      <c r="X126" s="20">
        <v>1.2699999999999999E-2</v>
      </c>
      <c r="Y126" s="15">
        <f t="shared" si="96"/>
        <v>0.12361983424384815</v>
      </c>
      <c r="Z126" s="15">
        <f t="shared" si="88"/>
        <v>1.7469850106811715</v>
      </c>
      <c r="AA126" s="13">
        <f>(1+Z126)/(1+MAX(Z$2:Z126))-1</f>
        <v>0</v>
      </c>
      <c r="AB126" s="124"/>
      <c r="AC126" s="20">
        <f>D126*$E$1+H126*$I$1+L126*$M$1+P126*$Q$1+T126*$U$1+X126*$Y$1</f>
        <v>7.5849999999999997E-3</v>
      </c>
      <c r="AD126" s="15">
        <f t="shared" si="97"/>
        <v>4.6696717751230743E-2</v>
      </c>
      <c r="AE126" s="15">
        <f t="shared" si="89"/>
        <v>1.1773680573502072</v>
      </c>
      <c r="AF126" s="15">
        <f>(1+AE126)/(1+MAX(AE$2:AE126))-1</f>
        <v>0</v>
      </c>
      <c r="AG126" s="58">
        <f t="shared" si="90"/>
        <v>2177.3680573502079</v>
      </c>
      <c r="AH126" s="137"/>
      <c r="AI126" s="70"/>
      <c r="AJ126" s="70"/>
      <c r="AK126" s="70"/>
      <c r="AL126" s="70"/>
      <c r="AM126" s="70"/>
      <c r="AN126" s="70"/>
      <c r="AO126" s="70"/>
      <c r="AP126" s="81"/>
      <c r="AQ126" s="81"/>
    </row>
    <row r="127" spans="1:43" s="61" customFormat="1" outlineLevel="1" x14ac:dyDescent="0.3">
      <c r="A127" s="61" t="s">
        <v>664</v>
      </c>
      <c r="B127" s="55" t="str">
        <f t="shared" si="82"/>
        <v>2026-6</v>
      </c>
      <c r="C127" s="121">
        <v>46174</v>
      </c>
      <c r="D127" s="20">
        <v>2.1299999999999999E-2</v>
      </c>
      <c r="E127" s="15">
        <f t="shared" si="91"/>
        <v>4.2523968639416987E-2</v>
      </c>
      <c r="F127" s="15">
        <f t="shared" si="83"/>
        <v>0.66776815214942342</v>
      </c>
      <c r="G127" s="13">
        <f>(1+F127)/(1+MAX(F$2:F127))-1</f>
        <v>-4.7860054370015837E-3</v>
      </c>
      <c r="H127" s="20">
        <v>-9.8900000000000002E-2</v>
      </c>
      <c r="I127" s="15">
        <f t="shared" si="92"/>
        <v>-4.3224229587596863E-2</v>
      </c>
      <c r="J127" s="15">
        <f t="shared" si="84"/>
        <v>2.534525273875591</v>
      </c>
      <c r="K127" s="13">
        <f>(1+J127)/(1+MAX(J$2:J127))-1</f>
        <v>-0.21242912934889002</v>
      </c>
      <c r="L127" s="20">
        <v>2.1399999999999999E-2</v>
      </c>
      <c r="M127" s="15">
        <f t="shared" si="93"/>
        <v>3.5262608381319449E-2</v>
      </c>
      <c r="N127" s="15">
        <f t="shared" si="85"/>
        <v>0.39573751691812742</v>
      </c>
      <c r="O127" s="13">
        <f>(1+N127)/(1+MAX(N$2:N127))-1</f>
        <v>-4.9782119117086299E-2</v>
      </c>
      <c r="P127" s="20">
        <v>2.0500000000000001E-2</v>
      </c>
      <c r="Q127" s="15">
        <f t="shared" si="94"/>
        <v>9.9996972317622612E-2</v>
      </c>
      <c r="R127" s="15">
        <f t="shared" si="86"/>
        <v>3.8369834292058229</v>
      </c>
      <c r="S127" s="13">
        <f>(1+R127)/(1+MAX(R$2:R127))-1</f>
        <v>0</v>
      </c>
      <c r="T127" s="20">
        <v>1.6799999999999999E-2</v>
      </c>
      <c r="U127" s="15">
        <f t="shared" si="95"/>
        <v>4.0433138619160092E-2</v>
      </c>
      <c r="V127" s="15">
        <f t="shared" si="87"/>
        <v>0.27273544275116901</v>
      </c>
      <c r="W127" s="13">
        <f>(1+V127)/(1+MAX(V$2:V127))-1</f>
        <v>-5.8745646729191581E-2</v>
      </c>
      <c r="X127" s="20">
        <v>6.0199999999999997E-2</v>
      </c>
      <c r="Y127" s="15">
        <f t="shared" si="96"/>
        <v>0.19126174826532782</v>
      </c>
      <c r="Z127" s="15">
        <f t="shared" si="88"/>
        <v>1.9123535083241783</v>
      </c>
      <c r="AA127" s="13">
        <f>(1+Z127)/(1+MAX(Z$2:Z127))-1</f>
        <v>0</v>
      </c>
      <c r="AB127" s="124"/>
      <c r="AC127" s="20">
        <f t="shared" si="81"/>
        <v>6.1650000000000003E-3</v>
      </c>
      <c r="AD127" s="15">
        <f t="shared" si="97"/>
        <v>5.3149603016167113E-2</v>
      </c>
      <c r="AE127" s="15">
        <f t="shared" si="89"/>
        <v>1.1907915314237711</v>
      </c>
      <c r="AF127" s="15">
        <f>(1+AE127)/(1+MAX(AE$2:AE127))-1</f>
        <v>0</v>
      </c>
      <c r="AG127" s="58">
        <f t="shared" si="90"/>
        <v>2190.7915314237721</v>
      </c>
      <c r="AH127" s="137"/>
      <c r="AI127" s="70"/>
      <c r="AJ127" s="70"/>
      <c r="AK127" s="70"/>
      <c r="AL127" s="70"/>
      <c r="AM127" s="70"/>
      <c r="AN127" s="70"/>
      <c r="AO127" s="70"/>
      <c r="AP127" s="81"/>
      <c r="AQ127" s="81"/>
    </row>
    <row r="128" spans="1:43" s="61" customFormat="1" outlineLevel="1" x14ac:dyDescent="0.3">
      <c r="A128" s="61" t="s">
        <v>664</v>
      </c>
      <c r="B128" s="55" t="str">
        <f t="shared" si="82"/>
        <v>2026-7</v>
      </c>
      <c r="C128" s="121">
        <v>46204</v>
      </c>
      <c r="D128" s="20">
        <v>-1.5900000000000001E-2</v>
      </c>
      <c r="E128" s="15">
        <f t="shared" si="91"/>
        <v>2.5947837538050189E-2</v>
      </c>
      <c r="F128" s="15">
        <f t="shared" si="83"/>
        <v>0.64125063853024744</v>
      </c>
      <c r="G128" s="13">
        <f>(1+F128)/(1+MAX(F$2:F128))-1</f>
        <v>-2.0609907950553397E-2</v>
      </c>
      <c r="H128" s="20">
        <v>-1E-4</v>
      </c>
      <c r="I128" s="15">
        <f t="shared" si="92"/>
        <v>-4.3319907164638072E-2</v>
      </c>
      <c r="J128" s="15">
        <f t="shared" si="84"/>
        <v>2.5341718213482034</v>
      </c>
      <c r="K128" s="13">
        <f>(1+J128)/(1+MAX(J$2:J128))-1</f>
        <v>-0.21250788643595508</v>
      </c>
      <c r="L128" s="20">
        <v>-8.8000000000000005E-3</v>
      </c>
      <c r="M128" s="15">
        <f t="shared" si="93"/>
        <v>2.6152297427563864E-2</v>
      </c>
      <c r="N128" s="15">
        <f t="shared" si="85"/>
        <v>0.38345502676924781</v>
      </c>
      <c r="O128" s="13">
        <f>(1+N128)/(1+MAX(N$2:N128))-1</f>
        <v>-5.814403646885602E-2</v>
      </c>
      <c r="P128" s="20">
        <v>-3.5000000000000001E-3</v>
      </c>
      <c r="Q128" s="15">
        <f t="shared" si="94"/>
        <v>9.6146982914510959E-2</v>
      </c>
      <c r="R128" s="15">
        <f t="shared" si="86"/>
        <v>3.820053987203603</v>
      </c>
      <c r="S128" s="13">
        <f>(1+R128)/(1+MAX(R$2:R128))-1</f>
        <v>-3.4999999999999476E-3</v>
      </c>
      <c r="T128" s="20">
        <v>-1.6500000000000001E-2</v>
      </c>
      <c r="U128" s="15">
        <f t="shared" si="95"/>
        <v>2.3265991831944E-2</v>
      </c>
      <c r="V128" s="15">
        <f t="shared" si="87"/>
        <v>0.2517353079457747</v>
      </c>
      <c r="W128" s="13">
        <f>(1+V128)/(1+MAX(V$2:V128))-1</f>
        <v>-7.427634355815993E-2</v>
      </c>
      <c r="X128" s="20">
        <v>-1.6000000000000001E-3</v>
      </c>
      <c r="Y128" s="15">
        <f t="shared" si="96"/>
        <v>0.1893557294681032</v>
      </c>
      <c r="Z128" s="15">
        <f t="shared" si="88"/>
        <v>1.9076937427108596</v>
      </c>
      <c r="AA128" s="13">
        <f>(1+Z128)/(1+MAX(Z$2:Z128))-1</f>
        <v>-1.6000000000000458E-3</v>
      </c>
      <c r="AB128" s="124"/>
      <c r="AC128" s="20">
        <f t="shared" si="81"/>
        <v>-8.5850000000000006E-3</v>
      </c>
      <c r="AD128" s="15">
        <f t="shared" si="97"/>
        <v>4.4108313674273258E-2</v>
      </c>
      <c r="AE128" s="15">
        <f t="shared" si="89"/>
        <v>1.171983586126498</v>
      </c>
      <c r="AF128" s="15">
        <f>(1+AE128)/(1+MAX(AE$2:AE128))-1</f>
        <v>-8.5850000000000648E-3</v>
      </c>
      <c r="AG128" s="58">
        <f t="shared" si="90"/>
        <v>2171.9835861264992</v>
      </c>
      <c r="AH128" s="137"/>
      <c r="AI128" s="70"/>
      <c r="AJ128" s="70"/>
      <c r="AK128" s="70"/>
      <c r="AL128" s="70"/>
      <c r="AM128" s="70"/>
      <c r="AN128" s="70"/>
      <c r="AO128" s="70"/>
      <c r="AP128" s="81"/>
      <c r="AQ128" s="81"/>
    </row>
    <row r="129" spans="1:43" s="61" customFormat="1" outlineLevel="1" x14ac:dyDescent="0.3">
      <c r="A129" s="61" t="s">
        <v>664</v>
      </c>
      <c r="B129" s="55" t="str">
        <f t="shared" si="82"/>
        <v>2026-8</v>
      </c>
      <c r="C129" s="121">
        <v>46235</v>
      </c>
      <c r="D129" s="20">
        <v>-2.0999999999999999E-3</v>
      </c>
      <c r="E129" s="15">
        <f t="shared" si="91"/>
        <v>2.3793347079220206E-2</v>
      </c>
      <c r="F129" s="15">
        <f t="shared" si="83"/>
        <v>0.63780401218933402</v>
      </c>
      <c r="G129" s="13">
        <f>(1+F129)/(1+MAX(F$2:F129))-1</f>
        <v>-2.2666627143857143E-2</v>
      </c>
      <c r="H129" s="20">
        <v>9.2799999999999994E-2</v>
      </c>
      <c r="I129" s="15">
        <f t="shared" si="92"/>
        <v>4.5460005450483454E-2</v>
      </c>
      <c r="J129" s="15">
        <f t="shared" si="84"/>
        <v>2.8621429663693165</v>
      </c>
      <c r="K129" s="13">
        <f>(1+J129)/(1+MAX(J$2:J129))-1</f>
        <v>-0.13942861829721176</v>
      </c>
      <c r="L129" s="20">
        <v>-3.3E-3</v>
      </c>
      <c r="M129" s="15">
        <f t="shared" si="93"/>
        <v>2.2765994846053017E-2</v>
      </c>
      <c r="N129" s="15">
        <f t="shared" si="85"/>
        <v>0.3788896251809093</v>
      </c>
      <c r="O129" s="13">
        <f>(1+N129)/(1+MAX(N$2:N129))-1</f>
        <v>-6.1252161148508844E-2</v>
      </c>
      <c r="P129" s="20">
        <v>1.5800000000000002E-2</v>
      </c>
      <c r="Q129" s="15">
        <f t="shared" si="94"/>
        <v>0.11346610524456024</v>
      </c>
      <c r="R129" s="15">
        <f t="shared" si="86"/>
        <v>3.8962108402014204</v>
      </c>
      <c r="S129" s="13">
        <f>(1+R129)/(1+MAX(R$2:R129))-1</f>
        <v>0</v>
      </c>
      <c r="T129" s="20">
        <v>-5.5999999999999999E-3</v>
      </c>
      <c r="U129" s="15">
        <f t="shared" si="95"/>
        <v>1.7535702277684972E-2</v>
      </c>
      <c r="V129" s="15">
        <f t="shared" si="87"/>
        <v>0.24472559022127838</v>
      </c>
      <c r="W129" s="13">
        <f>(1+V129)/(1+MAX(V$2:V129))-1</f>
        <v>-7.9460396034234271E-2</v>
      </c>
      <c r="X129" s="20">
        <v>-2.8E-3</v>
      </c>
      <c r="Y129" s="15">
        <f t="shared" si="96"/>
        <v>0.18602553342559247</v>
      </c>
      <c r="Z129" s="15">
        <f t="shared" si="88"/>
        <v>1.8995522002312692</v>
      </c>
      <c r="AA129" s="13">
        <f>(1+Z129)/(1+MAX(Z$2:Z129))-1</f>
        <v>-4.3955199999999861E-3</v>
      </c>
      <c r="AB129" s="124"/>
      <c r="AC129" s="20">
        <f t="shared" si="81"/>
        <v>1.375E-2</v>
      </c>
      <c r="AD129" s="15">
        <f t="shared" si="97"/>
        <v>5.8464802987294506E-2</v>
      </c>
      <c r="AE129" s="15">
        <f t="shared" si="89"/>
        <v>1.2018483604357373</v>
      </c>
      <c r="AF129" s="15">
        <f>(1+AE129)/(1+MAX(AE$2:AE129))-1</f>
        <v>0</v>
      </c>
      <c r="AG129" s="58">
        <f t="shared" si="90"/>
        <v>2201.8483604357384</v>
      </c>
      <c r="AH129" s="137"/>
      <c r="AI129" s="70"/>
      <c r="AJ129" s="70"/>
      <c r="AK129" s="70"/>
      <c r="AL129" s="70"/>
      <c r="AM129" s="70"/>
      <c r="AN129" s="70"/>
      <c r="AO129" s="70"/>
      <c r="AP129" s="81"/>
      <c r="AQ129" s="81"/>
    </row>
    <row r="130" spans="1:43" s="61" customFormat="1" outlineLevel="1" x14ac:dyDescent="0.3">
      <c r="A130" s="61" t="s">
        <v>664</v>
      </c>
      <c r="B130" s="55" t="str">
        <f t="shared" si="82"/>
        <v>2026-9</v>
      </c>
      <c r="C130" s="121">
        <v>46266</v>
      </c>
      <c r="D130" s="20">
        <v>-1.6500000000000001E-2</v>
      </c>
      <c r="E130" s="15">
        <f t="shared" si="91"/>
        <v>6.9007568524130924E-3</v>
      </c>
      <c r="F130" s="15">
        <f t="shared" si="83"/>
        <v>0.61078024598821012</v>
      </c>
      <c r="G130" s="13">
        <f>(1+F130)/(1+MAX(F$2:F130))-1</f>
        <v>-3.879262779598347E-2</v>
      </c>
      <c r="H130" s="20">
        <v>-4.6600000000000003E-2</v>
      </c>
      <c r="I130" s="15">
        <f t="shared" si="92"/>
        <v>-3.2584308035090714E-3</v>
      </c>
      <c r="J130" s="15">
        <f t="shared" si="84"/>
        <v>2.6821671041365063</v>
      </c>
      <c r="K130" s="13">
        <f>(1+J130)/(1+MAX(J$2:J130))-1</f>
        <v>-0.17953124468456172</v>
      </c>
      <c r="L130" s="20">
        <v>1.17E-2</v>
      </c>
      <c r="M130" s="15">
        <f t="shared" si="93"/>
        <v>3.4732356985751833E-2</v>
      </c>
      <c r="N130" s="15">
        <f t="shared" si="85"/>
        <v>0.39502263379552605</v>
      </c>
      <c r="O130" s="13">
        <f>(1+N130)/(1+MAX(N$2:N130))-1</f>
        <v>-5.0268811433946237E-2</v>
      </c>
      <c r="P130" s="20">
        <v>4.4000000000000003E-3</v>
      </c>
      <c r="Q130" s="15">
        <f t="shared" si="94"/>
        <v>0.11836535610763632</v>
      </c>
      <c r="R130" s="15">
        <f t="shared" si="86"/>
        <v>3.9177541678983063</v>
      </c>
      <c r="S130" s="13">
        <f>(1+R130)/(1+MAX(R$2:R130))-1</f>
        <v>0</v>
      </c>
      <c r="T130" s="20">
        <v>-4.5999999999999999E-3</v>
      </c>
      <c r="U130" s="15">
        <f t="shared" si="95"/>
        <v>1.2855038047207668E-2</v>
      </c>
      <c r="V130" s="15">
        <f t="shared" si="87"/>
        <v>0.23899985250626044</v>
      </c>
      <c r="W130" s="13">
        <f>(1+V130)/(1+MAX(V$2:V130))-1</f>
        <v>-8.3694878212476786E-2</v>
      </c>
      <c r="X130" s="20">
        <v>-3.8199999999999998E-2</v>
      </c>
      <c r="Y130" s="15">
        <f t="shared" si="96"/>
        <v>0.14071935804873492</v>
      </c>
      <c r="Z130" s="15">
        <f t="shared" si="88"/>
        <v>1.7887893061824349</v>
      </c>
      <c r="AA130" s="13">
        <f>(1+Z130)/(1+MAX(Z$2:Z130))-1</f>
        <v>-4.242761113599991E-2</v>
      </c>
      <c r="AB130" s="124"/>
      <c r="AC130" s="20">
        <f t="shared" si="81"/>
        <v>-1.0620000000000001E-2</v>
      </c>
      <c r="AD130" s="15">
        <f t="shared" si="97"/>
        <v>4.7223906779569447E-2</v>
      </c>
      <c r="AE130" s="15">
        <f t="shared" si="89"/>
        <v>1.1784647308479097</v>
      </c>
      <c r="AF130" s="15">
        <f>(1+AE130)/(1+MAX(AE$2:AE130))-1</f>
        <v>-1.0620000000000074E-2</v>
      </c>
      <c r="AG130" s="58">
        <f t="shared" si="90"/>
        <v>2178.4647308479111</v>
      </c>
      <c r="AH130" s="137"/>
      <c r="AI130" s="70"/>
      <c r="AJ130" s="70"/>
      <c r="AK130" s="70"/>
      <c r="AL130" s="70"/>
      <c r="AM130" s="70"/>
      <c r="AN130" s="70"/>
      <c r="AO130" s="70"/>
      <c r="AP130" s="81"/>
      <c r="AQ130" s="81"/>
    </row>
    <row r="131" spans="1:43" s="61" customFormat="1" outlineLevel="1" x14ac:dyDescent="0.3">
      <c r="A131" s="61" t="s">
        <v>664</v>
      </c>
      <c r="B131" s="55" t="str">
        <f t="shared" si="82"/>
        <v>2026-10</v>
      </c>
      <c r="C131" s="121">
        <v>46296</v>
      </c>
      <c r="D131" s="20"/>
      <c r="E131" s="15">
        <f t="shared" si="91"/>
        <v>6.9007568524130924E-3</v>
      </c>
      <c r="F131" s="15">
        <f t="shared" si="83"/>
        <v>0.61078024598821012</v>
      </c>
      <c r="G131" s="13">
        <f>(1+F131)/(1+MAX(F$2:F131))-1</f>
        <v>-3.879262779598347E-2</v>
      </c>
      <c r="H131" s="20"/>
      <c r="I131" s="15">
        <f t="shared" si="92"/>
        <v>-3.2584308035090714E-3</v>
      </c>
      <c r="J131" s="15">
        <f t="shared" si="84"/>
        <v>2.6821671041365063</v>
      </c>
      <c r="K131" s="13">
        <f>(1+J131)/(1+MAX(J$2:J131))-1</f>
        <v>-0.17953124468456172</v>
      </c>
      <c r="L131" s="20"/>
      <c r="M131" s="15">
        <f t="shared" si="93"/>
        <v>3.4732356985751833E-2</v>
      </c>
      <c r="N131" s="15">
        <f t="shared" si="85"/>
        <v>0.39502263379552605</v>
      </c>
      <c r="O131" s="13">
        <f>(1+N131)/(1+MAX(N$2:N131))-1</f>
        <v>-5.0268811433946237E-2</v>
      </c>
      <c r="P131" s="20"/>
      <c r="Q131" s="15">
        <f t="shared" si="94"/>
        <v>0.11836535610763632</v>
      </c>
      <c r="R131" s="15">
        <f t="shared" si="86"/>
        <v>3.9177541678983063</v>
      </c>
      <c r="S131" s="13">
        <f>(1+R131)/(1+MAX(R$2:R131))-1</f>
        <v>0</v>
      </c>
      <c r="T131" s="20"/>
      <c r="U131" s="15">
        <f t="shared" si="95"/>
        <v>1.2855038047207668E-2</v>
      </c>
      <c r="V131" s="15">
        <f t="shared" si="87"/>
        <v>0.23899985250626044</v>
      </c>
      <c r="W131" s="13">
        <f>(1+V131)/(1+MAX(V$2:V131))-1</f>
        <v>-8.3694878212476786E-2</v>
      </c>
      <c r="X131" s="20"/>
      <c r="Y131" s="15">
        <f t="shared" si="96"/>
        <v>0.14071935804873492</v>
      </c>
      <c r="Z131" s="15">
        <f t="shared" si="88"/>
        <v>1.7887893061824349</v>
      </c>
      <c r="AA131" s="13">
        <f>(1+Z131)/(1+MAX(Z$2:Z131))-1</f>
        <v>-4.242761113599991E-2</v>
      </c>
      <c r="AB131" s="124"/>
      <c r="AC131" s="20">
        <f t="shared" si="81"/>
        <v>0</v>
      </c>
      <c r="AD131" s="15">
        <f t="shared" si="97"/>
        <v>4.7223906779569447E-2</v>
      </c>
      <c r="AE131" s="15">
        <f t="shared" si="89"/>
        <v>1.1784647308479097</v>
      </c>
      <c r="AF131" s="15">
        <f>(1+AE131)/(1+MAX(AE$2:AE131))-1</f>
        <v>-1.0620000000000074E-2</v>
      </c>
      <c r="AG131" s="58">
        <f t="shared" si="90"/>
        <v>2178.4647308479111</v>
      </c>
      <c r="AH131" s="137"/>
      <c r="AI131" s="70"/>
      <c r="AJ131" s="70"/>
      <c r="AK131" s="70"/>
      <c r="AL131" s="70"/>
      <c r="AM131" s="70"/>
      <c r="AN131" s="70"/>
      <c r="AO131" s="70"/>
      <c r="AP131" s="81"/>
      <c r="AQ131" s="81"/>
    </row>
    <row r="132" spans="1:43" s="61" customFormat="1" outlineLevel="1" x14ac:dyDescent="0.3">
      <c r="A132" s="61" t="s">
        <v>664</v>
      </c>
      <c r="B132" s="55" t="str">
        <f t="shared" si="82"/>
        <v>2026-11</v>
      </c>
      <c r="C132" s="121">
        <v>46327</v>
      </c>
      <c r="D132" s="20"/>
      <c r="E132" s="15">
        <f>+(1+D132)*(1+E131)-1</f>
        <v>6.9007568524130924E-3</v>
      </c>
      <c r="F132" s="15">
        <f>+(1+D132)*(1+F131)-1</f>
        <v>0.61078024598821012</v>
      </c>
      <c r="G132" s="13">
        <f>(1+F132)/(1+MAX(F$2:F132))-1</f>
        <v>-3.879262779598347E-2</v>
      </c>
      <c r="H132" s="20"/>
      <c r="I132" s="15">
        <f>+(1+H132)*(1+I131)-1</f>
        <v>-3.2584308035090714E-3</v>
      </c>
      <c r="J132" s="15">
        <f>+(1+H132)*(1+J131)-1</f>
        <v>2.6821671041365063</v>
      </c>
      <c r="K132" s="13">
        <f>(1+J132)/(1+MAX(J$2:J132))-1</f>
        <v>-0.17953124468456172</v>
      </c>
      <c r="L132" s="20"/>
      <c r="M132" s="15">
        <f>+(1+L132)*(1+M131)-1</f>
        <v>3.4732356985751833E-2</v>
      </c>
      <c r="N132" s="15">
        <f>+(1+L132)*(1+N131)-1</f>
        <v>0.39502263379552605</v>
      </c>
      <c r="O132" s="13">
        <f>(1+N132)/(1+MAX(N$2:N132))-1</f>
        <v>-5.0268811433946237E-2</v>
      </c>
      <c r="P132" s="20"/>
      <c r="Q132" s="15">
        <f>+(1+P132)*(1+Q131)-1</f>
        <v>0.11836535610763632</v>
      </c>
      <c r="R132" s="15">
        <f>+(1+P132)*(1+R131)-1</f>
        <v>3.9177541678983063</v>
      </c>
      <c r="S132" s="13">
        <f>(1+R132)/(1+MAX(R$2:R132))-1</f>
        <v>0</v>
      </c>
      <c r="T132" s="20"/>
      <c r="U132" s="15">
        <f>+(1+T132)*(1+U131)-1</f>
        <v>1.2855038047207668E-2</v>
      </c>
      <c r="V132" s="15">
        <f>+(1+T132)*(1+V131)-1</f>
        <v>0.23899985250626044</v>
      </c>
      <c r="W132" s="13">
        <f>(1+V132)/(1+MAX(V$2:V132))-1</f>
        <v>-8.3694878212476786E-2</v>
      </c>
      <c r="X132" s="20"/>
      <c r="Y132" s="15">
        <f>+(1+X132)*(1+Y131)-1</f>
        <v>0.14071935804873492</v>
      </c>
      <c r="Z132" s="15">
        <f>+(1+X132)*(1+Z131)-1</f>
        <v>1.7887893061824349</v>
      </c>
      <c r="AA132" s="13">
        <f>(1+Z132)/(1+MAX(Z$2:Z132))-1</f>
        <v>-4.242761113599991E-2</v>
      </c>
      <c r="AB132" s="124"/>
      <c r="AC132" s="20">
        <f>D132*$E$1+H132*$I$1+L132*$M$1+P132*$Q$1+T132*$U$1+X132*$Y$1</f>
        <v>0</v>
      </c>
      <c r="AD132" s="15">
        <f t="shared" si="97"/>
        <v>4.7223906779569447E-2</v>
      </c>
      <c r="AE132" s="15">
        <f>+(1+AC132)*(1+AE131)-1</f>
        <v>1.1784647308479097</v>
      </c>
      <c r="AF132" s="15">
        <f>(1+AE132)/(1+MAX(AE$2:AE132))-1</f>
        <v>-1.0620000000000074E-2</v>
      </c>
      <c r="AG132" s="58">
        <f>AG131*(1+AC132)</f>
        <v>2178.4647308479111</v>
      </c>
      <c r="AH132" s="137"/>
      <c r="AI132" s="70"/>
      <c r="AJ132" s="70"/>
      <c r="AK132" s="70"/>
      <c r="AL132" s="70"/>
      <c r="AM132" s="70"/>
      <c r="AN132" s="70"/>
      <c r="AO132" s="70"/>
      <c r="AP132" s="81"/>
      <c r="AQ132" s="81"/>
    </row>
    <row r="133" spans="1:43" s="27" customFormat="1" ht="15" thickBot="1" x14ac:dyDescent="0.35">
      <c r="A133" s="27" t="s">
        <v>664</v>
      </c>
      <c r="B133" s="63" t="str">
        <f t="shared" si="82"/>
        <v>2026-12</v>
      </c>
      <c r="C133" s="122">
        <v>46357</v>
      </c>
      <c r="D133" s="32"/>
      <c r="E133" s="25"/>
      <c r="F133" s="25"/>
      <c r="G133" s="26"/>
      <c r="H133" s="32"/>
      <c r="I133" s="25"/>
      <c r="J133" s="25"/>
      <c r="K133" s="26"/>
      <c r="L133" s="32"/>
      <c r="M133" s="25"/>
      <c r="N133" s="25"/>
      <c r="O133" s="26"/>
      <c r="P133" s="32"/>
      <c r="Q133" s="25"/>
      <c r="R133" s="25"/>
      <c r="S133" s="26"/>
      <c r="T133" s="32"/>
      <c r="U133" s="25"/>
      <c r="V133" s="25"/>
      <c r="W133" s="26"/>
      <c r="X133" s="32"/>
      <c r="Y133" s="25"/>
      <c r="Z133" s="25"/>
      <c r="AA133" s="26"/>
      <c r="AB133" s="125"/>
      <c r="AC133" s="20">
        <f>D133*$E$1+H133*$I$1+L133*$M$1+P133*$Q$1+T133*$U$1+X133*$Y$1</f>
        <v>0</v>
      </c>
      <c r="AD133" s="25">
        <f t="shared" si="97"/>
        <v>4.7223906779569447E-2</v>
      </c>
      <c r="AE133" s="25">
        <f>+(1+AC133)*(1+AE132)-1</f>
        <v>1.1784647308479097</v>
      </c>
      <c r="AF133" s="25">
        <f>(1+AE133)/(1+MAX(AE$2:AE133))-1</f>
        <v>-1.0620000000000074E-2</v>
      </c>
      <c r="AG133" s="66">
        <f>AG132*(1+AC133)</f>
        <v>2178.4647308479111</v>
      </c>
      <c r="AH133" s="138"/>
      <c r="AI133" s="139"/>
      <c r="AJ133" s="139"/>
      <c r="AK133" s="139"/>
      <c r="AL133" s="139"/>
      <c r="AM133" s="139"/>
      <c r="AN133" s="139"/>
      <c r="AO133" s="139"/>
      <c r="AP133" s="78"/>
      <c r="AQ133" s="78"/>
    </row>
    <row r="135" spans="1:43" x14ac:dyDescent="0.3">
      <c r="D135" s="92">
        <f>COUNTA(D$2:D$130)/12</f>
        <v>10.75</v>
      </c>
      <c r="E135" s="86" t="s">
        <v>83</v>
      </c>
      <c r="H135" s="92">
        <f>COUNTA(H$2:H$130)/12</f>
        <v>10.75</v>
      </c>
      <c r="I135" s="86" t="s">
        <v>83</v>
      </c>
      <c r="L135" s="92">
        <f>COUNTA(L$2:L$130)/12</f>
        <v>10.75</v>
      </c>
      <c r="M135" s="86" t="s">
        <v>83</v>
      </c>
      <c r="P135" s="92">
        <f>COUNTA(P$2:P$130)/12</f>
        <v>10.75</v>
      </c>
      <c r="Q135" s="86" t="s">
        <v>83</v>
      </c>
      <c r="T135" s="92">
        <f>COUNTA(T$2:T$130)/12</f>
        <v>10.75</v>
      </c>
      <c r="U135" s="86" t="s">
        <v>83</v>
      </c>
      <c r="X135" s="92">
        <f>COUNTA(X$2:X$130)/12</f>
        <v>10.75</v>
      </c>
      <c r="Y135" s="86" t="s">
        <v>83</v>
      </c>
      <c r="AC135" s="92">
        <f>COUNTA(AC$2:AC$130)/12</f>
        <v>10.75</v>
      </c>
      <c r="AD135" s="86" t="s">
        <v>83</v>
      </c>
    </row>
    <row r="136" spans="1:43" x14ac:dyDescent="0.3">
      <c r="D136" s="100">
        <f>(1+F130)^(1/D135)-1</f>
        <v>4.534390222947926E-2</v>
      </c>
      <c r="E136" s="86" t="s">
        <v>15</v>
      </c>
      <c r="H136" s="100">
        <f>(1+J130)^(1/H135)-1</f>
        <v>0.12891382123680373</v>
      </c>
      <c r="I136" s="86" t="s">
        <v>15</v>
      </c>
      <c r="L136" s="100">
        <f>(1+N130)^(1/L135)-1</f>
        <v>3.1452942090421931E-2</v>
      </c>
      <c r="M136" s="86" t="s">
        <v>15</v>
      </c>
      <c r="P136" s="100">
        <f>(1+R130)^(1/P135)-1</f>
        <v>0.15971266866545331</v>
      </c>
      <c r="Q136" s="86" t="s">
        <v>15</v>
      </c>
      <c r="T136" s="100">
        <f>(1+V130)^(1/T135)-1</f>
        <v>2.0135335951866118E-2</v>
      </c>
      <c r="U136" s="86" t="s">
        <v>15</v>
      </c>
      <c r="X136" s="100">
        <f>(1+Z130)^(1/X135)-1</f>
        <v>0.10010469718247039</v>
      </c>
      <c r="Y136" s="86" t="s">
        <v>15</v>
      </c>
      <c r="AC136" s="100">
        <f>(1+AE130)^(1/AC135)-1</f>
        <v>7.5117332884145016E-2</v>
      </c>
      <c r="AD136" s="86" t="s">
        <v>15</v>
      </c>
    </row>
    <row r="137" spans="1:43" x14ac:dyDescent="0.3">
      <c r="D137" s="100">
        <f>_xlfn.STDEV.S(D$2:D130)*SQRT(12)</f>
        <v>6.4616450561289229E-2</v>
      </c>
      <c r="E137" s="86" t="s">
        <v>16</v>
      </c>
      <c r="H137" s="100">
        <f>_xlfn.STDEV.S(H$2:H130)*SQRT(12)</f>
        <v>0.13903049199182302</v>
      </c>
      <c r="I137" s="86" t="s">
        <v>16</v>
      </c>
      <c r="L137" s="100">
        <f>_xlfn.STDEV.S(L$2:L130)*SQRT(12)</f>
        <v>7.0154838302210518E-2</v>
      </c>
      <c r="M137" s="86" t="s">
        <v>16</v>
      </c>
      <c r="P137" s="100">
        <f>_xlfn.STDEV.S(P$2:P130)*SQRT(12)</f>
        <v>0.14449406210138233</v>
      </c>
      <c r="Q137" s="86" t="s">
        <v>16</v>
      </c>
      <c r="T137" s="100">
        <f>_xlfn.STDEV.S(T$2:T130)*SQRT(12)</f>
        <v>6.8276711273505097E-2</v>
      </c>
      <c r="U137" s="86" t="s">
        <v>16</v>
      </c>
      <c r="X137" s="100">
        <f>_xlfn.STDEV.S(X$2:X130)*SQRT(12)</f>
        <v>0.18992919419652027</v>
      </c>
      <c r="Y137" s="86" t="s">
        <v>16</v>
      </c>
      <c r="AC137" s="100">
        <f>_xlfn.STDEV.S(AC$2:AC130)*SQRT(12)</f>
        <v>6.594296838175466E-2</v>
      </c>
      <c r="AD137" s="86" t="s">
        <v>16</v>
      </c>
    </row>
    <row r="138" spans="1:43" x14ac:dyDescent="0.3">
      <c r="C138" s="123" t="s">
        <v>83</v>
      </c>
      <c r="D138" s="106">
        <f>AVERAGE(D$2:D130)/_xlfn.STDEV.S(D$2:D130)*SQRT(12)</f>
        <v>0.71966697609438512</v>
      </c>
      <c r="E138" s="86" t="s">
        <v>17</v>
      </c>
      <c r="H138" s="106">
        <f>AVERAGE(H$2:H130)/_xlfn.STDEV.S(H$2:H130)*SQRT(12)</f>
        <v>0.94448078278180647</v>
      </c>
      <c r="I138" s="86" t="s">
        <v>17</v>
      </c>
      <c r="L138" s="106">
        <f>AVERAGE(L$2:L130)/_xlfn.STDEV.S(L$2:L130)*SQRT(12)</f>
        <v>0.47668644493280155</v>
      </c>
      <c r="M138" s="86" t="s">
        <v>17</v>
      </c>
      <c r="P138" s="106">
        <f>AVERAGE(P$2:P130)/_xlfn.STDEV.S(P$2:P130)*SQRT(12)</f>
        <v>1.1031273293803017</v>
      </c>
      <c r="Q138" s="86" t="s">
        <v>17</v>
      </c>
      <c r="T138" s="106">
        <f>AVERAGE(T$2:T130)/_xlfn.STDEV.S(T$2:T130)*SQRT(12)</f>
        <v>0.32603306019101225</v>
      </c>
      <c r="U138" s="86" t="s">
        <v>17</v>
      </c>
      <c r="X138" s="106">
        <f>AVERAGE(X$2:X130)/_xlfn.STDEV.S(X$2:X130)*SQRT(12)</f>
        <v>0.60076243709712895</v>
      </c>
      <c r="Y138" s="86" t="s">
        <v>17</v>
      </c>
      <c r="AC138" s="106">
        <f>AVERAGE(AC$2:AC130)/_xlfn.STDEV.S(AC$2:AC130)*SQRT(12)</f>
        <v>1.1343769909394716</v>
      </c>
      <c r="AD138" s="86" t="s">
        <v>17</v>
      </c>
    </row>
    <row r="139" spans="1:43" x14ac:dyDescent="0.3">
      <c r="C139" s="123" t="s">
        <v>15</v>
      </c>
      <c r="D139" s="110">
        <f>MIN(G$2:G130)</f>
        <v>-8.7736860064049571E-2</v>
      </c>
      <c r="E139" s="86" t="s">
        <v>18</v>
      </c>
      <c r="H139" s="110">
        <f>MIN(K$2:K130)</f>
        <v>-0.21250788643595508</v>
      </c>
      <c r="I139" s="86" t="s">
        <v>18</v>
      </c>
      <c r="L139" s="110">
        <f>MIN(O$2:O130)</f>
        <v>-0.13589931387715126</v>
      </c>
      <c r="M139" s="86" t="s">
        <v>18</v>
      </c>
      <c r="P139" s="110">
        <f>MIN(S$2:S130)</f>
        <v>-0.20160421601199996</v>
      </c>
      <c r="Q139" s="86" t="s">
        <v>18</v>
      </c>
      <c r="T139" s="110">
        <f>MIN(W$2:W130)</f>
        <v>-0.143004807569167</v>
      </c>
      <c r="U139" s="86" t="s">
        <v>18</v>
      </c>
      <c r="X139" s="110">
        <f>MIN(AA$2:AA130)</f>
        <v>-0.33876565031200001</v>
      </c>
      <c r="Y139" s="86" t="s">
        <v>18</v>
      </c>
      <c r="AC139" s="110">
        <f>MIN(AF$2:AF130)</f>
        <v>-9.1750012300000017E-2</v>
      </c>
      <c r="AD139" s="86" t="s">
        <v>18</v>
      </c>
    </row>
    <row r="140" spans="1:43" x14ac:dyDescent="0.3">
      <c r="C140" s="123" t="s">
        <v>16</v>
      </c>
    </row>
    <row r="141" spans="1:43" x14ac:dyDescent="0.3">
      <c r="C141" s="123" t="s">
        <v>17</v>
      </c>
    </row>
    <row r="142" spans="1:43" x14ac:dyDescent="0.3">
      <c r="C142" s="123" t="s">
        <v>18</v>
      </c>
    </row>
  </sheetData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outlinePr summaryRight="0"/>
  </sheetPr>
  <dimension ref="A1:AE142"/>
  <sheetViews>
    <sheetView showGridLines="0" zoomScale="80" zoomScaleNormal="80" workbookViewId="0">
      <pane xSplit="3" ySplit="1" topLeftCell="D103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44140625" defaultRowHeight="14.4" outlineLevelRow="1" x14ac:dyDescent="0.3"/>
  <cols>
    <col min="1" max="1" width="11.44140625" style="81"/>
    <col min="2" max="2" width="10.44140625" style="71" bestFit="1" customWidth="1"/>
    <col min="3" max="3" width="10.44140625" style="123" customWidth="1"/>
    <col min="4" max="4" width="8.44140625" style="76" bestFit="1" customWidth="1"/>
    <col min="5" max="5" width="8.44140625" style="73" customWidth="1"/>
    <col min="6" max="6" width="10.5546875" style="73" customWidth="1"/>
    <col min="7" max="7" width="8.44140625" style="74" customWidth="1"/>
    <col min="8" max="8" width="9.44140625" style="76" customWidth="1"/>
    <col min="9" max="9" width="8.44140625" style="73" customWidth="1"/>
    <col min="10" max="10" width="10.5546875" style="73" customWidth="1"/>
    <col min="11" max="11" width="8.44140625" style="74" customWidth="1"/>
    <col min="12" max="12" width="8.44140625" style="76" bestFit="1" customWidth="1"/>
    <col min="13" max="13" width="8.44140625" style="73" customWidth="1"/>
    <col min="14" max="14" width="10.5546875" style="73" customWidth="1"/>
    <col min="15" max="15" width="8.44140625" style="74" customWidth="1"/>
    <col min="16" max="16" width="7.33203125" style="124" customWidth="1"/>
    <col min="17" max="17" width="8.44140625" style="76" bestFit="1" customWidth="1"/>
    <col min="18" max="18" width="8.5546875" style="73" customWidth="1"/>
    <col min="19" max="19" width="10.5546875" style="73" customWidth="1"/>
    <col min="20" max="20" width="8.44140625" style="73" customWidth="1"/>
    <col min="21" max="21" width="10.33203125" style="77" customWidth="1"/>
    <col min="22" max="22" width="6.33203125" style="137" customWidth="1"/>
    <col min="23" max="25" width="6.33203125" style="70" customWidth="1"/>
    <col min="26" max="26" width="11.5546875" style="70" bestFit="1" customWidth="1"/>
    <col min="27" max="16384" width="11.44140625" style="81"/>
  </cols>
  <sheetData>
    <row r="1" spans="1:31" s="134" customFormat="1" ht="51.6" customHeight="1" thickBot="1" x14ac:dyDescent="0.35">
      <c r="A1" s="35" t="s">
        <v>665</v>
      </c>
      <c r="B1" s="126" t="s">
        <v>22</v>
      </c>
      <c r="C1" s="127" t="s">
        <v>23</v>
      </c>
      <c r="D1" s="128" t="s">
        <v>98</v>
      </c>
      <c r="E1" s="129">
        <v>0.4</v>
      </c>
      <c r="F1" s="129" t="s">
        <v>84</v>
      </c>
      <c r="G1" s="130" t="s">
        <v>21</v>
      </c>
      <c r="H1" s="152" t="s">
        <v>2</v>
      </c>
      <c r="I1" s="129">
        <v>0.3</v>
      </c>
      <c r="J1" s="129" t="s">
        <v>84</v>
      </c>
      <c r="K1" s="130" t="s">
        <v>21</v>
      </c>
      <c r="L1" s="152" t="s">
        <v>1</v>
      </c>
      <c r="M1" s="129">
        <v>0.3</v>
      </c>
      <c r="N1" s="129" t="s">
        <v>84</v>
      </c>
      <c r="O1" s="130" t="s">
        <v>21</v>
      </c>
      <c r="P1" s="131"/>
      <c r="Q1" s="128" t="s">
        <v>100</v>
      </c>
      <c r="R1" s="132" t="s">
        <v>85</v>
      </c>
      <c r="S1" s="132" t="s">
        <v>84</v>
      </c>
      <c r="T1" s="132" t="s">
        <v>21</v>
      </c>
      <c r="U1" s="133" t="s">
        <v>20</v>
      </c>
      <c r="V1" s="135"/>
      <c r="W1" s="136"/>
      <c r="X1" s="136"/>
      <c r="Y1" s="136"/>
      <c r="Z1" s="136"/>
    </row>
    <row r="2" spans="1:31" s="54" customFormat="1" outlineLevel="1" x14ac:dyDescent="0.3">
      <c r="A2" s="54" t="s">
        <v>663</v>
      </c>
      <c r="B2" s="48" t="str">
        <f t="shared" ref="B2:B65" si="0">YEAR(C2)&amp;"-"&amp;MONTH(C2)</f>
        <v>2016-1</v>
      </c>
      <c r="C2" s="120">
        <v>42370</v>
      </c>
      <c r="D2" s="10">
        <v>5.3499999999999999E-2</v>
      </c>
      <c r="E2" s="5">
        <f>+D2</f>
        <v>5.3499999999999999E-2</v>
      </c>
      <c r="F2" s="5">
        <f>+D2</f>
        <v>5.3499999999999999E-2</v>
      </c>
      <c r="G2" s="3">
        <f>(1+F2)/(1+MAX(F$2:F2))-1</f>
        <v>0</v>
      </c>
      <c r="H2" s="10">
        <v>-6.1600000000000002E-2</v>
      </c>
      <c r="I2" s="5">
        <f>+H2</f>
        <v>-6.1600000000000002E-2</v>
      </c>
      <c r="J2" s="5">
        <f>+H2</f>
        <v>-6.1600000000000002E-2</v>
      </c>
      <c r="K2" s="3">
        <f>(1+J2)/(1+MAX(J$2:J2))-1</f>
        <v>0</v>
      </c>
      <c r="L2" s="10">
        <v>-6.4799999999999996E-2</v>
      </c>
      <c r="M2" s="5">
        <f>+L2</f>
        <v>-6.4799999999999996E-2</v>
      </c>
      <c r="N2" s="5">
        <f>+L2</f>
        <v>-6.4799999999999996E-2</v>
      </c>
      <c r="O2" s="3">
        <f>(1+N2)/(1+MAX(N$2:N2))-1</f>
        <v>0</v>
      </c>
      <c r="P2" s="124"/>
      <c r="Q2" s="10">
        <f>D2*$E$1+H2*$I$1+L2*$M$1</f>
        <v>-1.6519999999999996E-2</v>
      </c>
      <c r="R2" s="5">
        <f>+Q2</f>
        <v>-1.6519999999999996E-2</v>
      </c>
      <c r="S2" s="5">
        <f>+Q2</f>
        <v>-1.6519999999999996E-2</v>
      </c>
      <c r="T2" s="5">
        <f>(1+S2)/(1+MAX(S$2:S2))-1</f>
        <v>0</v>
      </c>
      <c r="U2" s="51">
        <f>1000*(1+Q2)</f>
        <v>983.48</v>
      </c>
      <c r="V2" s="137"/>
      <c r="W2" s="70"/>
      <c r="X2" s="70"/>
      <c r="Y2" s="70"/>
      <c r="Z2" s="70"/>
      <c r="AA2" s="61"/>
      <c r="AB2" s="61"/>
      <c r="AC2" s="61"/>
      <c r="AD2" s="61"/>
      <c r="AE2" s="61"/>
    </row>
    <row r="3" spans="1:31" s="61" customFormat="1" outlineLevel="1" x14ac:dyDescent="0.3">
      <c r="A3" s="61" t="s">
        <v>663</v>
      </c>
      <c r="B3" s="55" t="str">
        <f t="shared" si="0"/>
        <v>2016-2</v>
      </c>
      <c r="C3" s="121">
        <v>42401</v>
      </c>
      <c r="D3" s="20">
        <v>0.11360000000000001</v>
      </c>
      <c r="E3" s="15">
        <f t="shared" ref="E3:E13" si="1">+(1+D3)*(1+E2)-1</f>
        <v>0.17317760000000004</v>
      </c>
      <c r="F3" s="15">
        <f t="shared" ref="F3:F66" si="2">+(1+D3)*(1+F2)-1</f>
        <v>0.17317760000000004</v>
      </c>
      <c r="G3" s="13">
        <f>(1+F3)/(1+MAX(F$2:F3))-1</f>
        <v>0</v>
      </c>
      <c r="H3" s="20">
        <v>-1.0999999999999999E-2</v>
      </c>
      <c r="I3" s="15">
        <f t="shared" ref="I3:I13" si="3">+(1+H3)*(1+I2)-1</f>
        <v>-7.1922399999999942E-2</v>
      </c>
      <c r="J3" s="15">
        <f t="shared" ref="J3:J66" si="4">+(1+H3)*(1+J2)-1</f>
        <v>-7.1922399999999942E-2</v>
      </c>
      <c r="K3" s="13">
        <f>(1+J3)/(1+MAX(J$2:J3))-1</f>
        <v>-1.0999999999999899E-2</v>
      </c>
      <c r="L3" s="20">
        <v>1.7100000000000001E-2</v>
      </c>
      <c r="M3" s="15">
        <f t="shared" ref="M3:M13" si="5">+(1+L3)*(1+M2)-1</f>
        <v>-4.8808080000000031E-2</v>
      </c>
      <c r="N3" s="15">
        <f t="shared" ref="N3:N66" si="6">+(1+L3)*(1+N2)-1</f>
        <v>-4.8808080000000031E-2</v>
      </c>
      <c r="O3" s="13">
        <f>(1+N3)/(1+MAX(N$2:N3))-1</f>
        <v>0</v>
      </c>
      <c r="P3" s="124"/>
      <c r="Q3" s="20">
        <f t="shared" ref="Q3:Q66" si="7">D3*$E$1+H3*$I$1+L3*$M$1</f>
        <v>4.7270000000000013E-2</v>
      </c>
      <c r="R3" s="15">
        <f t="shared" ref="R3:R13" si="8">+(1+Q3)*(1+R2)-1</f>
        <v>2.9969099599999938E-2</v>
      </c>
      <c r="S3" s="15">
        <f t="shared" ref="S3:S66" si="9">+(1+Q3)*(1+S2)-1</f>
        <v>2.9969099599999938E-2</v>
      </c>
      <c r="T3" s="15">
        <f>(1+S3)/(1+MAX(S$2:S3))-1</f>
        <v>0</v>
      </c>
      <c r="U3" s="58">
        <f>U2*(1+Q3)</f>
        <v>1029.9690995999999</v>
      </c>
      <c r="V3" s="137"/>
      <c r="W3" s="70"/>
      <c r="X3" s="70"/>
      <c r="Y3" s="70"/>
      <c r="Z3" s="70"/>
    </row>
    <row r="4" spans="1:31" s="61" customFormat="1" outlineLevel="1" x14ac:dyDescent="0.3">
      <c r="A4" s="61" t="s">
        <v>663</v>
      </c>
      <c r="B4" s="55" t="str">
        <f t="shared" si="0"/>
        <v>2016-3</v>
      </c>
      <c r="C4" s="121">
        <v>42430</v>
      </c>
      <c r="D4" s="20">
        <v>-4.5100000000000001E-2</v>
      </c>
      <c r="E4" s="15">
        <f t="shared" si="1"/>
        <v>0.12026729023999994</v>
      </c>
      <c r="F4" s="15">
        <f t="shared" si="2"/>
        <v>0.12026729023999994</v>
      </c>
      <c r="G4" s="13">
        <f>(1+F4)/(1+MAX(F$2:F4))-1</f>
        <v>-4.510000000000014E-2</v>
      </c>
      <c r="H4" s="20">
        <v>3.6799999999999999E-2</v>
      </c>
      <c r="I4" s="15">
        <f t="shared" si="3"/>
        <v>-3.7769144320000003E-2</v>
      </c>
      <c r="J4" s="15">
        <f t="shared" si="4"/>
        <v>-3.7769144320000003E-2</v>
      </c>
      <c r="K4" s="13">
        <f>(1+J4)/(1+MAX(J$2:J4))-1</f>
        <v>0</v>
      </c>
      <c r="L4" s="20">
        <v>4.9500000000000002E-2</v>
      </c>
      <c r="M4" s="15">
        <f t="shared" si="5"/>
        <v>-1.7240799599999024E-3</v>
      </c>
      <c r="N4" s="15">
        <f t="shared" si="6"/>
        <v>-1.7240799599999024E-3</v>
      </c>
      <c r="O4" s="13">
        <f>(1+N4)/(1+MAX(N$2:N4))-1</f>
        <v>0</v>
      </c>
      <c r="P4" s="124"/>
      <c r="Q4" s="20">
        <f t="shared" si="7"/>
        <v>7.8499999999999993E-3</v>
      </c>
      <c r="R4" s="15">
        <f t="shared" si="8"/>
        <v>3.8054357031859887E-2</v>
      </c>
      <c r="S4" s="15">
        <f t="shared" si="9"/>
        <v>3.8054357031859887E-2</v>
      </c>
      <c r="T4" s="15">
        <f>(1+S4)/(1+MAX(S$2:S4))-1</f>
        <v>0</v>
      </c>
      <c r="U4" s="58">
        <f t="shared" ref="U4:U67" si="10">U3*(1+Q4)</f>
        <v>1038.0543570318598</v>
      </c>
      <c r="V4" s="137"/>
      <c r="W4" s="70"/>
      <c r="X4" s="70"/>
      <c r="Y4" s="70"/>
      <c r="Z4" s="70"/>
    </row>
    <row r="5" spans="1:31" s="61" customFormat="1" outlineLevel="1" x14ac:dyDescent="0.3">
      <c r="A5" s="61" t="s">
        <v>663</v>
      </c>
      <c r="B5" s="55" t="str">
        <f t="shared" si="0"/>
        <v>2016-4</v>
      </c>
      <c r="C5" s="121">
        <v>42461</v>
      </c>
      <c r="D5" s="20">
        <v>4.8500000000000001E-2</v>
      </c>
      <c r="E5" s="15">
        <f t="shared" si="1"/>
        <v>0.17460025381664002</v>
      </c>
      <c r="F5" s="15">
        <f t="shared" si="2"/>
        <v>0.17460025381664002</v>
      </c>
      <c r="G5" s="13">
        <f>(1+F5)/(1+MAX(F$2:F5))-1</f>
        <v>0</v>
      </c>
      <c r="H5" s="20">
        <v>5.3E-3</v>
      </c>
      <c r="I5" s="15">
        <f t="shared" si="3"/>
        <v>-3.2669320784895928E-2</v>
      </c>
      <c r="J5" s="15">
        <f t="shared" si="4"/>
        <v>-3.2669320784895928E-2</v>
      </c>
      <c r="K5" s="13">
        <f>(1+J5)/(1+MAX(J$2:J5))-1</f>
        <v>0</v>
      </c>
      <c r="L5" s="20">
        <v>1.89E-2</v>
      </c>
      <c r="M5" s="15">
        <f t="shared" si="5"/>
        <v>1.7143334928755971E-2</v>
      </c>
      <c r="N5" s="15">
        <f t="shared" si="6"/>
        <v>1.7143334928755971E-2</v>
      </c>
      <c r="O5" s="13">
        <f>(1+N5)/(1+MAX(N$2:N5))-1</f>
        <v>0</v>
      </c>
      <c r="P5" s="124"/>
      <c r="Q5" s="20">
        <f t="shared" si="7"/>
        <v>2.6660000000000003E-2</v>
      </c>
      <c r="R5" s="15">
        <f t="shared" si="8"/>
        <v>6.5728886190329128E-2</v>
      </c>
      <c r="S5" s="15">
        <f t="shared" si="9"/>
        <v>6.5728886190329128E-2</v>
      </c>
      <c r="T5" s="15">
        <f>(1+S5)/(1+MAX(S$2:S5))-1</f>
        <v>0</v>
      </c>
      <c r="U5" s="58">
        <f t="shared" si="10"/>
        <v>1065.7288861903291</v>
      </c>
      <c r="V5" s="137"/>
      <c r="W5" s="70"/>
      <c r="X5" s="70"/>
      <c r="Y5" s="70"/>
      <c r="Z5" s="70"/>
    </row>
    <row r="6" spans="1:31" s="61" customFormat="1" outlineLevel="1" x14ac:dyDescent="0.3">
      <c r="A6" s="61" t="s">
        <v>663</v>
      </c>
      <c r="B6" s="55" t="str">
        <f t="shared" si="0"/>
        <v>2016-5</v>
      </c>
      <c r="C6" s="121">
        <v>42491</v>
      </c>
      <c r="D6" s="20">
        <v>-4.3400000000000001E-2</v>
      </c>
      <c r="E6" s="15">
        <f t="shared" si="1"/>
        <v>0.1236226028009979</v>
      </c>
      <c r="F6" s="15">
        <f t="shared" si="2"/>
        <v>0.1236226028009979</v>
      </c>
      <c r="G6" s="13">
        <f>(1+F6)/(1+MAX(F$2:F6))-1</f>
        <v>-4.3399999999999994E-2</v>
      </c>
      <c r="H6" s="20">
        <v>2.63E-2</v>
      </c>
      <c r="I6" s="15">
        <f t="shared" si="3"/>
        <v>-7.2285239215387209E-3</v>
      </c>
      <c r="J6" s="15">
        <f t="shared" si="4"/>
        <v>-7.2285239215387209E-3</v>
      </c>
      <c r="K6" s="13">
        <f>(1+J6)/(1+MAX(J$2:J6))-1</f>
        <v>0</v>
      </c>
      <c r="L6" s="20">
        <v>3.32E-2</v>
      </c>
      <c r="M6" s="15">
        <f t="shared" si="5"/>
        <v>5.0912493648390456E-2</v>
      </c>
      <c r="N6" s="15">
        <f t="shared" si="6"/>
        <v>5.0912493648390456E-2</v>
      </c>
      <c r="O6" s="13">
        <f>(1+N6)/(1+MAX(N$2:N6))-1</f>
        <v>0</v>
      </c>
      <c r="P6" s="124"/>
      <c r="Q6" s="20">
        <f t="shared" si="7"/>
        <v>4.8999999999999912E-4</v>
      </c>
      <c r="R6" s="15">
        <f t="shared" si="8"/>
        <v>6.6251093344562584E-2</v>
      </c>
      <c r="S6" s="15">
        <f t="shared" si="9"/>
        <v>6.6251093344562584E-2</v>
      </c>
      <c r="T6" s="15">
        <f>(1+S6)/(1+MAX(S$2:S6))-1</f>
        <v>0</v>
      </c>
      <c r="U6" s="58">
        <f t="shared" si="10"/>
        <v>1066.2510933445626</v>
      </c>
      <c r="V6" s="137"/>
      <c r="W6" s="70"/>
      <c r="X6" s="70"/>
      <c r="Y6" s="70"/>
      <c r="Z6" s="70"/>
    </row>
    <row r="7" spans="1:31" s="61" customFormat="1" outlineLevel="1" x14ac:dyDescent="0.3">
      <c r="A7" s="61" t="s">
        <v>663</v>
      </c>
      <c r="B7" s="55" t="str">
        <f t="shared" si="0"/>
        <v>2016-6</v>
      </c>
      <c r="C7" s="121">
        <v>42522</v>
      </c>
      <c r="D7" s="20">
        <v>9.0700000000000003E-2</v>
      </c>
      <c r="E7" s="15">
        <f t="shared" si="1"/>
        <v>0.22553517287504832</v>
      </c>
      <c r="F7" s="15">
        <f t="shared" si="2"/>
        <v>0.22553517287504832</v>
      </c>
      <c r="G7" s="13">
        <f>(1+F7)/(1+MAX(F$2:F7))-1</f>
        <v>0</v>
      </c>
      <c r="H7" s="20">
        <v>-7.7999999999999996E-3</v>
      </c>
      <c r="I7" s="15">
        <f t="shared" si="3"/>
        <v>-1.4972141434950736E-2</v>
      </c>
      <c r="J7" s="15">
        <f t="shared" si="4"/>
        <v>-1.4972141434950736E-2</v>
      </c>
      <c r="K7" s="13">
        <f>(1+J7)/(1+MAX(J$2:J7))-1</f>
        <v>-7.8000000000000291E-3</v>
      </c>
      <c r="L7" s="20">
        <v>2.8999999999999998E-3</v>
      </c>
      <c r="M7" s="15">
        <f t="shared" si="5"/>
        <v>5.3960139879970725E-2</v>
      </c>
      <c r="N7" s="15">
        <f t="shared" si="6"/>
        <v>5.3960139879970725E-2</v>
      </c>
      <c r="O7" s="13">
        <f>(1+N7)/(1+MAX(N$2:N7))-1</f>
        <v>0</v>
      </c>
      <c r="P7" s="124"/>
      <c r="Q7" s="20">
        <f t="shared" si="7"/>
        <v>3.4810000000000001E-2</v>
      </c>
      <c r="R7" s="15">
        <f t="shared" si="8"/>
        <v>0.10336729390388677</v>
      </c>
      <c r="S7" s="15">
        <f t="shared" si="9"/>
        <v>0.10336729390388677</v>
      </c>
      <c r="T7" s="15">
        <f>(1+S7)/(1+MAX(S$2:S7))-1</f>
        <v>0</v>
      </c>
      <c r="U7" s="58">
        <f t="shared" si="10"/>
        <v>1103.3672939038868</v>
      </c>
      <c r="V7" s="137"/>
      <c r="W7" s="70"/>
      <c r="X7" s="70"/>
      <c r="Y7" s="70"/>
      <c r="Z7" s="70"/>
    </row>
    <row r="8" spans="1:31" s="61" customFormat="1" outlineLevel="1" x14ac:dyDescent="0.3">
      <c r="A8" s="61" t="s">
        <v>663</v>
      </c>
      <c r="B8" s="55" t="str">
        <f t="shared" si="0"/>
        <v>2016-7</v>
      </c>
      <c r="C8" s="121">
        <v>42552</v>
      </c>
      <c r="D8" s="20">
        <v>2.4400000000000002E-2</v>
      </c>
      <c r="E8" s="15">
        <f t="shared" si="1"/>
        <v>0.25543823109319952</v>
      </c>
      <c r="F8" s="15">
        <f t="shared" si="2"/>
        <v>0.25543823109319952</v>
      </c>
      <c r="G8" s="13">
        <f>(1+F8)/(1+MAX(F$2:F8))-1</f>
        <v>0</v>
      </c>
      <c r="H8" s="20">
        <v>4.7600000000000003E-2</v>
      </c>
      <c r="I8" s="15">
        <f t="shared" si="3"/>
        <v>3.1915184632745675E-2</v>
      </c>
      <c r="J8" s="15">
        <f t="shared" si="4"/>
        <v>3.1915184632745675E-2</v>
      </c>
      <c r="K8" s="13">
        <f>(1+J8)/(1+MAX(J$2:J8))-1</f>
        <v>0</v>
      </c>
      <c r="L8" s="20">
        <v>5.0999999999999997E-2</v>
      </c>
      <c r="M8" s="15">
        <f t="shared" si="5"/>
        <v>0.10771210701384915</v>
      </c>
      <c r="N8" s="15">
        <f t="shared" si="6"/>
        <v>0.10771210701384915</v>
      </c>
      <c r="O8" s="13">
        <f>(1+N8)/(1+MAX(N$2:N8))-1</f>
        <v>0</v>
      </c>
      <c r="P8" s="124"/>
      <c r="Q8" s="20">
        <f t="shared" si="7"/>
        <v>3.934E-2</v>
      </c>
      <c r="R8" s="15">
        <f t="shared" si="8"/>
        <v>0.1467737632460655</v>
      </c>
      <c r="S8" s="15">
        <f t="shared" si="9"/>
        <v>0.1467737632460655</v>
      </c>
      <c r="T8" s="15">
        <f>(1+S8)/(1+MAX(S$2:S8))-1</f>
        <v>0</v>
      </c>
      <c r="U8" s="58">
        <f t="shared" si="10"/>
        <v>1146.7737632460655</v>
      </c>
      <c r="V8" s="137"/>
      <c r="W8" s="70"/>
      <c r="X8" s="70"/>
      <c r="Y8" s="70"/>
      <c r="Z8" s="70"/>
    </row>
    <row r="9" spans="1:31" s="61" customFormat="1" outlineLevel="1" x14ac:dyDescent="0.3">
      <c r="A9" s="61" t="s">
        <v>663</v>
      </c>
      <c r="B9" s="55" t="str">
        <f t="shared" si="0"/>
        <v>2016-8</v>
      </c>
      <c r="C9" s="121">
        <v>42583</v>
      </c>
      <c r="D9" s="20">
        <v>-3.8199999999999998E-2</v>
      </c>
      <c r="E9" s="15">
        <f t="shared" si="1"/>
        <v>0.20748049066543928</v>
      </c>
      <c r="F9" s="15">
        <f t="shared" si="2"/>
        <v>0.20748049066543928</v>
      </c>
      <c r="G9" s="13">
        <f>(1+F9)/(1+MAX(F$2:F9))-1</f>
        <v>-3.8200000000000012E-2</v>
      </c>
      <c r="H9" s="20">
        <v>-4.1999999999999997E-3</v>
      </c>
      <c r="I9" s="15">
        <f t="shared" si="3"/>
        <v>2.7581140857288133E-2</v>
      </c>
      <c r="J9" s="15">
        <f t="shared" si="4"/>
        <v>2.7581140857288133E-2</v>
      </c>
      <c r="K9" s="13">
        <f>(1+J9)/(1+MAX(J$2:J9))-1</f>
        <v>-4.1999999999999815E-3</v>
      </c>
      <c r="L9" s="20">
        <v>1E-3</v>
      </c>
      <c r="M9" s="15">
        <f t="shared" si="5"/>
        <v>0.10881981912086292</v>
      </c>
      <c r="N9" s="15">
        <f t="shared" si="6"/>
        <v>0.10881981912086292</v>
      </c>
      <c r="O9" s="13">
        <f>(1+N9)/(1+MAX(N$2:N9))-1</f>
        <v>0</v>
      </c>
      <c r="P9" s="124"/>
      <c r="Q9" s="20">
        <f t="shared" si="7"/>
        <v>-1.6239999999999997E-2</v>
      </c>
      <c r="R9" s="15">
        <f t="shared" si="8"/>
        <v>0.12815015733094937</v>
      </c>
      <c r="S9" s="15">
        <f t="shared" si="9"/>
        <v>0.12815015733094937</v>
      </c>
      <c r="T9" s="15">
        <f>(1+S9)/(1+MAX(S$2:S9))-1</f>
        <v>-1.6240000000000032E-2</v>
      </c>
      <c r="U9" s="58">
        <f t="shared" si="10"/>
        <v>1128.1501573309495</v>
      </c>
      <c r="V9" s="137"/>
      <c r="W9" s="70"/>
      <c r="X9" s="70"/>
      <c r="Y9" s="70"/>
      <c r="Z9" s="70"/>
    </row>
    <row r="10" spans="1:31" s="61" customFormat="1" outlineLevel="1" x14ac:dyDescent="0.3">
      <c r="A10" s="61" t="s">
        <v>663</v>
      </c>
      <c r="B10" s="55" t="str">
        <f t="shared" si="0"/>
        <v>2016-9</v>
      </c>
      <c r="C10" s="121">
        <v>42614</v>
      </c>
      <c r="D10" s="20">
        <v>1.1999999999999999E-3</v>
      </c>
      <c r="E10" s="15">
        <f t="shared" si="1"/>
        <v>0.20892946725423789</v>
      </c>
      <c r="F10" s="15">
        <f t="shared" si="2"/>
        <v>0.20892946725423789</v>
      </c>
      <c r="G10" s="13">
        <f>(1+F10)/(1+MAX(F$2:F10))-1</f>
        <v>-3.7045839999999997E-2</v>
      </c>
      <c r="H10" s="20">
        <v>1.01E-2</v>
      </c>
      <c r="I10" s="15">
        <f t="shared" si="3"/>
        <v>3.7959710379946721E-2</v>
      </c>
      <c r="J10" s="15">
        <f t="shared" si="4"/>
        <v>3.7959710379946721E-2</v>
      </c>
      <c r="K10" s="13">
        <f>(1+J10)/(1+MAX(J$2:J10))-1</f>
        <v>0</v>
      </c>
      <c r="L10" s="20">
        <v>-2.8E-3</v>
      </c>
      <c r="M10" s="15">
        <f t="shared" si="5"/>
        <v>0.10571512362732438</v>
      </c>
      <c r="N10" s="15">
        <f t="shared" si="6"/>
        <v>0.10571512362732438</v>
      </c>
      <c r="O10" s="13">
        <f>(1+N10)/(1+MAX(N$2:N10))-1</f>
        <v>-2.8000000000001357E-3</v>
      </c>
      <c r="P10" s="124"/>
      <c r="Q10" s="20">
        <f t="shared" si="7"/>
        <v>2.6699999999999996E-3</v>
      </c>
      <c r="R10" s="15">
        <f t="shared" si="8"/>
        <v>0.13116231825102287</v>
      </c>
      <c r="S10" s="15">
        <f t="shared" si="9"/>
        <v>0.13116231825102287</v>
      </c>
      <c r="T10" s="15">
        <f>(1+S10)/(1+MAX(S$2:S10))-1</f>
        <v>-1.3613360800000196E-2</v>
      </c>
      <c r="U10" s="58">
        <f t="shared" si="10"/>
        <v>1131.162318251023</v>
      </c>
      <c r="V10" s="137"/>
      <c r="W10" s="70"/>
      <c r="X10" s="70"/>
      <c r="Y10" s="70"/>
      <c r="Z10" s="70"/>
    </row>
    <row r="11" spans="1:31" s="61" customFormat="1" outlineLevel="1" x14ac:dyDescent="0.3">
      <c r="A11" s="61" t="s">
        <v>663</v>
      </c>
      <c r="B11" s="55" t="str">
        <f t="shared" si="0"/>
        <v>2016-10</v>
      </c>
      <c r="C11" s="121">
        <v>42644</v>
      </c>
      <c r="D11" s="20">
        <v>-8.3999999999999995E-3</v>
      </c>
      <c r="E11" s="15">
        <f t="shared" si="1"/>
        <v>0.19877445972930241</v>
      </c>
      <c r="F11" s="15">
        <f t="shared" si="2"/>
        <v>0.19877445972930241</v>
      </c>
      <c r="G11" s="13">
        <f>(1+F11)/(1+MAX(F$2:F11))-1</f>
        <v>-4.5134654943999819E-2</v>
      </c>
      <c r="H11" s="20">
        <v>-2.0999999999999999E-3</v>
      </c>
      <c r="I11" s="15">
        <f t="shared" si="3"/>
        <v>3.5779994988148767E-2</v>
      </c>
      <c r="J11" s="15">
        <f t="shared" si="4"/>
        <v>3.5779994988148767E-2</v>
      </c>
      <c r="K11" s="13">
        <f>(1+J11)/(1+MAX(J$2:J11))-1</f>
        <v>-2.1000000000001018E-3</v>
      </c>
      <c r="L11" s="20">
        <v>-9.2999999999999992E-3</v>
      </c>
      <c r="M11" s="15">
        <f t="shared" si="5"/>
        <v>9.5431972977590318E-2</v>
      </c>
      <c r="N11" s="15">
        <f t="shared" si="6"/>
        <v>9.5431972977590318E-2</v>
      </c>
      <c r="O11" s="13">
        <f>(1+N11)/(1+MAX(N$2:N11))-1</f>
        <v>-1.207396000000005E-2</v>
      </c>
      <c r="P11" s="124"/>
      <c r="Q11" s="20">
        <f t="shared" si="7"/>
        <v>-6.7799999999999996E-3</v>
      </c>
      <c r="R11" s="15">
        <f t="shared" si="8"/>
        <v>0.12349303773328102</v>
      </c>
      <c r="S11" s="15">
        <f t="shared" si="9"/>
        <v>0.12349303773328102</v>
      </c>
      <c r="T11" s="15">
        <f>(1+S11)/(1+MAX(S$2:S11))-1</f>
        <v>-2.0301062213776033E-2</v>
      </c>
      <c r="U11" s="58">
        <f t="shared" si="10"/>
        <v>1123.493037733281</v>
      </c>
      <c r="V11" s="137"/>
      <c r="W11" s="70"/>
      <c r="X11" s="70"/>
      <c r="Y11" s="70"/>
      <c r="Z11" s="70"/>
    </row>
    <row r="12" spans="1:31" s="61" customFormat="1" outlineLevel="1" x14ac:dyDescent="0.3">
      <c r="A12" s="61" t="s">
        <v>663</v>
      </c>
      <c r="B12" s="55" t="str">
        <f t="shared" si="0"/>
        <v>2016-11</v>
      </c>
      <c r="C12" s="121">
        <v>42675</v>
      </c>
      <c r="D12" s="20">
        <v>-5.4699999999999999E-2</v>
      </c>
      <c r="E12" s="15">
        <f t="shared" si="1"/>
        <v>0.13320149678210957</v>
      </c>
      <c r="F12" s="15">
        <f t="shared" si="2"/>
        <v>0.13320149678210957</v>
      </c>
      <c r="G12" s="13">
        <f>(1+F12)/(1+MAX(F$2:F12))-1</f>
        <v>-9.7365789318563101E-2</v>
      </c>
      <c r="H12" s="20">
        <v>4.1200000000000001E-2</v>
      </c>
      <c r="I12" s="15">
        <f t="shared" si="3"/>
        <v>7.8454130781660414E-2</v>
      </c>
      <c r="J12" s="15">
        <f t="shared" si="4"/>
        <v>7.8454130781660414E-2</v>
      </c>
      <c r="K12" s="13">
        <f>(1+J12)/(1+MAX(J$2:J12))-1</f>
        <v>0</v>
      </c>
      <c r="L12" s="20">
        <v>0.1376</v>
      </c>
      <c r="M12" s="15">
        <f t="shared" si="5"/>
        <v>0.24616341245930662</v>
      </c>
      <c r="N12" s="15">
        <f t="shared" si="6"/>
        <v>0.24616341245930662</v>
      </c>
      <c r="O12" s="13">
        <f>(1+N12)/(1+MAX(N$2:N12))-1</f>
        <v>0</v>
      </c>
      <c r="P12" s="124"/>
      <c r="Q12" s="20">
        <f t="shared" si="7"/>
        <v>3.1759999999999997E-2</v>
      </c>
      <c r="R12" s="15">
        <f t="shared" si="8"/>
        <v>0.15917517661169001</v>
      </c>
      <c r="S12" s="15">
        <f t="shared" si="9"/>
        <v>0.15917517661169001</v>
      </c>
      <c r="T12" s="15">
        <f>(1+S12)/(1+MAX(S$2:S12))-1</f>
        <v>0</v>
      </c>
      <c r="U12" s="58">
        <f t="shared" si="10"/>
        <v>1159.1751766116899</v>
      </c>
      <c r="V12" s="137"/>
      <c r="W12" s="70"/>
      <c r="X12" s="70"/>
      <c r="Y12" s="70"/>
      <c r="Z12" s="70"/>
    </row>
    <row r="13" spans="1:31" s="27" customFormat="1" ht="15" thickBot="1" x14ac:dyDescent="0.35">
      <c r="A13" s="27" t="s">
        <v>663</v>
      </c>
      <c r="B13" s="63" t="str">
        <f t="shared" si="0"/>
        <v>2016-12</v>
      </c>
      <c r="C13" s="122">
        <v>42705</v>
      </c>
      <c r="D13" s="32">
        <v>-1.18E-2</v>
      </c>
      <c r="E13" s="25">
        <f t="shared" si="1"/>
        <v>0.11982971912008056</v>
      </c>
      <c r="F13" s="25">
        <f t="shared" si="2"/>
        <v>0.11982971912008056</v>
      </c>
      <c r="G13" s="26">
        <f>(1+F13)/(1+MAX(F$2:F13))-1</f>
        <v>-0.10801687300460416</v>
      </c>
      <c r="H13" s="32">
        <v>2.1700000000000001E-2</v>
      </c>
      <c r="I13" s="25">
        <f t="shared" si="3"/>
        <v>0.1018565854196225</v>
      </c>
      <c r="J13" s="25">
        <f t="shared" si="4"/>
        <v>0.1018565854196225</v>
      </c>
      <c r="K13" s="26">
        <f>(1+J13)/(1+MAX(J$2:J13))-1</f>
        <v>0</v>
      </c>
      <c r="L13" s="32">
        <v>3.5299999999999998E-2</v>
      </c>
      <c r="M13" s="25">
        <f t="shared" si="5"/>
        <v>0.2901529809191199</v>
      </c>
      <c r="N13" s="25">
        <f t="shared" si="6"/>
        <v>0.2901529809191199</v>
      </c>
      <c r="O13" s="26">
        <f>(1+N13)/(1+MAX(N$2:N13))-1</f>
        <v>0</v>
      </c>
      <c r="P13" s="125"/>
      <c r="Q13" s="32">
        <f t="shared" si="7"/>
        <v>1.2379999999999999E-2</v>
      </c>
      <c r="R13" s="25">
        <f t="shared" si="8"/>
        <v>0.17352576529814279</v>
      </c>
      <c r="S13" s="25">
        <f t="shared" si="9"/>
        <v>0.17352576529814279</v>
      </c>
      <c r="T13" s="25">
        <f>(1+S13)/(1+MAX(S$2:S13))-1</f>
        <v>0</v>
      </c>
      <c r="U13" s="66">
        <f t="shared" si="10"/>
        <v>1173.5257652981427</v>
      </c>
      <c r="V13" s="138"/>
      <c r="W13" s="139"/>
      <c r="X13" s="139"/>
      <c r="Y13" s="139"/>
      <c r="Z13" s="139"/>
    </row>
    <row r="14" spans="1:31" s="54" customFormat="1" outlineLevel="1" x14ac:dyDescent="0.3">
      <c r="A14" s="54" t="s">
        <v>663</v>
      </c>
      <c r="B14" s="48" t="str">
        <f t="shared" si="0"/>
        <v>2017-1</v>
      </c>
      <c r="C14" s="120">
        <v>42736</v>
      </c>
      <c r="D14" s="10">
        <v>4.0099999999999997E-2</v>
      </c>
      <c r="E14" s="5">
        <f>+D14</f>
        <v>4.0099999999999997E-2</v>
      </c>
      <c r="F14" s="5">
        <f t="shared" si="2"/>
        <v>0.16473489085679582</v>
      </c>
      <c r="G14" s="3">
        <f>(1+F14)/(1+MAX(F$2:F14))-1</f>
        <v>-7.2248349612088703E-2</v>
      </c>
      <c r="H14" s="10">
        <v>2.5700000000000001E-2</v>
      </c>
      <c r="I14" s="5">
        <f>+H14</f>
        <v>2.5700000000000001E-2</v>
      </c>
      <c r="J14" s="5">
        <f t="shared" si="4"/>
        <v>0.1301742996649069</v>
      </c>
      <c r="K14" s="3">
        <f>(1+J14)/(1+MAX(J$2:J14))-1</f>
        <v>0</v>
      </c>
      <c r="L14" s="10">
        <v>-5.7999999999999996E-3</v>
      </c>
      <c r="M14" s="5">
        <f>+L14</f>
        <v>-5.7999999999999996E-3</v>
      </c>
      <c r="N14" s="5">
        <f t="shared" si="6"/>
        <v>0.28267009362978901</v>
      </c>
      <c r="O14" s="3">
        <f>(1+N14)/(1+MAX(N$2:N14))-1</f>
        <v>-5.8000000000000274E-3</v>
      </c>
      <c r="P14" s="124"/>
      <c r="Q14" s="10">
        <f t="shared" si="7"/>
        <v>2.2010000000000002E-2</v>
      </c>
      <c r="R14" s="5">
        <f>+Q14</f>
        <v>2.2010000000000002E-2</v>
      </c>
      <c r="S14" s="5">
        <f t="shared" si="9"/>
        <v>0.19935506739235498</v>
      </c>
      <c r="T14" s="5">
        <f>(1+S14)/(1+MAX(S$2:S14))-1</f>
        <v>0</v>
      </c>
      <c r="U14" s="51">
        <f t="shared" si="10"/>
        <v>1199.3550673923548</v>
      </c>
      <c r="V14" s="137"/>
      <c r="W14" s="70"/>
      <c r="X14" s="70"/>
      <c r="Y14" s="70"/>
      <c r="Z14" s="70"/>
    </row>
    <row r="15" spans="1:31" s="61" customFormat="1" outlineLevel="1" x14ac:dyDescent="0.3">
      <c r="A15" s="61" t="s">
        <v>663</v>
      </c>
      <c r="B15" s="55" t="str">
        <f t="shared" si="0"/>
        <v>2017-2</v>
      </c>
      <c r="C15" s="121">
        <v>42767</v>
      </c>
      <c r="D15" s="20">
        <v>4.3799999999999999E-2</v>
      </c>
      <c r="E15" s="15">
        <f t="shared" ref="E15:E25" si="11">+(1+D15)*(1+E14)-1</f>
        <v>8.5656380000000087E-2</v>
      </c>
      <c r="F15" s="15">
        <f t="shared" si="2"/>
        <v>0.21575027907632349</v>
      </c>
      <c r="G15" s="13">
        <f>(1+F15)/(1+MAX(F$2:F15))-1</f>
        <v>-3.1612827325098181E-2</v>
      </c>
      <c r="H15" s="20">
        <v>2.9000000000000001E-2</v>
      </c>
      <c r="I15" s="15">
        <f t="shared" ref="I15:I25" si="12">+(1+H15)*(1+I14)-1</f>
        <v>5.544529999999992E-2</v>
      </c>
      <c r="J15" s="15">
        <f t="shared" si="4"/>
        <v>0.1629493543551892</v>
      </c>
      <c r="K15" s="13">
        <f>(1+J15)/(1+MAX(J$2:J15))-1</f>
        <v>0</v>
      </c>
      <c r="L15" s="20">
        <v>3.2599999999999997E-2</v>
      </c>
      <c r="M15" s="15">
        <f t="shared" ref="M15:M25" si="13">+(1+L15)*(1+M14)-1</f>
        <v>2.6610919999999982E-2</v>
      </c>
      <c r="N15" s="15">
        <f t="shared" si="6"/>
        <v>0.32448513868212014</v>
      </c>
      <c r="O15" s="13">
        <f>(1+N15)/(1+MAX(N$2:N15))-1</f>
        <v>0</v>
      </c>
      <c r="P15" s="124"/>
      <c r="Q15" s="20">
        <f t="shared" si="7"/>
        <v>3.5999999999999997E-2</v>
      </c>
      <c r="R15" s="15">
        <f t="shared" ref="R15:R25" si="14">+(1+Q15)*(1+R14)-1</f>
        <v>5.8802360000000053E-2</v>
      </c>
      <c r="S15" s="15">
        <f t="shared" si="9"/>
        <v>0.24253184981847986</v>
      </c>
      <c r="T15" s="15">
        <f>(1+S15)/(1+MAX(S$2:S15))-1</f>
        <v>0</v>
      </c>
      <c r="U15" s="58">
        <f t="shared" si="10"/>
        <v>1242.5318498184797</v>
      </c>
      <c r="V15" s="137"/>
      <c r="W15" s="70"/>
      <c r="X15" s="70"/>
      <c r="Y15" s="70"/>
      <c r="Z15" s="70"/>
    </row>
    <row r="16" spans="1:31" s="61" customFormat="1" outlineLevel="1" x14ac:dyDescent="0.3">
      <c r="A16" s="61" t="s">
        <v>663</v>
      </c>
      <c r="B16" s="55" t="str">
        <f t="shared" si="0"/>
        <v>2017-3</v>
      </c>
      <c r="C16" s="121">
        <v>42795</v>
      </c>
      <c r="D16" s="20">
        <v>-1.21E-2</v>
      </c>
      <c r="E16" s="15">
        <f t="shared" si="11"/>
        <v>7.2519937802000056E-2</v>
      </c>
      <c r="F16" s="15">
        <f t="shared" si="2"/>
        <v>0.20103970069949995</v>
      </c>
      <c r="G16" s="13">
        <f>(1+F16)/(1+MAX(F$2:F16))-1</f>
        <v>-4.3330312114464475E-2</v>
      </c>
      <c r="H16" s="20">
        <v>7.4000000000000003E-3</v>
      </c>
      <c r="I16" s="15">
        <f t="shared" si="12"/>
        <v>6.3255595220000016E-2</v>
      </c>
      <c r="J16" s="15">
        <f t="shared" si="4"/>
        <v>0.17155517957741773</v>
      </c>
      <c r="K16" s="13">
        <f>(1+J16)/(1+MAX(J$2:J16))-1</f>
        <v>0</v>
      </c>
      <c r="L16" s="20">
        <v>-1.7000000000000001E-2</v>
      </c>
      <c r="M16" s="15">
        <f t="shared" si="13"/>
        <v>9.1585343600000257E-3</v>
      </c>
      <c r="N16" s="15">
        <f t="shared" si="6"/>
        <v>0.30196889132452398</v>
      </c>
      <c r="O16" s="13">
        <f>(1+N16)/(1+MAX(N$2:N16))-1</f>
        <v>-1.7000000000000126E-2</v>
      </c>
      <c r="P16" s="124"/>
      <c r="Q16" s="20">
        <f t="shared" si="7"/>
        <v>-7.7200000000000012E-3</v>
      </c>
      <c r="R16" s="15">
        <f t="shared" si="14"/>
        <v>5.062840578080019E-2</v>
      </c>
      <c r="S16" s="15">
        <f t="shared" si="9"/>
        <v>0.23293950393788121</v>
      </c>
      <c r="T16" s="15">
        <f>(1+S16)/(1+MAX(S$2:S16))-1</f>
        <v>-7.7199999999999491E-3</v>
      </c>
      <c r="U16" s="58">
        <f t="shared" si="10"/>
        <v>1232.939503937881</v>
      </c>
      <c r="V16" s="137"/>
      <c r="W16" s="70"/>
      <c r="X16" s="70"/>
      <c r="Y16" s="70"/>
      <c r="Z16" s="70"/>
    </row>
    <row r="17" spans="1:26" s="61" customFormat="1" outlineLevel="1" x14ac:dyDescent="0.3">
      <c r="A17" s="61" t="s">
        <v>663</v>
      </c>
      <c r="B17" s="55" t="str">
        <f t="shared" si="0"/>
        <v>2017-4</v>
      </c>
      <c r="C17" s="121">
        <v>42826</v>
      </c>
      <c r="D17" s="20">
        <v>1E-4</v>
      </c>
      <c r="E17" s="15">
        <f t="shared" si="11"/>
        <v>7.26271897957802E-2</v>
      </c>
      <c r="F17" s="15">
        <f t="shared" si="2"/>
        <v>0.20115980466956995</v>
      </c>
      <c r="G17" s="13">
        <f>(1+F17)/(1+MAX(F$2:F17))-1</f>
        <v>-4.3234645145675876E-2</v>
      </c>
      <c r="H17" s="20">
        <v>1.06E-2</v>
      </c>
      <c r="I17" s="15">
        <f t="shared" si="12"/>
        <v>7.4526104529331949E-2</v>
      </c>
      <c r="J17" s="15">
        <f t="shared" si="4"/>
        <v>0.18397366448093821</v>
      </c>
      <c r="K17" s="13">
        <f>(1+J17)/(1+MAX(J$2:J17))-1</f>
        <v>0</v>
      </c>
      <c r="L17" s="20">
        <v>-1.2200000000000001E-2</v>
      </c>
      <c r="M17" s="15">
        <f t="shared" si="13"/>
        <v>-3.153199759191927E-3</v>
      </c>
      <c r="N17" s="15">
        <f t="shared" si="6"/>
        <v>0.28608487085036471</v>
      </c>
      <c r="O17" s="13">
        <f>(1+N17)/(1+MAX(N$2:N17))-1</f>
        <v>-2.8992600000000146E-2</v>
      </c>
      <c r="P17" s="124"/>
      <c r="Q17" s="20">
        <f t="shared" si="7"/>
        <v>-4.3999999999999985E-4</v>
      </c>
      <c r="R17" s="15">
        <f t="shared" si="14"/>
        <v>5.0166129282256611E-2</v>
      </c>
      <c r="S17" s="15">
        <f t="shared" si="9"/>
        <v>0.23239701055614859</v>
      </c>
      <c r="T17" s="15">
        <f>(1+S17)/(1+MAX(S$2:S17))-1</f>
        <v>-8.1566032000000011E-3</v>
      </c>
      <c r="U17" s="58">
        <f t="shared" si="10"/>
        <v>1232.3970105561484</v>
      </c>
      <c r="V17" s="137"/>
      <c r="W17" s="70"/>
      <c r="X17" s="70"/>
      <c r="Y17" s="70"/>
      <c r="Z17" s="70"/>
    </row>
    <row r="18" spans="1:26" s="61" customFormat="1" outlineLevel="1" x14ac:dyDescent="0.3">
      <c r="A18" s="61" t="s">
        <v>663</v>
      </c>
      <c r="B18" s="55" t="str">
        <f t="shared" si="0"/>
        <v>2017-5</v>
      </c>
      <c r="C18" s="121">
        <v>42856</v>
      </c>
      <c r="D18" s="20">
        <v>-2.8299999999999999E-2</v>
      </c>
      <c r="E18" s="15">
        <f t="shared" si="11"/>
        <v>4.2271840324559662E-2</v>
      </c>
      <c r="F18" s="15">
        <f t="shared" si="2"/>
        <v>0.1671669821974211</v>
      </c>
      <c r="G18" s="13">
        <f>(1+F18)/(1+MAX(F$2:F18))-1</f>
        <v>-7.031110468805335E-2</v>
      </c>
      <c r="H18" s="20">
        <v>1.1999999999999999E-3</v>
      </c>
      <c r="I18" s="15">
        <f t="shared" si="12"/>
        <v>7.5815535854767191E-2</v>
      </c>
      <c r="J18" s="15">
        <f t="shared" si="4"/>
        <v>0.18539443287831547</v>
      </c>
      <c r="K18" s="13">
        <f>(1+J18)/(1+MAX(J$2:J18))-1</f>
        <v>0</v>
      </c>
      <c r="L18" s="20">
        <v>-5.0299999999999997E-2</v>
      </c>
      <c r="M18" s="15">
        <f t="shared" si="13"/>
        <v>-5.3294593811304636E-2</v>
      </c>
      <c r="N18" s="15">
        <f t="shared" si="6"/>
        <v>0.22139480184659144</v>
      </c>
      <c r="O18" s="13">
        <f>(1+N18)/(1+MAX(N$2:N18))-1</f>
        <v>-7.7834272220000056E-2</v>
      </c>
      <c r="P18" s="124"/>
      <c r="Q18" s="20">
        <f t="shared" si="7"/>
        <v>-2.605E-2</v>
      </c>
      <c r="R18" s="15">
        <f t="shared" si="14"/>
        <v>2.2809301614453714E-2</v>
      </c>
      <c r="S18" s="15">
        <f t="shared" si="9"/>
        <v>0.20029306843116079</v>
      </c>
      <c r="T18" s="15">
        <f>(1+S18)/(1+MAX(S$2:S18))-1</f>
        <v>-3.399412368664001E-2</v>
      </c>
      <c r="U18" s="58">
        <f t="shared" si="10"/>
        <v>1200.2930684311607</v>
      </c>
      <c r="V18" s="137"/>
      <c r="W18" s="70"/>
      <c r="X18" s="70"/>
      <c r="Y18" s="70"/>
      <c r="Z18" s="70"/>
    </row>
    <row r="19" spans="1:26" s="61" customFormat="1" outlineLevel="1" x14ac:dyDescent="0.3">
      <c r="A19" s="61" t="s">
        <v>663</v>
      </c>
      <c r="B19" s="55" t="str">
        <f t="shared" si="0"/>
        <v>2017-6</v>
      </c>
      <c r="C19" s="121">
        <v>42887</v>
      </c>
      <c r="D19" s="20">
        <v>-4.4400000000000002E-2</v>
      </c>
      <c r="E19" s="15">
        <f t="shared" si="11"/>
        <v>-4.005029385850789E-3</v>
      </c>
      <c r="F19" s="15">
        <f t="shared" si="2"/>
        <v>0.11534476818785566</v>
      </c>
      <c r="G19" s="13">
        <f>(1+F19)/(1+MAX(F$2:F19))-1</f>
        <v>-0.11158929163990372</v>
      </c>
      <c r="H19" s="20">
        <v>-1.6E-2</v>
      </c>
      <c r="I19" s="15">
        <f t="shared" si="12"/>
        <v>5.8602487281090854E-2</v>
      </c>
      <c r="J19" s="15">
        <f t="shared" si="4"/>
        <v>0.16642812195226231</v>
      </c>
      <c r="K19" s="13">
        <f>(1+J19)/(1+MAX(J$2:J19))-1</f>
        <v>-1.6000000000000125E-2</v>
      </c>
      <c r="L19" s="20">
        <v>0</v>
      </c>
      <c r="M19" s="15">
        <f t="shared" si="13"/>
        <v>-5.3294593811304636E-2</v>
      </c>
      <c r="N19" s="15">
        <f t="shared" si="6"/>
        <v>0.22139480184659144</v>
      </c>
      <c r="O19" s="13">
        <f>(1+N19)/(1+MAX(N$2:N19))-1</f>
        <v>-7.7834272220000056E-2</v>
      </c>
      <c r="P19" s="124"/>
      <c r="Q19" s="20">
        <f t="shared" si="7"/>
        <v>-2.256E-2</v>
      </c>
      <c r="R19" s="15">
        <f t="shared" si="14"/>
        <v>-2.6527622996841416E-4</v>
      </c>
      <c r="S19" s="15">
        <f t="shared" si="9"/>
        <v>0.1732144568073537</v>
      </c>
      <c r="T19" s="15">
        <f>(1+S19)/(1+MAX(S$2:S19))-1</f>
        <v>-5.5787216256269589E-2</v>
      </c>
      <c r="U19" s="58">
        <f t="shared" si="10"/>
        <v>1173.2144568073536</v>
      </c>
      <c r="V19" s="137"/>
      <c r="W19" s="70"/>
      <c r="X19" s="70"/>
      <c r="Y19" s="70"/>
      <c r="Z19" s="70"/>
    </row>
    <row r="20" spans="1:26" s="61" customFormat="1" outlineLevel="1" x14ac:dyDescent="0.3">
      <c r="A20" s="61" t="s">
        <v>663</v>
      </c>
      <c r="B20" s="55" t="str">
        <f t="shared" si="0"/>
        <v>2017-7</v>
      </c>
      <c r="C20" s="121">
        <v>42917</v>
      </c>
      <c r="D20" s="20">
        <v>-3.2000000000000002E-3</v>
      </c>
      <c r="E20" s="15">
        <f t="shared" si="11"/>
        <v>-7.1922132918160742E-3</v>
      </c>
      <c r="F20" s="15">
        <f t="shared" si="2"/>
        <v>0.11177566492965463</v>
      </c>
      <c r="G20" s="13">
        <f>(1+F20)/(1+MAX(F$2:F20))-1</f>
        <v>-0.11443220590665593</v>
      </c>
      <c r="H20" s="20">
        <v>-6.9999999999999999E-4</v>
      </c>
      <c r="I20" s="15">
        <f t="shared" si="12"/>
        <v>5.786146553999405E-2</v>
      </c>
      <c r="J20" s="15">
        <f t="shared" si="4"/>
        <v>0.16561162226689574</v>
      </c>
      <c r="K20" s="13">
        <f>(1+J20)/(1+MAX(J$2:J20))-1</f>
        <v>-1.6688800000000059E-2</v>
      </c>
      <c r="L20" s="20">
        <v>-1.6799999999999999E-2</v>
      </c>
      <c r="M20" s="15">
        <f t="shared" si="13"/>
        <v>-6.9199244635274715E-2</v>
      </c>
      <c r="N20" s="15">
        <f t="shared" si="6"/>
        <v>0.2008753691755687</v>
      </c>
      <c r="O20" s="13">
        <f>(1+N20)/(1+MAX(N$2:N20))-1</f>
        <v>-9.3326656446704126E-2</v>
      </c>
      <c r="P20" s="124"/>
      <c r="Q20" s="20">
        <f t="shared" si="7"/>
        <v>-6.5299999999999993E-3</v>
      </c>
      <c r="R20" s="15">
        <f t="shared" si="14"/>
        <v>-6.7935439761868111E-3</v>
      </c>
      <c r="S20" s="15">
        <f t="shared" si="9"/>
        <v>0.16555336640440155</v>
      </c>
      <c r="T20" s="15">
        <f>(1+S20)/(1+MAX(S$2:S20))-1</f>
        <v>-6.195292573411626E-2</v>
      </c>
      <c r="U20" s="58">
        <f t="shared" si="10"/>
        <v>1165.5533664044015</v>
      </c>
      <c r="V20" s="137"/>
      <c r="W20" s="70"/>
      <c r="X20" s="70"/>
      <c r="Y20" s="70"/>
      <c r="Z20" s="70"/>
    </row>
    <row r="21" spans="1:26" s="61" customFormat="1" outlineLevel="1" x14ac:dyDescent="0.3">
      <c r="A21" s="61" t="s">
        <v>663</v>
      </c>
      <c r="B21" s="55" t="str">
        <f t="shared" si="0"/>
        <v>2017-8</v>
      </c>
      <c r="C21" s="121">
        <v>42948</v>
      </c>
      <c r="D21" s="20">
        <v>2.81E-2</v>
      </c>
      <c r="E21" s="15">
        <f t="shared" si="11"/>
        <v>2.070568551468388E-2</v>
      </c>
      <c r="F21" s="15">
        <f t="shared" si="2"/>
        <v>0.14301656111417804</v>
      </c>
      <c r="G21" s="13">
        <f>(1+F21)/(1+MAX(F$2:F21))-1</f>
        <v>-8.9547750892632894E-2</v>
      </c>
      <c r="H21" s="20">
        <v>-2.8E-3</v>
      </c>
      <c r="I21" s="15">
        <f t="shared" si="12"/>
        <v>5.4899453436481949E-2</v>
      </c>
      <c r="J21" s="15">
        <f t="shared" si="4"/>
        <v>0.16234790972454838</v>
      </c>
      <c r="K21" s="13">
        <f>(1+J21)/(1+MAX(J$2:J21))-1</f>
        <v>-1.9442071360000091E-2</v>
      </c>
      <c r="L21" s="20">
        <v>-2.64E-2</v>
      </c>
      <c r="M21" s="15">
        <f t="shared" si="13"/>
        <v>-9.37723845769034E-2</v>
      </c>
      <c r="N21" s="15">
        <f t="shared" si="6"/>
        <v>0.16917225942933367</v>
      </c>
      <c r="O21" s="13">
        <f>(1+N21)/(1+MAX(N$2:N21))-1</f>
        <v>-0.11726283271651106</v>
      </c>
      <c r="P21" s="124"/>
      <c r="Q21" s="20">
        <f t="shared" si="7"/>
        <v>2.4799999999999996E-3</v>
      </c>
      <c r="R21" s="15">
        <f t="shared" si="14"/>
        <v>-4.3303919652477596E-3</v>
      </c>
      <c r="S21" s="15">
        <f t="shared" si="9"/>
        <v>0.1684439387530845</v>
      </c>
      <c r="T21" s="15">
        <f>(1+S21)/(1+MAX(S$2:S21))-1</f>
        <v>-5.962656898993679E-2</v>
      </c>
      <c r="U21" s="58">
        <f t="shared" si="10"/>
        <v>1168.4439387530845</v>
      </c>
      <c r="V21" s="137"/>
      <c r="W21" s="70"/>
      <c r="X21" s="70"/>
      <c r="Y21" s="70"/>
      <c r="Z21" s="70"/>
    </row>
    <row r="22" spans="1:26" s="61" customFormat="1" outlineLevel="1" x14ac:dyDescent="0.3">
      <c r="A22" s="61" t="s">
        <v>663</v>
      </c>
      <c r="B22" s="55" t="str">
        <f t="shared" si="0"/>
        <v>2017-9</v>
      </c>
      <c r="C22" s="121">
        <v>42979</v>
      </c>
      <c r="D22" s="20">
        <v>-2.3099999999999999E-2</v>
      </c>
      <c r="E22" s="15">
        <f t="shared" si="11"/>
        <v>-2.8726158207053043E-3</v>
      </c>
      <c r="F22" s="15">
        <f t="shared" si="2"/>
        <v>0.11661287855244051</v>
      </c>
      <c r="G22" s="13">
        <f>(1+F22)/(1+MAX(F$2:F22))-1</f>
        <v>-0.11057919784701309</v>
      </c>
      <c r="H22" s="20">
        <v>2.76E-2</v>
      </c>
      <c r="I22" s="15">
        <f t="shared" si="12"/>
        <v>8.401467835132892E-2</v>
      </c>
      <c r="J22" s="15">
        <f t="shared" si="4"/>
        <v>0.19442871203294598</v>
      </c>
      <c r="K22" s="13">
        <f>(1+J22)/(1+MAX(J$2:J22))-1</f>
        <v>0</v>
      </c>
      <c r="L22" s="20">
        <v>5.8999999999999997E-2</v>
      </c>
      <c r="M22" s="15">
        <f t="shared" si="13"/>
        <v>-4.0304955266940778E-2</v>
      </c>
      <c r="N22" s="15">
        <f t="shared" si="6"/>
        <v>0.23815342273566431</v>
      </c>
      <c r="O22" s="13">
        <f>(1+N22)/(1+MAX(N$2:N22))-1</f>
        <v>-6.5181339846785313E-2</v>
      </c>
      <c r="P22" s="124"/>
      <c r="Q22" s="20">
        <f t="shared" si="7"/>
        <v>1.6739999999999998E-2</v>
      </c>
      <c r="R22" s="15">
        <f t="shared" si="14"/>
        <v>1.2337117273254039E-2</v>
      </c>
      <c r="S22" s="15">
        <f t="shared" si="9"/>
        <v>0.18800369028781105</v>
      </c>
      <c r="T22" s="15">
        <f>(1+S22)/(1+MAX(S$2:S22))-1</f>
        <v>-4.3884717754828384E-2</v>
      </c>
      <c r="U22" s="58">
        <f t="shared" si="10"/>
        <v>1188.003690287811</v>
      </c>
      <c r="V22" s="137"/>
      <c r="W22" s="70"/>
      <c r="X22" s="70"/>
      <c r="Y22" s="70"/>
      <c r="Z22" s="70"/>
    </row>
    <row r="23" spans="1:26" s="61" customFormat="1" outlineLevel="1" x14ac:dyDescent="0.3">
      <c r="A23" s="61" t="s">
        <v>663</v>
      </c>
      <c r="B23" s="55" t="str">
        <f t="shared" si="0"/>
        <v>2017-10</v>
      </c>
      <c r="C23" s="121">
        <v>43009</v>
      </c>
      <c r="D23" s="20">
        <v>2.8999999999999998E-3</v>
      </c>
      <c r="E23" s="15">
        <f t="shared" si="11"/>
        <v>1.9053593414586345E-5</v>
      </c>
      <c r="F23" s="15">
        <f t="shared" si="2"/>
        <v>0.11985105590024259</v>
      </c>
      <c r="G23" s="13">
        <f>(1+F23)/(1+MAX(F$2:F23))-1</f>
        <v>-0.10799987752076945</v>
      </c>
      <c r="H23" s="20">
        <v>4.3799999999999999E-2</v>
      </c>
      <c r="I23" s="15">
        <f t="shared" si="12"/>
        <v>0.13149452126311711</v>
      </c>
      <c r="J23" s="15">
        <f t="shared" si="4"/>
        <v>0.24674468961998919</v>
      </c>
      <c r="K23" s="13">
        <f>(1+J23)/(1+MAX(J$2:J23))-1</f>
        <v>0</v>
      </c>
      <c r="L23" s="20">
        <v>1.9900000000000001E-2</v>
      </c>
      <c r="M23" s="15">
        <f t="shared" si="13"/>
        <v>-2.1207023876752884E-2</v>
      </c>
      <c r="N23" s="15">
        <f t="shared" si="6"/>
        <v>0.26279267584810406</v>
      </c>
      <c r="O23" s="13">
        <f>(1+N23)/(1+MAX(N$2:N23))-1</f>
        <v>-4.6578448509736359E-2</v>
      </c>
      <c r="P23" s="124"/>
      <c r="Q23" s="20">
        <f t="shared" si="7"/>
        <v>2.027E-2</v>
      </c>
      <c r="R23" s="15">
        <f t="shared" si="14"/>
        <v>3.2857190640382949E-2</v>
      </c>
      <c r="S23" s="15">
        <f t="shared" si="9"/>
        <v>0.21208452508994502</v>
      </c>
      <c r="T23" s="15">
        <f>(1+S23)/(1+MAX(S$2:S23))-1</f>
        <v>-2.4504260983718718E-2</v>
      </c>
      <c r="U23" s="58">
        <f t="shared" si="10"/>
        <v>1212.0845250899449</v>
      </c>
      <c r="V23" s="137"/>
      <c r="W23" s="70"/>
      <c r="X23" s="70"/>
      <c r="Y23" s="70"/>
      <c r="Z23" s="70"/>
    </row>
    <row r="24" spans="1:26" s="61" customFormat="1" outlineLevel="1" x14ac:dyDescent="0.3">
      <c r="A24" s="61" t="s">
        <v>663</v>
      </c>
      <c r="B24" s="55" t="str">
        <f t="shared" si="0"/>
        <v>2017-11</v>
      </c>
      <c r="C24" s="121">
        <v>43040</v>
      </c>
      <c r="D24" s="20">
        <v>-1.3599999999999999E-2</v>
      </c>
      <c r="E24" s="15">
        <f t="shared" si="11"/>
        <v>-1.3581205535455831E-2</v>
      </c>
      <c r="F24" s="15">
        <f t="shared" si="2"/>
        <v>0.10462108153999927</v>
      </c>
      <c r="G24" s="13">
        <f>(1+F24)/(1+MAX(F$2:F24))-1</f>
        <v>-0.12013107918648691</v>
      </c>
      <c r="H24" s="20">
        <v>-5.7000000000000002E-3</v>
      </c>
      <c r="I24" s="15">
        <f t="shared" si="12"/>
        <v>0.12504500249191741</v>
      </c>
      <c r="J24" s="15">
        <f t="shared" si="4"/>
        <v>0.23963824488915519</v>
      </c>
      <c r="K24" s="13">
        <f>(1+J24)/(1+MAX(J$2:J24))-1</f>
        <v>-5.7000000000000384E-3</v>
      </c>
      <c r="L24" s="20">
        <v>1.41E-2</v>
      </c>
      <c r="M24" s="15">
        <f t="shared" si="13"/>
        <v>-7.4060429134150674E-3</v>
      </c>
      <c r="N24" s="15">
        <f t="shared" si="6"/>
        <v>0.28059805257756243</v>
      </c>
      <c r="O24" s="13">
        <f>(1+N24)/(1+MAX(N$2:N24))-1</f>
        <v>-3.3135204633723547E-2</v>
      </c>
      <c r="P24" s="124"/>
      <c r="Q24" s="20">
        <f t="shared" si="7"/>
        <v>-2.9200000000000007E-3</v>
      </c>
      <c r="R24" s="15">
        <f t="shared" si="14"/>
        <v>2.9841247643713098E-2</v>
      </c>
      <c r="S24" s="15">
        <f t="shared" si="9"/>
        <v>0.20854523827668237</v>
      </c>
      <c r="T24" s="15">
        <f>(1+S24)/(1+MAX(S$2:S24))-1</f>
        <v>-2.7352708541646287E-2</v>
      </c>
      <c r="U24" s="58">
        <f t="shared" si="10"/>
        <v>1208.5452382766823</v>
      </c>
      <c r="V24" s="137"/>
      <c r="W24" s="70"/>
      <c r="X24" s="70"/>
      <c r="Y24" s="70"/>
      <c r="Z24" s="70"/>
    </row>
    <row r="25" spans="1:26" s="27" customFormat="1" ht="15" thickBot="1" x14ac:dyDescent="0.35">
      <c r="A25" s="27" t="s">
        <v>663</v>
      </c>
      <c r="B25" s="63" t="str">
        <f t="shared" si="0"/>
        <v>2017-12</v>
      </c>
      <c r="C25" s="122">
        <v>43070</v>
      </c>
      <c r="D25" s="32">
        <v>1.3599999999999999E-2</v>
      </c>
      <c r="E25" s="25">
        <f t="shared" si="11"/>
        <v>-1.6590993073795079E-4</v>
      </c>
      <c r="F25" s="25">
        <f t="shared" si="2"/>
        <v>0.11964392824894343</v>
      </c>
      <c r="G25" s="26">
        <f>(1+F25)/(1+MAX(F$2:F25))-1</f>
        <v>-0.108164861863423</v>
      </c>
      <c r="H25" s="32">
        <v>5.7999999999999996E-3</v>
      </c>
      <c r="I25" s="25">
        <f t="shared" si="12"/>
        <v>0.13157026350637047</v>
      </c>
      <c r="J25" s="25">
        <f t="shared" si="4"/>
        <v>0.24682814670951236</v>
      </c>
      <c r="K25" s="26">
        <f>(1+J25)/(1+MAX(J$2:J25))-1</f>
        <v>0</v>
      </c>
      <c r="L25" s="32">
        <v>-2.5999999999999999E-3</v>
      </c>
      <c r="M25" s="25">
        <f t="shared" si="13"/>
        <v>-9.9867872018402082E-3</v>
      </c>
      <c r="N25" s="25">
        <f t="shared" si="6"/>
        <v>0.27726849764086081</v>
      </c>
      <c r="O25" s="26">
        <f>(1+N25)/(1+MAX(N$2:N25))-1</f>
        <v>-3.5649053101675765E-2</v>
      </c>
      <c r="P25" s="125"/>
      <c r="Q25" s="32">
        <f t="shared" si="7"/>
        <v>6.4000000000000003E-3</v>
      </c>
      <c r="R25" s="25">
        <f t="shared" si="14"/>
        <v>3.6432231628632739E-2</v>
      </c>
      <c r="S25" s="25">
        <f t="shared" si="9"/>
        <v>0.21627992780165317</v>
      </c>
      <c r="T25" s="25">
        <f>(1+S25)/(1+MAX(S$2:S25))-1</f>
        <v>-2.1127765876312821E-2</v>
      </c>
      <c r="U25" s="66">
        <f t="shared" si="10"/>
        <v>1216.279927801653</v>
      </c>
      <c r="V25" s="138"/>
      <c r="W25" s="139"/>
      <c r="X25" s="139"/>
      <c r="Y25" s="139"/>
      <c r="Z25" s="139"/>
    </row>
    <row r="26" spans="1:26" s="54" customFormat="1" outlineLevel="1" x14ac:dyDescent="0.3">
      <c r="A26" s="54" t="s">
        <v>664</v>
      </c>
      <c r="B26" s="48" t="str">
        <f t="shared" si="0"/>
        <v>2018-1</v>
      </c>
      <c r="C26" s="120">
        <v>43101</v>
      </c>
      <c r="D26" s="10">
        <v>-6.1999999999999998E-3</v>
      </c>
      <c r="E26" s="5">
        <f>+D26</f>
        <v>-6.1999999999999998E-3</v>
      </c>
      <c r="F26" s="5">
        <f t="shared" si="2"/>
        <v>0.11270213589380007</v>
      </c>
      <c r="G26" s="3">
        <f>(1+F26)/(1+MAX(F$2:F26))-1</f>
        <v>-0.11369423971986969</v>
      </c>
      <c r="H26" s="10">
        <v>1.9199999999999998E-2</v>
      </c>
      <c r="I26" s="5">
        <f>+H26</f>
        <v>1.9199999999999998E-2</v>
      </c>
      <c r="J26" s="5">
        <f t="shared" si="4"/>
        <v>0.27076724712633515</v>
      </c>
      <c r="K26" s="3">
        <f>(1+J26)/(1+MAX(J$2:J26))-1</f>
        <v>0</v>
      </c>
      <c r="L26" s="10">
        <v>-1.8599999999999998E-2</v>
      </c>
      <c r="M26" s="5">
        <f>+L26</f>
        <v>-1.8599999999999998E-2</v>
      </c>
      <c r="N26" s="5">
        <f t="shared" si="6"/>
        <v>0.25351130358474094</v>
      </c>
      <c r="O26" s="3">
        <f>(1+N26)/(1+MAX(N$2:N26))-1</f>
        <v>-5.3585980713984571E-2</v>
      </c>
      <c r="P26" s="124"/>
      <c r="Q26" s="10">
        <f t="shared" si="7"/>
        <v>-2.2999999999999995E-3</v>
      </c>
      <c r="R26" s="5">
        <f>+Q26</f>
        <v>-2.2999999999999995E-3</v>
      </c>
      <c r="S26" s="5">
        <f t="shared" si="9"/>
        <v>0.21348248396770941</v>
      </c>
      <c r="T26" s="5">
        <f>(1+S26)/(1+MAX(S$2:S26))-1</f>
        <v>-2.3379172014797223E-2</v>
      </c>
      <c r="U26" s="51">
        <f t="shared" si="10"/>
        <v>1213.4824839677092</v>
      </c>
      <c r="V26" s="137"/>
      <c r="W26" s="70"/>
      <c r="X26" s="70"/>
      <c r="Y26" s="70"/>
      <c r="Z26" s="70"/>
    </row>
    <row r="27" spans="1:26" s="61" customFormat="1" outlineLevel="1" x14ac:dyDescent="0.3">
      <c r="A27" s="61" t="s">
        <v>664</v>
      </c>
      <c r="B27" s="55" t="str">
        <f t="shared" si="0"/>
        <v>2018-2</v>
      </c>
      <c r="C27" s="121">
        <v>43132</v>
      </c>
      <c r="D27" s="20">
        <v>-5.7999999999999996E-3</v>
      </c>
      <c r="E27" s="15">
        <f t="shared" ref="E27:E90" si="15">+(1+D27)*(1+E26)-1</f>
        <v>-1.1964040000000065E-2</v>
      </c>
      <c r="F27" s="15">
        <f t="shared" si="2"/>
        <v>0.10624846350561601</v>
      </c>
      <c r="G27" s="13">
        <f>(1+F27)/(1+MAX(F$2:F27))-1</f>
        <v>-0.11883481312949451</v>
      </c>
      <c r="H27" s="20">
        <v>-2.9700000000000001E-2</v>
      </c>
      <c r="I27" s="15">
        <f t="shared" ref="I27:I90" si="16">+(1+H27)*(1+I26)-1</f>
        <v>-1.1070239999999898E-2</v>
      </c>
      <c r="J27" s="15">
        <f t="shared" si="4"/>
        <v>0.233025459886683</v>
      </c>
      <c r="K27" s="13">
        <f>(1+J27)/(1+MAX(J$2:J27))-1</f>
        <v>-2.9699999999999949E-2</v>
      </c>
      <c r="L27" s="20">
        <v>-3.3500000000000002E-2</v>
      </c>
      <c r="M27" s="15">
        <f t="shared" ref="M27:M37" si="17">+(1+L27)*(1+M26)-1</f>
        <v>-5.1476899999999937E-2</v>
      </c>
      <c r="N27" s="15">
        <f t="shared" si="6"/>
        <v>0.21151867491465226</v>
      </c>
      <c r="O27" s="13">
        <f>(1+N27)/(1+MAX(N$2:N27))-1</f>
        <v>-8.5290850360065895E-2</v>
      </c>
      <c r="P27" s="124"/>
      <c r="Q27" s="20">
        <f t="shared" si="7"/>
        <v>-2.128E-2</v>
      </c>
      <c r="R27" s="15">
        <f t="shared" ref="R27:R37" si="18">+(1+Q27)*(1+R26)-1</f>
        <v>-2.3531055999999939E-2</v>
      </c>
      <c r="S27" s="15">
        <f t="shared" si="9"/>
        <v>0.18765957670887667</v>
      </c>
      <c r="T27" s="15">
        <f>(1+S27)/(1+MAX(S$2:S27))-1</f>
        <v>-4.4161663234322246E-2</v>
      </c>
      <c r="U27" s="58">
        <f t="shared" si="10"/>
        <v>1187.6595767088763</v>
      </c>
      <c r="V27" s="137"/>
      <c r="W27" s="70"/>
      <c r="X27" s="70"/>
      <c r="Y27" s="70"/>
      <c r="Z27" s="70"/>
    </row>
    <row r="28" spans="1:26" s="61" customFormat="1" outlineLevel="1" x14ac:dyDescent="0.3">
      <c r="A28" s="61" t="s">
        <v>664</v>
      </c>
      <c r="B28" s="55" t="str">
        <f t="shared" si="0"/>
        <v>2018-3</v>
      </c>
      <c r="C28" s="121">
        <v>43160</v>
      </c>
      <c r="D28" s="20">
        <v>-1E-3</v>
      </c>
      <c r="E28" s="15">
        <f t="shared" si="15"/>
        <v>-1.2952075960000031E-2</v>
      </c>
      <c r="F28" s="15">
        <f t="shared" si="2"/>
        <v>0.10514221504211041</v>
      </c>
      <c r="G28" s="13">
        <f>(1+F28)/(1+MAX(F$2:F28))-1</f>
        <v>-0.11971597831636505</v>
      </c>
      <c r="H28" s="20">
        <v>-1.5299999999999999E-2</v>
      </c>
      <c r="I28" s="15">
        <f t="shared" si="16"/>
        <v>-2.6200865327999923E-2</v>
      </c>
      <c r="J28" s="15">
        <f t="shared" si="4"/>
        <v>0.21416017035041679</v>
      </c>
      <c r="K28" s="13">
        <f>(1+J28)/(1+MAX(J$2:J28))-1</f>
        <v>-4.4545589999999913E-2</v>
      </c>
      <c r="L28" s="20">
        <v>1.6000000000000001E-3</v>
      </c>
      <c r="M28" s="15">
        <f t="shared" si="17"/>
        <v>-4.9959263039999868E-2</v>
      </c>
      <c r="N28" s="15">
        <f t="shared" si="6"/>
        <v>0.21345710479451574</v>
      </c>
      <c r="O28" s="13">
        <f>(1+N28)/(1+MAX(N$2:N28))-1</f>
        <v>-8.3827315720642059E-2</v>
      </c>
      <c r="P28" s="124"/>
      <c r="Q28" s="20">
        <f t="shared" si="7"/>
        <v>-4.5099999999999993E-3</v>
      </c>
      <c r="R28" s="15">
        <f t="shared" si="18"/>
        <v>-2.7934930937439928E-2</v>
      </c>
      <c r="S28" s="15">
        <f t="shared" si="9"/>
        <v>0.18230323201791965</v>
      </c>
      <c r="T28" s="15">
        <f>(1+S28)/(1+MAX(S$2:S28))-1</f>
        <v>-4.847249413313548E-2</v>
      </c>
      <c r="U28" s="58">
        <f t="shared" si="10"/>
        <v>1182.3032320179193</v>
      </c>
      <c r="V28" s="137"/>
      <c r="W28" s="70"/>
      <c r="X28" s="70"/>
      <c r="Y28" s="70"/>
      <c r="Z28" s="70"/>
    </row>
    <row r="29" spans="1:26" s="61" customFormat="1" outlineLevel="1" x14ac:dyDescent="0.3">
      <c r="A29" s="61" t="s">
        <v>664</v>
      </c>
      <c r="B29" s="55" t="str">
        <f t="shared" si="0"/>
        <v>2018-4</v>
      </c>
      <c r="C29" s="121">
        <v>43191</v>
      </c>
      <c r="D29" s="20">
        <v>6.7000000000000002E-3</v>
      </c>
      <c r="E29" s="15">
        <f t="shared" si="15"/>
        <v>-6.3388548689321533E-3</v>
      </c>
      <c r="F29" s="15">
        <f t="shared" si="2"/>
        <v>0.11254666788289236</v>
      </c>
      <c r="G29" s="13">
        <f>(1+F29)/(1+MAX(F$2:F29))-1</f>
        <v>-0.11381807537108479</v>
      </c>
      <c r="H29" s="20">
        <v>1.4800000000000001E-2</v>
      </c>
      <c r="I29" s="15">
        <f t="shared" si="16"/>
        <v>-1.1788638134854423E-2</v>
      </c>
      <c r="J29" s="15">
        <f t="shared" si="4"/>
        <v>0.23212974087160276</v>
      </c>
      <c r="K29" s="13">
        <f>(1+J29)/(1+MAX(J$2:J29))-1</f>
        <v>-3.0404864732000103E-2</v>
      </c>
      <c r="L29" s="20">
        <v>1.95E-2</v>
      </c>
      <c r="M29" s="15">
        <f t="shared" si="17"/>
        <v>-3.1433468669279763E-2</v>
      </c>
      <c r="N29" s="15">
        <f t="shared" si="6"/>
        <v>0.23711951833800882</v>
      </c>
      <c r="O29" s="13">
        <f>(1+N29)/(1+MAX(N$2:N29))-1</f>
        <v>-6.596194837719449E-2</v>
      </c>
      <c r="P29" s="124"/>
      <c r="Q29" s="20">
        <f t="shared" si="7"/>
        <v>1.2970000000000001E-2</v>
      </c>
      <c r="R29" s="15">
        <f t="shared" si="18"/>
        <v>-1.5327246991698629E-2</v>
      </c>
      <c r="S29" s="15">
        <f t="shared" si="9"/>
        <v>0.19763770493719202</v>
      </c>
      <c r="T29" s="15">
        <f>(1+S29)/(1+MAX(S$2:S29))-1</f>
        <v>-3.6131182382042271E-2</v>
      </c>
      <c r="U29" s="58">
        <f t="shared" si="10"/>
        <v>1197.6377049371915</v>
      </c>
      <c r="V29" s="137"/>
      <c r="W29" s="70"/>
      <c r="X29" s="70"/>
      <c r="Y29" s="70"/>
      <c r="Z29" s="70"/>
    </row>
    <row r="30" spans="1:26" s="61" customFormat="1" outlineLevel="1" x14ac:dyDescent="0.3">
      <c r="A30" s="61" t="s">
        <v>664</v>
      </c>
      <c r="B30" s="55" t="str">
        <f t="shared" si="0"/>
        <v>2018-5</v>
      </c>
      <c r="C30" s="121">
        <v>43221</v>
      </c>
      <c r="D30" s="20">
        <v>2.5899999999999999E-2</v>
      </c>
      <c r="E30" s="15">
        <f t="shared" si="15"/>
        <v>1.9396968789962443E-2</v>
      </c>
      <c r="F30" s="15">
        <f t="shared" si="2"/>
        <v>0.14136162658105933</v>
      </c>
      <c r="G30" s="13">
        <f>(1+F30)/(1+MAX(F$2:F30))-1</f>
        <v>-9.086596352319587E-2</v>
      </c>
      <c r="H30" s="20">
        <v>5.0599999999999999E-2</v>
      </c>
      <c r="I30" s="15">
        <f t="shared" si="16"/>
        <v>3.8214856775521833E-2</v>
      </c>
      <c r="J30" s="15">
        <f t="shared" si="4"/>
        <v>0.29447550575970594</v>
      </c>
      <c r="K30" s="13">
        <f>(1+J30)/(1+MAX(J$2:J30))-1</f>
        <v>0</v>
      </c>
      <c r="L30" s="20">
        <v>8.5800000000000001E-2</v>
      </c>
      <c r="M30" s="15">
        <f t="shared" si="17"/>
        <v>5.1669539718896207E-2</v>
      </c>
      <c r="N30" s="15">
        <f t="shared" si="6"/>
        <v>0.34326437301141</v>
      </c>
      <c r="O30" s="13">
        <f>(1+N30)/(1+MAX(N$2:N30))-1</f>
        <v>0</v>
      </c>
      <c r="P30" s="124"/>
      <c r="Q30" s="20">
        <f t="shared" si="7"/>
        <v>5.1279999999999999E-2</v>
      </c>
      <c r="R30" s="15">
        <f t="shared" si="18"/>
        <v>3.5166771782566997E-2</v>
      </c>
      <c r="S30" s="15">
        <f t="shared" si="9"/>
        <v>0.2590525664463712</v>
      </c>
      <c r="T30" s="15">
        <f>(1+S30)/(1+MAX(S$2:S30))-1</f>
        <v>0</v>
      </c>
      <c r="U30" s="58">
        <f t="shared" si="10"/>
        <v>1259.0525664463707</v>
      </c>
      <c r="V30" s="137"/>
      <c r="W30" s="70"/>
      <c r="X30" s="70"/>
      <c r="Y30" s="70"/>
      <c r="Z30" s="70"/>
    </row>
    <row r="31" spans="1:26" s="61" customFormat="1" outlineLevel="1" x14ac:dyDescent="0.3">
      <c r="A31" s="61" t="s">
        <v>664</v>
      </c>
      <c r="B31" s="55" t="str">
        <f t="shared" si="0"/>
        <v>2018-6</v>
      </c>
      <c r="C31" s="121">
        <v>43252</v>
      </c>
      <c r="D31" s="20">
        <v>-2.6599999999999999E-2</v>
      </c>
      <c r="E31" s="15">
        <f t="shared" si="15"/>
        <v>-7.7189905798504821E-3</v>
      </c>
      <c r="F31" s="15">
        <f t="shared" si="2"/>
        <v>0.1110014073140031</v>
      </c>
      <c r="G31" s="13">
        <f>(1+F31)/(1+MAX(F$2:F31))-1</f>
        <v>-0.11504892889347884</v>
      </c>
      <c r="H31" s="20">
        <v>1.6999999999999999E-3</v>
      </c>
      <c r="I31" s="15">
        <f t="shared" si="16"/>
        <v>3.9979822032040202E-2</v>
      </c>
      <c r="J31" s="15">
        <f t="shared" si="4"/>
        <v>0.29667611411949757</v>
      </c>
      <c r="K31" s="13">
        <f>(1+J31)/(1+MAX(J$2:J31))-1</f>
        <v>0</v>
      </c>
      <c r="L31" s="20">
        <v>1.26E-2</v>
      </c>
      <c r="M31" s="15">
        <f t="shared" si="17"/>
        <v>6.4920575919354295E-2</v>
      </c>
      <c r="N31" s="15">
        <f t="shared" si="6"/>
        <v>0.36018950411135364</v>
      </c>
      <c r="O31" s="13">
        <f>(1+N31)/(1+MAX(N$2:N31))-1</f>
        <v>0</v>
      </c>
      <c r="P31" s="124"/>
      <c r="Q31" s="20">
        <f t="shared" si="7"/>
        <v>-6.3499999999999997E-3</v>
      </c>
      <c r="R31" s="15">
        <f t="shared" si="18"/>
        <v>2.8593462781747681E-2</v>
      </c>
      <c r="S31" s="15">
        <f t="shared" si="9"/>
        <v>0.25105758264943678</v>
      </c>
      <c r="T31" s="15">
        <f>(1+S31)/(1+MAX(S$2:S31))-1</f>
        <v>-6.3499999999999668E-3</v>
      </c>
      <c r="U31" s="58">
        <f t="shared" si="10"/>
        <v>1251.0575826494364</v>
      </c>
      <c r="V31" s="137"/>
      <c r="W31" s="70"/>
      <c r="X31" s="70"/>
      <c r="Y31" s="70"/>
      <c r="Z31" s="70"/>
    </row>
    <row r="32" spans="1:26" s="61" customFormat="1" outlineLevel="1" x14ac:dyDescent="0.3">
      <c r="A32" s="61" t="s">
        <v>664</v>
      </c>
      <c r="B32" s="55" t="str">
        <f t="shared" si="0"/>
        <v>2018-7</v>
      </c>
      <c r="C32" s="121">
        <v>43282</v>
      </c>
      <c r="D32" s="20">
        <v>-3.5299999999999998E-2</v>
      </c>
      <c r="E32" s="15">
        <f t="shared" si="15"/>
        <v>-4.2746510212381739E-2</v>
      </c>
      <c r="F32" s="15">
        <f t="shared" si="2"/>
        <v>7.1783057635818714E-2</v>
      </c>
      <c r="G32" s="13">
        <f>(1+F32)/(1+MAX(F$2:F32))-1</f>
        <v>-0.14628770170353911</v>
      </c>
      <c r="H32" s="20">
        <v>1.6199999999999999E-2</v>
      </c>
      <c r="I32" s="15">
        <f t="shared" si="16"/>
        <v>5.6827495148959351E-2</v>
      </c>
      <c r="J32" s="15">
        <f t="shared" si="4"/>
        <v>0.31768226716823333</v>
      </c>
      <c r="K32" s="13">
        <f>(1+J32)/(1+MAX(J$2:J32))-1</f>
        <v>0</v>
      </c>
      <c r="L32" s="20">
        <v>1.26E-2</v>
      </c>
      <c r="M32" s="15">
        <f t="shared" si="17"/>
        <v>7.8338575175938008E-2</v>
      </c>
      <c r="N32" s="15">
        <f t="shared" si="6"/>
        <v>0.37732789186315663</v>
      </c>
      <c r="O32" s="13">
        <f>(1+N32)/(1+MAX(N$2:N32))-1</f>
        <v>0</v>
      </c>
      <c r="P32" s="124"/>
      <c r="Q32" s="20">
        <f t="shared" si="7"/>
        <v>-5.4800000000000005E-3</v>
      </c>
      <c r="R32" s="15">
        <f t="shared" si="18"/>
        <v>2.2956770605703669E-2</v>
      </c>
      <c r="S32" s="15">
        <f t="shared" si="9"/>
        <v>0.24420178709651785</v>
      </c>
      <c r="T32" s="15">
        <f>(1+S32)/(1+MAX(S$2:S32))-1</f>
        <v>-1.1795201999999949E-2</v>
      </c>
      <c r="U32" s="58">
        <f t="shared" si="10"/>
        <v>1244.2017870965174</v>
      </c>
      <c r="V32" s="137"/>
      <c r="W32" s="70"/>
      <c r="X32" s="70"/>
      <c r="Y32" s="70"/>
      <c r="Z32" s="70"/>
    </row>
    <row r="33" spans="1:26" s="61" customFormat="1" outlineLevel="1" x14ac:dyDescent="0.3">
      <c r="A33" s="61" t="s">
        <v>664</v>
      </c>
      <c r="B33" s="55" t="str">
        <f t="shared" si="0"/>
        <v>2018-8</v>
      </c>
      <c r="C33" s="121">
        <v>43313</v>
      </c>
      <c r="D33" s="20">
        <v>-1.6899999999999998E-2</v>
      </c>
      <c r="E33" s="15">
        <f t="shared" si="15"/>
        <v>-5.8924094189792497E-2</v>
      </c>
      <c r="F33" s="15">
        <f t="shared" si="2"/>
        <v>5.366992396177328E-2</v>
      </c>
      <c r="G33" s="13">
        <f>(1+F33)/(1+MAX(F$2:F33))-1</f>
        <v>-0.16071543954474943</v>
      </c>
      <c r="H33" s="20">
        <v>1.2E-2</v>
      </c>
      <c r="I33" s="15">
        <f t="shared" si="16"/>
        <v>6.9509425090746868E-2</v>
      </c>
      <c r="J33" s="15">
        <f t="shared" si="4"/>
        <v>0.33349445437425218</v>
      </c>
      <c r="K33" s="13">
        <f>(1+J33)/(1+MAX(J$2:J33))-1</f>
        <v>0</v>
      </c>
      <c r="L33" s="20">
        <v>2.8000000000000001E-2</v>
      </c>
      <c r="M33" s="15">
        <f t="shared" si="17"/>
        <v>0.1085320552808644</v>
      </c>
      <c r="N33" s="15">
        <f t="shared" si="6"/>
        <v>0.41589307283532495</v>
      </c>
      <c r="O33" s="13">
        <f>(1+N33)/(1+MAX(N$2:N33))-1</f>
        <v>0</v>
      </c>
      <c r="P33" s="124"/>
      <c r="Q33" s="20">
        <f t="shared" si="7"/>
        <v>5.2399999999999999E-3</v>
      </c>
      <c r="R33" s="15">
        <f t="shared" si="18"/>
        <v>2.8317064083677401E-2</v>
      </c>
      <c r="S33" s="15">
        <f t="shared" si="9"/>
        <v>0.25072140446090341</v>
      </c>
      <c r="T33" s="15">
        <f>(1+S33)/(1+MAX(S$2:S33))-1</f>
        <v>-6.6170088584801556E-3</v>
      </c>
      <c r="U33" s="58">
        <f t="shared" si="10"/>
        <v>1250.7214044609029</v>
      </c>
      <c r="V33" s="137"/>
      <c r="W33" s="70"/>
      <c r="X33" s="70"/>
      <c r="Y33" s="70"/>
      <c r="Z33" s="70"/>
    </row>
    <row r="34" spans="1:26" s="61" customFormat="1" outlineLevel="1" x14ac:dyDescent="0.3">
      <c r="A34" s="61" t="s">
        <v>664</v>
      </c>
      <c r="B34" s="55" t="str">
        <f t="shared" si="0"/>
        <v>2018-9</v>
      </c>
      <c r="C34" s="121">
        <v>43344</v>
      </c>
      <c r="D34" s="20">
        <v>-3.8E-3</v>
      </c>
      <c r="E34" s="15">
        <f t="shared" si="15"/>
        <v>-6.2500182631871293E-2</v>
      </c>
      <c r="F34" s="15">
        <f t="shared" si="2"/>
        <v>4.9665978250718501E-2</v>
      </c>
      <c r="G34" s="13">
        <f>(1+F34)/(1+MAX(F$2:F34))-1</f>
        <v>-0.16390472087447938</v>
      </c>
      <c r="H34" s="20">
        <v>-4.0000000000000002E-4</v>
      </c>
      <c r="I34" s="15">
        <f t="shared" si="16"/>
        <v>6.9081621320710607E-2</v>
      </c>
      <c r="J34" s="15">
        <f t="shared" si="4"/>
        <v>0.33296105659250252</v>
      </c>
      <c r="K34" s="13">
        <f>(1+J34)/(1+MAX(J$2:J34))-1</f>
        <v>-3.9999999999995595E-4</v>
      </c>
      <c r="L34" s="20">
        <v>-1.5100000000000001E-2</v>
      </c>
      <c r="M34" s="15">
        <f t="shared" si="17"/>
        <v>9.1793221246123435E-2</v>
      </c>
      <c r="N34" s="15">
        <f t="shared" si="6"/>
        <v>0.39451308743551161</v>
      </c>
      <c r="O34" s="13">
        <f>(1+N34)/(1+MAX(N$2:N34))-1</f>
        <v>-1.5100000000000002E-2</v>
      </c>
      <c r="P34" s="124"/>
      <c r="Q34" s="20">
        <f t="shared" si="7"/>
        <v>-6.1700000000000001E-3</v>
      </c>
      <c r="R34" s="15">
        <f t="shared" si="18"/>
        <v>2.1972347798281167E-2</v>
      </c>
      <c r="S34" s="15">
        <f t="shared" si="9"/>
        <v>0.24300445339537968</v>
      </c>
      <c r="T34" s="15">
        <f>(1+S34)/(1+MAX(S$2:S34))-1</f>
        <v>-1.2746181913823262E-2</v>
      </c>
      <c r="U34" s="58">
        <f t="shared" si="10"/>
        <v>1243.0044533953792</v>
      </c>
      <c r="V34" s="137"/>
      <c r="W34" s="70"/>
      <c r="X34" s="70"/>
      <c r="Y34" s="70"/>
      <c r="Z34" s="70"/>
    </row>
    <row r="35" spans="1:26" s="61" customFormat="1" outlineLevel="1" x14ac:dyDescent="0.3">
      <c r="A35" s="61" t="s">
        <v>664</v>
      </c>
      <c r="B35" s="55" t="str">
        <f t="shared" si="0"/>
        <v>2018-10</v>
      </c>
      <c r="C35" s="121">
        <v>43374</v>
      </c>
      <c r="D35" s="20">
        <v>4.7199999999999999E-2</v>
      </c>
      <c r="E35" s="15">
        <f t="shared" si="15"/>
        <v>-1.8250191252095704E-2</v>
      </c>
      <c r="F35" s="15">
        <f t="shared" si="2"/>
        <v>9.9210212424152289E-2</v>
      </c>
      <c r="G35" s="13">
        <f>(1+F35)/(1+MAX(F$2:F35))-1</f>
        <v>-0.12444102369975496</v>
      </c>
      <c r="H35" s="20">
        <v>-5.74E-2</v>
      </c>
      <c r="I35" s="15">
        <f t="shared" si="16"/>
        <v>7.7163362569017124E-3</v>
      </c>
      <c r="J35" s="15">
        <f t="shared" si="4"/>
        <v>0.25644909194409293</v>
      </c>
      <c r="K35" s="13">
        <f>(1+J35)/(1+MAX(J$2:J35))-1</f>
        <v>-5.7777039999999946E-2</v>
      </c>
      <c r="L35" s="20">
        <v>-6.6699999999999995E-2</v>
      </c>
      <c r="M35" s="15">
        <f t="shared" si="17"/>
        <v>1.8970613389007074E-2</v>
      </c>
      <c r="N35" s="15">
        <f t="shared" si="6"/>
        <v>0.30149906450356312</v>
      </c>
      <c r="O35" s="13">
        <f>(1+N35)/(1+MAX(N$2:N35))-1</f>
        <v>-8.0792829999999816E-2</v>
      </c>
      <c r="P35" s="124"/>
      <c r="Q35" s="20">
        <f t="shared" si="7"/>
        <v>-1.8349999999999995E-2</v>
      </c>
      <c r="R35" s="15">
        <f t="shared" si="18"/>
        <v>3.2191552161826564E-3</v>
      </c>
      <c r="S35" s="15">
        <f t="shared" si="9"/>
        <v>0.22019532167557454</v>
      </c>
      <c r="T35" s="15">
        <f>(1+S35)/(1+MAX(S$2:S35))-1</f>
        <v>-3.0862289475704574E-2</v>
      </c>
      <c r="U35" s="58">
        <f t="shared" si="10"/>
        <v>1220.195321675574</v>
      </c>
      <c r="V35" s="137"/>
      <c r="W35" s="70"/>
      <c r="X35" s="70"/>
      <c r="Y35" s="70"/>
      <c r="Z35" s="70"/>
    </row>
    <row r="36" spans="1:26" s="61" customFormat="1" outlineLevel="1" x14ac:dyDescent="0.3">
      <c r="A36" s="61" t="s">
        <v>664</v>
      </c>
      <c r="B36" s="55" t="str">
        <f t="shared" si="0"/>
        <v>2018-11</v>
      </c>
      <c r="C36" s="121">
        <v>43405</v>
      </c>
      <c r="D36" s="20">
        <v>-6.9999999999999999E-4</v>
      </c>
      <c r="E36" s="15">
        <f t="shared" si="15"/>
        <v>-1.8937416118219308E-2</v>
      </c>
      <c r="F36" s="15">
        <f t="shared" si="2"/>
        <v>9.8440765275455311E-2</v>
      </c>
      <c r="G36" s="13">
        <f>(1+F36)/(1+MAX(F$2:F36))-1</f>
        <v>-0.12505391498316509</v>
      </c>
      <c r="H36" s="20">
        <v>1.72E-2</v>
      </c>
      <c r="I36" s="15">
        <f t="shared" si="16"/>
        <v>2.5049057240520423E-2</v>
      </c>
      <c r="J36" s="15">
        <f t="shared" si="4"/>
        <v>0.27806001632553157</v>
      </c>
      <c r="K36" s="13">
        <f>(1+J36)/(1+MAX(J$2:J36))-1</f>
        <v>-4.1570805087999707E-2</v>
      </c>
      <c r="L36" s="20">
        <v>1.9699999999999999E-2</v>
      </c>
      <c r="M36" s="15">
        <f t="shared" si="17"/>
        <v>3.904433447277067E-2</v>
      </c>
      <c r="N36" s="15">
        <f t="shared" si="6"/>
        <v>0.32713859607428342</v>
      </c>
      <c r="O36" s="13">
        <f>(1+N36)/(1+MAX(N$2:N36))-1</f>
        <v>-6.2684448750999766E-2</v>
      </c>
      <c r="P36" s="124"/>
      <c r="Q36" s="20">
        <f t="shared" si="7"/>
        <v>1.0789999999999999E-2</v>
      </c>
      <c r="R36" s="15">
        <f t="shared" si="18"/>
        <v>1.4043889900965389E-2</v>
      </c>
      <c r="S36" s="15">
        <f t="shared" si="9"/>
        <v>0.23336122919645419</v>
      </c>
      <c r="T36" s="15">
        <f>(1+S36)/(1+MAX(S$2:S36))-1</f>
        <v>-2.0405293579147221E-2</v>
      </c>
      <c r="U36" s="58">
        <f t="shared" si="10"/>
        <v>1233.3612291964535</v>
      </c>
      <c r="V36" s="137"/>
      <c r="W36" s="70"/>
      <c r="X36" s="70"/>
      <c r="Y36" s="70"/>
      <c r="Z36" s="70"/>
    </row>
    <row r="37" spans="1:26" s="27" customFormat="1" ht="15" thickBot="1" x14ac:dyDescent="0.35">
      <c r="A37" s="27" t="s">
        <v>664</v>
      </c>
      <c r="B37" s="63" t="str">
        <f t="shared" si="0"/>
        <v>2018-12</v>
      </c>
      <c r="C37" s="122">
        <v>43435</v>
      </c>
      <c r="D37" s="32">
        <v>4.5199999999999997E-2</v>
      </c>
      <c r="E37" s="25">
        <f t="shared" si="15"/>
        <v>2.5406612673237072E-2</v>
      </c>
      <c r="F37" s="25">
        <f t="shared" si="2"/>
        <v>0.14809028786590583</v>
      </c>
      <c r="G37" s="26">
        <f>(1+F37)/(1+MAX(F$2:F37))-1</f>
        <v>-8.5506351940404235E-2</v>
      </c>
      <c r="H37" s="32">
        <v>-7.1000000000000004E-3</v>
      </c>
      <c r="I37" s="25">
        <f t="shared" si="16"/>
        <v>1.7771208934112659E-2</v>
      </c>
      <c r="J37" s="25">
        <f t="shared" si="4"/>
        <v>0.26898579020962021</v>
      </c>
      <c r="K37" s="26">
        <f>(1+J37)/(1+MAX(J$2:J37))-1</f>
        <v>-4.8375652371875022E-2</v>
      </c>
      <c r="L37" s="32">
        <v>-0.1182</v>
      </c>
      <c r="M37" s="25">
        <f t="shared" si="17"/>
        <v>-8.3770705861910821E-2</v>
      </c>
      <c r="N37" s="25">
        <f t="shared" si="6"/>
        <v>0.17027081401830313</v>
      </c>
      <c r="O37" s="26">
        <f>(1+N37)/(1+MAX(N$2:N37))-1</f>
        <v>-0.17347514690863164</v>
      </c>
      <c r="P37" s="125"/>
      <c r="Q37" s="32">
        <f t="shared" si="7"/>
        <v>-1.951E-2</v>
      </c>
      <c r="R37" s="25">
        <f t="shared" si="18"/>
        <v>-5.7401063910024197E-3</v>
      </c>
      <c r="S37" s="25">
        <f t="shared" si="9"/>
        <v>0.20929835161483124</v>
      </c>
      <c r="T37" s="25">
        <f>(1+S37)/(1+MAX(S$2:S37))-1</f>
        <v>-3.9517186301418206E-2</v>
      </c>
      <c r="U37" s="66">
        <f t="shared" si="10"/>
        <v>1209.2983516148306</v>
      </c>
      <c r="V37" s="138"/>
      <c r="W37" s="139"/>
      <c r="X37" s="139"/>
      <c r="Y37" s="139"/>
      <c r="Z37" s="139"/>
    </row>
    <row r="38" spans="1:26" s="54" customFormat="1" outlineLevel="1" x14ac:dyDescent="0.3">
      <c r="A38" s="54" t="s">
        <v>664</v>
      </c>
      <c r="B38" s="48" t="str">
        <f t="shared" si="0"/>
        <v>2019-1</v>
      </c>
      <c r="C38" s="120">
        <v>43466</v>
      </c>
      <c r="D38" s="10">
        <v>2.4199999999999999E-2</v>
      </c>
      <c r="E38" s="5">
        <f>+D38</f>
        <v>2.4199999999999999E-2</v>
      </c>
      <c r="F38" s="5">
        <f t="shared" si="2"/>
        <v>0.17587407283226075</v>
      </c>
      <c r="G38" s="3">
        <f>(1+F38)/(1+MAX(F$2:F38))-1</f>
        <v>-6.3375605657362E-2</v>
      </c>
      <c r="H38" s="10">
        <v>7.7399999999999997E-2</v>
      </c>
      <c r="I38" s="5">
        <f>+H38</f>
        <v>7.7399999999999997E-2</v>
      </c>
      <c r="J38" s="5">
        <f t="shared" si="4"/>
        <v>0.36720529037184479</v>
      </c>
      <c r="K38" s="3">
        <f>(1+J38)/(1+MAX(J$2:J38))-1</f>
        <v>0</v>
      </c>
      <c r="L38" s="10">
        <v>0.1076</v>
      </c>
      <c r="M38" s="5">
        <f>+L38</f>
        <v>0.1076</v>
      </c>
      <c r="N38" s="5">
        <f t="shared" si="6"/>
        <v>0.29619195360667239</v>
      </c>
      <c r="O38" s="3">
        <f>(1+N38)/(1+MAX(N$2:N38))-1</f>
        <v>-8.4541072716000421E-2</v>
      </c>
      <c r="P38" s="124"/>
      <c r="Q38" s="10">
        <f t="shared" si="7"/>
        <v>6.5179999999999988E-2</v>
      </c>
      <c r="R38" s="5">
        <f>+Q38</f>
        <v>6.5179999999999988E-2</v>
      </c>
      <c r="S38" s="5">
        <f t="shared" si="9"/>
        <v>0.28812041817308587</v>
      </c>
      <c r="T38" s="5">
        <f>(1+S38)/(1+MAX(S$2:S38))-1</f>
        <v>0</v>
      </c>
      <c r="U38" s="51">
        <f t="shared" si="10"/>
        <v>1288.1204181730852</v>
      </c>
      <c r="V38" s="137"/>
      <c r="W38" s="70"/>
      <c r="X38" s="70"/>
      <c r="Y38" s="70"/>
      <c r="Z38" s="70"/>
    </row>
    <row r="39" spans="1:26" s="61" customFormat="1" outlineLevel="1" x14ac:dyDescent="0.3">
      <c r="A39" s="61" t="s">
        <v>664</v>
      </c>
      <c r="B39" s="55" t="str">
        <f t="shared" si="0"/>
        <v>2019-2</v>
      </c>
      <c r="C39" s="121">
        <v>43497</v>
      </c>
      <c r="D39" s="20">
        <v>4.7000000000000002E-3</v>
      </c>
      <c r="E39" s="15">
        <f t="shared" si="15"/>
        <v>2.9013739999999899E-2</v>
      </c>
      <c r="F39" s="15">
        <f t="shared" si="2"/>
        <v>0.18140068097457229</v>
      </c>
      <c r="G39" s="13">
        <f>(1+F39)/(1+MAX(F$2:F39))-1</f>
        <v>-5.8973471003951672E-2</v>
      </c>
      <c r="H39" s="20">
        <v>3.8199999999999998E-2</v>
      </c>
      <c r="I39" s="15">
        <f t="shared" si="16"/>
        <v>0.11855667999999997</v>
      </c>
      <c r="J39" s="15">
        <f t="shared" si="4"/>
        <v>0.41943253246404932</v>
      </c>
      <c r="K39" s="13">
        <f>(1+J39)/(1+MAX(J$2:J39))-1</f>
        <v>0</v>
      </c>
      <c r="L39" s="20">
        <v>4.9299999999999997E-2</v>
      </c>
      <c r="M39" s="15">
        <f t="shared" ref="M39:M97" si="19">+(1+L39)*(1+M38)-1</f>
        <v>0.16220467999999988</v>
      </c>
      <c r="N39" s="15">
        <f t="shared" si="6"/>
        <v>0.36009421691948118</v>
      </c>
      <c r="O39" s="13">
        <f>(1+N39)/(1+MAX(N$2:N39))-1</f>
        <v>-3.9408947600899413E-2</v>
      </c>
      <c r="P39" s="124"/>
      <c r="Q39" s="20">
        <f t="shared" si="7"/>
        <v>2.8129999999999995E-2</v>
      </c>
      <c r="R39" s="15">
        <f t="shared" ref="R39:R49" si="20">+(1+Q39)*(1+R38)-1</f>
        <v>9.5143513400000046E-2</v>
      </c>
      <c r="S39" s="15">
        <f t="shared" si="9"/>
        <v>0.3243552455362948</v>
      </c>
      <c r="T39" s="15">
        <f>(1+S39)/(1+MAX(S$2:S39))-1</f>
        <v>0</v>
      </c>
      <c r="U39" s="58">
        <f t="shared" si="10"/>
        <v>1324.3552455362942</v>
      </c>
      <c r="V39" s="137"/>
      <c r="W39" s="70"/>
      <c r="X39" s="70"/>
      <c r="Y39" s="70"/>
      <c r="Z39" s="70"/>
    </row>
    <row r="40" spans="1:26" s="61" customFormat="1" outlineLevel="1" x14ac:dyDescent="0.3">
      <c r="A40" s="61" t="s">
        <v>664</v>
      </c>
      <c r="B40" s="55" t="str">
        <f t="shared" si="0"/>
        <v>2019-3</v>
      </c>
      <c r="C40" s="121">
        <v>43525</v>
      </c>
      <c r="D40" s="20">
        <v>-2.7000000000000001E-3</v>
      </c>
      <c r="E40" s="15">
        <f t="shared" si="15"/>
        <v>2.6235402901999771E-2</v>
      </c>
      <c r="F40" s="15">
        <f t="shared" si="2"/>
        <v>0.17821089913594101</v>
      </c>
      <c r="G40" s="13">
        <f>(1+F40)/(1+MAX(F$2:F40))-1</f>
        <v>-6.1514242632241034E-2</v>
      </c>
      <c r="H40" s="20">
        <v>2.8299999999999999E-2</v>
      </c>
      <c r="I40" s="15">
        <f t="shared" si="16"/>
        <v>0.15021183404399996</v>
      </c>
      <c r="J40" s="15">
        <f t="shared" si="4"/>
        <v>0.45960247313278191</v>
      </c>
      <c r="K40" s="13">
        <f>(1+J40)/(1+MAX(J$2:J40))-1</f>
        <v>0</v>
      </c>
      <c r="L40" s="20">
        <v>-6.4000000000000003E-3</v>
      </c>
      <c r="M40" s="15">
        <f t="shared" si="19"/>
        <v>0.15476657004799987</v>
      </c>
      <c r="N40" s="15">
        <f t="shared" si="6"/>
        <v>0.3513896139311965</v>
      </c>
      <c r="O40" s="13">
        <f>(1+N40)/(1+MAX(N$2:N40))-1</f>
        <v>-4.5556730336253626E-2</v>
      </c>
      <c r="P40" s="124"/>
      <c r="Q40" s="20">
        <f t="shared" si="7"/>
        <v>5.4899999999999992E-3</v>
      </c>
      <c r="R40" s="15">
        <f t="shared" si="20"/>
        <v>0.10115585128856597</v>
      </c>
      <c r="S40" s="15">
        <f t="shared" si="9"/>
        <v>0.33162595583428911</v>
      </c>
      <c r="T40" s="15">
        <f>(1+S40)/(1+MAX(S$2:S40))-1</f>
        <v>0</v>
      </c>
      <c r="U40" s="58">
        <f t="shared" si="10"/>
        <v>1331.6259558342886</v>
      </c>
      <c r="V40" s="137"/>
      <c r="W40" s="70"/>
      <c r="X40" s="70"/>
      <c r="Y40" s="70"/>
      <c r="Z40" s="70"/>
    </row>
    <row r="41" spans="1:26" s="61" customFormat="1" outlineLevel="1" x14ac:dyDescent="0.3">
      <c r="A41" s="61" t="s">
        <v>664</v>
      </c>
      <c r="B41" s="55" t="str">
        <f t="shared" si="0"/>
        <v>2019-4</v>
      </c>
      <c r="C41" s="121">
        <v>43556</v>
      </c>
      <c r="D41" s="20">
        <v>-3.3E-3</v>
      </c>
      <c r="E41" s="15">
        <f t="shared" si="15"/>
        <v>2.2848826072423112E-2</v>
      </c>
      <c r="F41" s="15">
        <f t="shared" si="2"/>
        <v>0.17432280316879245</v>
      </c>
      <c r="G41" s="13">
        <f>(1+F41)/(1+MAX(F$2:F41))-1</f>
        <v>-6.4611245631554515E-2</v>
      </c>
      <c r="H41" s="20">
        <v>4.0899999999999999E-2</v>
      </c>
      <c r="I41" s="15">
        <f t="shared" si="16"/>
        <v>0.19725549805639941</v>
      </c>
      <c r="J41" s="15">
        <f t="shared" si="4"/>
        <v>0.51930021428391249</v>
      </c>
      <c r="K41" s="13">
        <f>(1+J41)/(1+MAX(J$2:J41))-1</f>
        <v>0</v>
      </c>
      <c r="L41" s="20">
        <v>4.3400000000000001E-2</v>
      </c>
      <c r="M41" s="15">
        <f t="shared" si="19"/>
        <v>0.20488343918808316</v>
      </c>
      <c r="N41" s="15">
        <f t="shared" si="6"/>
        <v>0.41003992317581051</v>
      </c>
      <c r="O41" s="13">
        <f>(1+N41)/(1+MAX(N$2:N41))-1</f>
        <v>-4.1338924328470084E-3</v>
      </c>
      <c r="P41" s="124"/>
      <c r="Q41" s="20">
        <f t="shared" si="7"/>
        <v>2.3969999999999998E-2</v>
      </c>
      <c r="R41" s="15">
        <f t="shared" si="20"/>
        <v>0.12755055704395302</v>
      </c>
      <c r="S41" s="15">
        <f t="shared" si="9"/>
        <v>0.36354502999563709</v>
      </c>
      <c r="T41" s="15">
        <f>(1+S41)/(1+MAX(S$2:S41))-1</f>
        <v>0</v>
      </c>
      <c r="U41" s="58">
        <f t="shared" si="10"/>
        <v>1363.5450299956365</v>
      </c>
      <c r="V41" s="137"/>
      <c r="W41" s="70"/>
      <c r="X41" s="70"/>
      <c r="Y41" s="70"/>
      <c r="Z41" s="70"/>
    </row>
    <row r="42" spans="1:26" s="61" customFormat="1" outlineLevel="1" x14ac:dyDescent="0.3">
      <c r="A42" s="61" t="s">
        <v>664</v>
      </c>
      <c r="B42" s="55" t="str">
        <f t="shared" si="0"/>
        <v>2019-5</v>
      </c>
      <c r="C42" s="121">
        <v>43586</v>
      </c>
      <c r="D42" s="20">
        <v>2.2800000000000001E-2</v>
      </c>
      <c r="E42" s="15">
        <f t="shared" si="15"/>
        <v>4.616977930687427E-2</v>
      </c>
      <c r="F42" s="15">
        <f t="shared" si="2"/>
        <v>0.20109736308104087</v>
      </c>
      <c r="G42" s="13">
        <f>(1+F42)/(1+MAX(F$2:F42))-1</f>
        <v>-4.3284382031954061E-2</v>
      </c>
      <c r="H42" s="20">
        <v>-4.9399999999999999E-2</v>
      </c>
      <c r="I42" s="15">
        <f t="shared" si="16"/>
        <v>0.13811107645241338</v>
      </c>
      <c r="J42" s="15">
        <f t="shared" si="4"/>
        <v>0.4442467836982873</v>
      </c>
      <c r="K42" s="13">
        <f>(1+J42)/(1+MAX(J$2:J42))-1</f>
        <v>-4.9399999999999888E-2</v>
      </c>
      <c r="L42" s="20">
        <v>-7.6300000000000007E-2</v>
      </c>
      <c r="M42" s="15">
        <f t="shared" si="19"/>
        <v>0.11295083277803242</v>
      </c>
      <c r="N42" s="15">
        <f t="shared" si="6"/>
        <v>0.30245387703749604</v>
      </c>
      <c r="O42" s="13">
        <f>(1+N42)/(1+MAX(N$2:N42))-1</f>
        <v>-8.0118476440220854E-2</v>
      </c>
      <c r="P42" s="124"/>
      <c r="Q42" s="20">
        <f t="shared" si="7"/>
        <v>-2.8589999999999997E-2</v>
      </c>
      <c r="R42" s="15">
        <f t="shared" si="20"/>
        <v>9.5313886618066501E-2</v>
      </c>
      <c r="S42" s="15">
        <f t="shared" si="9"/>
        <v>0.32456127758806175</v>
      </c>
      <c r="T42" s="15">
        <f>(1+S42)/(1+MAX(S$2:S42))-1</f>
        <v>-2.8590000000000004E-2</v>
      </c>
      <c r="U42" s="58">
        <f t="shared" si="10"/>
        <v>1324.5612775880613</v>
      </c>
      <c r="V42" s="137"/>
      <c r="W42" s="70"/>
      <c r="X42" s="70"/>
      <c r="Y42" s="70"/>
      <c r="Z42" s="70"/>
    </row>
    <row r="43" spans="1:26" s="61" customFormat="1" outlineLevel="1" x14ac:dyDescent="0.3">
      <c r="A43" s="61" t="s">
        <v>664</v>
      </c>
      <c r="B43" s="55" t="str">
        <f t="shared" si="0"/>
        <v>2019-6</v>
      </c>
      <c r="C43" s="121">
        <v>43617</v>
      </c>
      <c r="D43" s="20">
        <v>5.62E-2</v>
      </c>
      <c r="E43" s="15">
        <f t="shared" si="15"/>
        <v>0.10496452090392072</v>
      </c>
      <c r="F43" s="15">
        <f t="shared" si="2"/>
        <v>0.2685990348861953</v>
      </c>
      <c r="G43" s="13">
        <f>(1+F43)/(1+MAX(F$2:F43))-1</f>
        <v>0</v>
      </c>
      <c r="H43" s="20">
        <v>4.24E-2</v>
      </c>
      <c r="I43" s="15">
        <f t="shared" si="16"/>
        <v>0.1863669860939956</v>
      </c>
      <c r="J43" s="15">
        <f t="shared" si="4"/>
        <v>0.5054828473270947</v>
      </c>
      <c r="K43" s="13">
        <f>(1+J43)/(1+MAX(J$2:J43))-1</f>
        <v>-9.0945599999999738E-3</v>
      </c>
      <c r="L43" s="20">
        <v>4.4999999999999998E-2</v>
      </c>
      <c r="M43" s="15">
        <f t="shared" si="19"/>
        <v>0.1630336202530438</v>
      </c>
      <c r="N43" s="15">
        <f t="shared" si="6"/>
        <v>0.36106430150418323</v>
      </c>
      <c r="O43" s="13">
        <f>(1+N43)/(1+MAX(N$2:N43))-1</f>
        <v>-3.8723807880030936E-2</v>
      </c>
      <c r="P43" s="124"/>
      <c r="Q43" s="20">
        <f t="shared" si="7"/>
        <v>4.87E-2</v>
      </c>
      <c r="R43" s="15">
        <f t="shared" si="20"/>
        <v>0.14865567289636639</v>
      </c>
      <c r="S43" s="15">
        <f t="shared" si="9"/>
        <v>0.38906741180660021</v>
      </c>
      <c r="T43" s="15">
        <f>(1+S43)/(1+MAX(S$2:S43))-1</f>
        <v>0</v>
      </c>
      <c r="U43" s="58">
        <f t="shared" si="10"/>
        <v>1389.0674118065999</v>
      </c>
      <c r="V43" s="137"/>
      <c r="W43" s="70"/>
      <c r="X43" s="70"/>
      <c r="Y43" s="70"/>
    </row>
    <row r="44" spans="1:26" s="61" customFormat="1" outlineLevel="1" x14ac:dyDescent="0.3">
      <c r="A44" s="61" t="s">
        <v>664</v>
      </c>
      <c r="B44" s="55" t="str">
        <f t="shared" si="0"/>
        <v>2019-7</v>
      </c>
      <c r="C44" s="121">
        <v>43647</v>
      </c>
      <c r="D44" s="20">
        <v>2.0799999999999999E-2</v>
      </c>
      <c r="E44" s="15">
        <f t="shared" si="15"/>
        <v>0.12794778293872211</v>
      </c>
      <c r="F44" s="15">
        <f t="shared" si="2"/>
        <v>0.29498589481182802</v>
      </c>
      <c r="G44" s="13">
        <f>(1+F44)/(1+MAX(F$2:F44))-1</f>
        <v>0</v>
      </c>
      <c r="H44" s="20">
        <v>2.35E-2</v>
      </c>
      <c r="I44" s="15">
        <f t="shared" si="16"/>
        <v>0.21424661026720448</v>
      </c>
      <c r="J44" s="15">
        <f t="shared" si="4"/>
        <v>0.54086169423928143</v>
      </c>
      <c r="K44" s="13">
        <f>(1+J44)/(1+MAX(J$2:J44))-1</f>
        <v>0</v>
      </c>
      <c r="L44" s="20">
        <v>2.7300000000000001E-2</v>
      </c>
      <c r="M44" s="15">
        <f t="shared" si="19"/>
        <v>0.19478443808595203</v>
      </c>
      <c r="N44" s="15">
        <f t="shared" si="6"/>
        <v>0.39822135693524752</v>
      </c>
      <c r="O44" s="13">
        <f>(1+N44)/(1+MAX(N$2:N44))-1</f>
        <v>-1.2480967835155732E-2</v>
      </c>
      <c r="P44" s="124"/>
      <c r="Q44" s="20">
        <f t="shared" si="7"/>
        <v>2.3559999999999998E-2</v>
      </c>
      <c r="R44" s="15">
        <f t="shared" si="20"/>
        <v>0.17571800054980491</v>
      </c>
      <c r="S44" s="15">
        <f t="shared" si="9"/>
        <v>0.42179384002876374</v>
      </c>
      <c r="T44" s="15">
        <f>(1+S44)/(1+MAX(S$2:S44))-1</f>
        <v>0</v>
      </c>
      <c r="U44" s="58">
        <f t="shared" si="10"/>
        <v>1421.7938400287635</v>
      </c>
      <c r="V44" s="137"/>
      <c r="W44" s="70"/>
      <c r="X44" s="70"/>
      <c r="Y44" s="70"/>
    </row>
    <row r="45" spans="1:26" s="61" customFormat="1" outlineLevel="1" x14ac:dyDescent="0.3">
      <c r="A45" s="61" t="s">
        <v>664</v>
      </c>
      <c r="B45" s="55" t="str">
        <f t="shared" si="0"/>
        <v>2019-8</v>
      </c>
      <c r="C45" s="121">
        <v>43678</v>
      </c>
      <c r="D45" s="20">
        <v>8.6300000000000002E-2</v>
      </c>
      <c r="E45" s="15">
        <f t="shared" si="15"/>
        <v>0.22528967660633392</v>
      </c>
      <c r="F45" s="15">
        <f t="shared" si="2"/>
        <v>0.40674317753408884</v>
      </c>
      <c r="G45" s="13">
        <f>(1+F45)/(1+MAX(F$2:F45))-1</f>
        <v>0</v>
      </c>
      <c r="H45" s="20">
        <v>-1.37E-2</v>
      </c>
      <c r="I45" s="15">
        <f t="shared" si="16"/>
        <v>0.19761143170654383</v>
      </c>
      <c r="J45" s="15">
        <f t="shared" si="4"/>
        <v>0.51975188902820313</v>
      </c>
      <c r="K45" s="13">
        <f>(1+J45)/(1+MAX(J$2:J45))-1</f>
        <v>-1.3700000000000045E-2</v>
      </c>
      <c r="L45" s="20">
        <v>-4.6100000000000002E-2</v>
      </c>
      <c r="M45" s="15">
        <f t="shared" si="19"/>
        <v>0.13970487549018951</v>
      </c>
      <c r="N45" s="15">
        <f t="shared" si="6"/>
        <v>0.33376335238053256</v>
      </c>
      <c r="O45" s="13">
        <f>(1+N45)/(1+MAX(N$2:N45))-1</f>
        <v>-5.8005595217955008E-2</v>
      </c>
      <c r="P45" s="124"/>
      <c r="Q45" s="20">
        <f t="shared" si="7"/>
        <v>1.6580000000000004E-2</v>
      </c>
      <c r="R45" s="15">
        <f t="shared" si="20"/>
        <v>0.19521140499892065</v>
      </c>
      <c r="S45" s="15">
        <f t="shared" si="9"/>
        <v>0.44536718189644064</v>
      </c>
      <c r="T45" s="15">
        <f>(1+S45)/(1+MAX(S$2:S45))-1</f>
        <v>0</v>
      </c>
      <c r="U45" s="58">
        <f t="shared" si="10"/>
        <v>1445.3671818964403</v>
      </c>
      <c r="V45" s="137"/>
      <c r="W45" s="70"/>
      <c r="X45" s="70"/>
      <c r="Y45" s="70"/>
    </row>
    <row r="46" spans="1:26" s="61" customFormat="1" outlineLevel="1" x14ac:dyDescent="0.3">
      <c r="A46" s="61" t="s">
        <v>664</v>
      </c>
      <c r="B46" s="55" t="str">
        <f t="shared" si="0"/>
        <v>2019-9</v>
      </c>
      <c r="C46" s="121">
        <v>43709</v>
      </c>
      <c r="D46" s="20">
        <v>-2.1000000000000001E-2</v>
      </c>
      <c r="E46" s="15">
        <f t="shared" si="15"/>
        <v>0.19955859339760096</v>
      </c>
      <c r="F46" s="15">
        <f t="shared" si="2"/>
        <v>0.37720157080587291</v>
      </c>
      <c r="G46" s="13">
        <f>(1+F46)/(1+MAX(F$2:F46))-1</f>
        <v>-2.1000000000000019E-2</v>
      </c>
      <c r="H46" s="20">
        <v>2.29E-2</v>
      </c>
      <c r="I46" s="15">
        <f t="shared" si="16"/>
        <v>0.22503673349262354</v>
      </c>
      <c r="J46" s="15">
        <f t="shared" si="4"/>
        <v>0.55455420728694893</v>
      </c>
      <c r="K46" s="13">
        <f>(1+J46)/(1+MAX(J$2:J46))-1</f>
        <v>0</v>
      </c>
      <c r="L46" s="20">
        <v>5.0799999999999998E-2</v>
      </c>
      <c r="M46" s="15">
        <f t="shared" si="19"/>
        <v>0.19760188316509097</v>
      </c>
      <c r="N46" s="15">
        <f t="shared" si="6"/>
        <v>0.40151853068146348</v>
      </c>
      <c r="O46" s="13">
        <f>(1+N46)/(1+MAX(N$2:N46))-1</f>
        <v>-1.015227945502728E-2</v>
      </c>
      <c r="P46" s="124"/>
      <c r="Q46" s="20">
        <f t="shared" si="7"/>
        <v>1.3709999999999996E-2</v>
      </c>
      <c r="R46" s="15">
        <f t="shared" si="20"/>
        <v>0.2115977533614557</v>
      </c>
      <c r="S46" s="15">
        <f t="shared" si="9"/>
        <v>0.46518316596024079</v>
      </c>
      <c r="T46" s="15">
        <f>(1+S46)/(1+MAX(S$2:S46))-1</f>
        <v>0</v>
      </c>
      <c r="U46" s="58">
        <f t="shared" si="10"/>
        <v>1465.1831659602403</v>
      </c>
      <c r="V46" s="137"/>
      <c r="W46" s="70"/>
      <c r="X46" s="70"/>
      <c r="Y46" s="70"/>
    </row>
    <row r="47" spans="1:26" s="61" customFormat="1" outlineLevel="1" x14ac:dyDescent="0.3">
      <c r="A47" s="61" t="s">
        <v>664</v>
      </c>
      <c r="B47" s="55" t="str">
        <f t="shared" si="0"/>
        <v>2019-10</v>
      </c>
      <c r="C47" s="121">
        <v>43739</v>
      </c>
      <c r="D47" s="20">
        <v>6.1000000000000004E-3</v>
      </c>
      <c r="E47" s="15">
        <f t="shared" si="15"/>
        <v>0.20687590081732621</v>
      </c>
      <c r="F47" s="15">
        <f t="shared" si="2"/>
        <v>0.38560250038778876</v>
      </c>
      <c r="G47" s="13">
        <f>(1+F47)/(1+MAX(F$2:F47))-1</f>
        <v>-1.5028099999999989E-2</v>
      </c>
      <c r="H47" s="20">
        <v>6.8999999999999999E-3</v>
      </c>
      <c r="I47" s="15">
        <f t="shared" si="16"/>
        <v>0.23348948695372251</v>
      </c>
      <c r="J47" s="15">
        <f t="shared" si="4"/>
        <v>0.56528063131722872</v>
      </c>
      <c r="K47" s="13">
        <f>(1+J47)/(1+MAX(J$2:J47))-1</f>
        <v>0</v>
      </c>
      <c r="L47" s="20">
        <v>-2.3E-3</v>
      </c>
      <c r="M47" s="15">
        <f t="shared" si="19"/>
        <v>0.1948473988338113</v>
      </c>
      <c r="N47" s="15">
        <f t="shared" si="6"/>
        <v>0.39829503806089606</v>
      </c>
      <c r="O47" s="13">
        <f>(1+N47)/(1+MAX(N$2:N47))-1</f>
        <v>-1.2428929212280782E-2</v>
      </c>
      <c r="P47" s="124"/>
      <c r="Q47" s="20">
        <f t="shared" si="7"/>
        <v>3.82E-3</v>
      </c>
      <c r="R47" s="15">
        <f t="shared" si="20"/>
        <v>0.2162260567792964</v>
      </c>
      <c r="S47" s="15">
        <f t="shared" si="9"/>
        <v>0.47078016565420877</v>
      </c>
      <c r="T47" s="15">
        <f>(1+S47)/(1+MAX(S$2:S47))-1</f>
        <v>0</v>
      </c>
      <c r="U47" s="58">
        <f t="shared" si="10"/>
        <v>1470.7801656542083</v>
      </c>
      <c r="V47" s="137"/>
      <c r="W47" s="70"/>
      <c r="X47" s="70"/>
      <c r="Y47" s="70"/>
    </row>
    <row r="48" spans="1:26" s="61" customFormat="1" outlineLevel="1" x14ac:dyDescent="0.3">
      <c r="A48" s="61" t="s">
        <v>664</v>
      </c>
      <c r="B48" s="55" t="str">
        <f t="shared" si="0"/>
        <v>2019-11</v>
      </c>
      <c r="C48" s="121">
        <v>43770</v>
      </c>
      <c r="D48" s="20">
        <v>-2.07E-2</v>
      </c>
      <c r="E48" s="15">
        <f t="shared" si="15"/>
        <v>0.1818935696704076</v>
      </c>
      <c r="F48" s="15">
        <f t="shared" si="2"/>
        <v>0.35692052862976142</v>
      </c>
      <c r="G48" s="13">
        <f>(1+F48)/(1+MAX(F$2:F48))-1</f>
        <v>-3.5417018330000105E-2</v>
      </c>
      <c r="H48" s="20">
        <v>4.6300000000000001E-2</v>
      </c>
      <c r="I48" s="15">
        <f t="shared" si="16"/>
        <v>0.29060005019967994</v>
      </c>
      <c r="J48" s="15">
        <f t="shared" si="4"/>
        <v>0.63775312454721633</v>
      </c>
      <c r="K48" s="13">
        <f>(1+J48)/(1+MAX(J$2:J48))-1</f>
        <v>0</v>
      </c>
      <c r="L48" s="20">
        <v>3.85E-2</v>
      </c>
      <c r="M48" s="15">
        <f t="shared" si="19"/>
        <v>0.24084902368891292</v>
      </c>
      <c r="N48" s="15">
        <f t="shared" si="6"/>
        <v>0.45212939702624055</v>
      </c>
      <c r="O48" s="13">
        <f>(1+N48)/(1+MAX(N$2:N48))-1</f>
        <v>0</v>
      </c>
      <c r="P48" s="124"/>
      <c r="Q48" s="20">
        <f t="shared" si="7"/>
        <v>1.7159999999999998E-2</v>
      </c>
      <c r="R48" s="15">
        <f t="shared" si="20"/>
        <v>0.23709649591362925</v>
      </c>
      <c r="S48" s="15">
        <f t="shared" si="9"/>
        <v>0.49601875329683498</v>
      </c>
      <c r="T48" s="15">
        <f>(1+S48)/(1+MAX(S$2:S48))-1</f>
        <v>0</v>
      </c>
      <c r="U48" s="58">
        <f t="shared" si="10"/>
        <v>1496.0187532968346</v>
      </c>
      <c r="V48" s="137"/>
      <c r="W48" s="70"/>
      <c r="X48" s="70"/>
      <c r="Y48" s="70"/>
    </row>
    <row r="49" spans="1:25" s="27" customFormat="1" ht="15" thickBot="1" x14ac:dyDescent="0.35">
      <c r="A49" s="27" t="s">
        <v>664</v>
      </c>
      <c r="B49" s="63" t="str">
        <f t="shared" si="0"/>
        <v>2019-12</v>
      </c>
      <c r="C49" s="122">
        <v>43800</v>
      </c>
      <c r="D49" s="32">
        <v>1.9599999999999999E-2</v>
      </c>
      <c r="E49" s="25">
        <f t="shared" si="15"/>
        <v>0.20505868363594759</v>
      </c>
      <c r="F49" s="25">
        <f t="shared" si="2"/>
        <v>0.38351617099090474</v>
      </c>
      <c r="G49" s="26">
        <f>(1+F49)/(1+MAX(F$2:F49))-1</f>
        <v>-1.6511191889268084E-2</v>
      </c>
      <c r="H49" s="32">
        <v>5.9900000000000002E-2</v>
      </c>
      <c r="I49" s="25">
        <f t="shared" si="16"/>
        <v>0.36790699320664078</v>
      </c>
      <c r="J49" s="25">
        <f t="shared" si="4"/>
        <v>0.7358545367075946</v>
      </c>
      <c r="K49" s="26">
        <f>(1+J49)/(1+MAX(J$2:J49))-1</f>
        <v>0</v>
      </c>
      <c r="L49" s="32">
        <v>1.03E-2</v>
      </c>
      <c r="M49" s="25">
        <f t="shared" si="19"/>
        <v>0.25362976863290876</v>
      </c>
      <c r="N49" s="25">
        <f t="shared" si="6"/>
        <v>0.46708632981561071</v>
      </c>
      <c r="O49" s="26">
        <f>(1+N49)/(1+MAX(N$2:N49))-1</f>
        <v>0</v>
      </c>
      <c r="P49" s="125"/>
      <c r="Q49" s="32">
        <f t="shared" si="7"/>
        <v>2.8899999999999999E-2</v>
      </c>
      <c r="R49" s="25">
        <f t="shared" si="20"/>
        <v>0.27284858464553308</v>
      </c>
      <c r="S49" s="25">
        <f t="shared" si="9"/>
        <v>0.53925369526711342</v>
      </c>
      <c r="T49" s="25">
        <f>(1+S49)/(1+MAX(S$2:S49))-1</f>
        <v>0</v>
      </c>
      <c r="U49" s="66">
        <f t="shared" si="10"/>
        <v>1539.253695267113</v>
      </c>
      <c r="V49" s="138"/>
      <c r="W49" s="139"/>
      <c r="X49" s="139"/>
      <c r="Y49" s="139"/>
    </row>
    <row r="50" spans="1:25" s="54" customFormat="1" outlineLevel="1" x14ac:dyDescent="0.3">
      <c r="A50" s="54" t="s">
        <v>664</v>
      </c>
      <c r="B50" s="48" t="str">
        <f t="shared" si="0"/>
        <v>2020-1</v>
      </c>
      <c r="C50" s="120">
        <v>43831</v>
      </c>
      <c r="D50" s="10">
        <v>6.2600000000000003E-2</v>
      </c>
      <c r="E50" s="5">
        <f>+D50</f>
        <v>6.2600000000000003E-2</v>
      </c>
      <c r="F50" s="5">
        <f t="shared" si="2"/>
        <v>0.47012428329493527</v>
      </c>
      <c r="G50" s="3">
        <f>(1+F50)/(1+MAX(F$2:F50))-1</f>
        <v>0</v>
      </c>
      <c r="H50" s="10">
        <v>-1.1999999999999999E-3</v>
      </c>
      <c r="I50" s="5">
        <f>+H50</f>
        <v>-1.1999999999999999E-3</v>
      </c>
      <c r="J50" s="5">
        <f t="shared" si="4"/>
        <v>0.73377151126354545</v>
      </c>
      <c r="K50" s="3">
        <f>(1+J50)/(1+MAX(J$2:J50))-1</f>
        <v>-1.1999999999999789E-3</v>
      </c>
      <c r="L50" s="10">
        <v>-1.8800000000000001E-2</v>
      </c>
      <c r="M50" s="5">
        <f>+L50</f>
        <v>-1.8800000000000001E-2</v>
      </c>
      <c r="N50" s="5">
        <f t="shared" si="6"/>
        <v>0.43950510681507726</v>
      </c>
      <c r="O50" s="3">
        <f>(1+N50)/(1+MAX(N$2:N50))-1</f>
        <v>-1.8799999999999928E-2</v>
      </c>
      <c r="P50" s="124"/>
      <c r="Q50" s="10">
        <f t="shared" si="7"/>
        <v>1.9040000000000005E-2</v>
      </c>
      <c r="R50" s="5">
        <f>+Q50</f>
        <v>1.9040000000000005E-2</v>
      </c>
      <c r="S50" s="5">
        <f t="shared" si="9"/>
        <v>0.56856108562499919</v>
      </c>
      <c r="T50" s="5">
        <f>(1+S50)/(1+MAX(S$2:S50))-1</f>
        <v>0</v>
      </c>
      <c r="U50" s="51">
        <f t="shared" si="10"/>
        <v>1568.5610856249987</v>
      </c>
      <c r="V50" s="137"/>
      <c r="W50" s="70"/>
      <c r="X50" s="70"/>
      <c r="Y50" s="70"/>
    </row>
    <row r="51" spans="1:25" s="61" customFormat="1" outlineLevel="1" x14ac:dyDescent="0.3">
      <c r="A51" s="61" t="s">
        <v>664</v>
      </c>
      <c r="B51" s="55" t="str">
        <f t="shared" si="0"/>
        <v>2020-2</v>
      </c>
      <c r="C51" s="121">
        <v>43862</v>
      </c>
      <c r="D51" s="20">
        <v>-3.7000000000000002E-3</v>
      </c>
      <c r="E51" s="15">
        <f t="shared" si="15"/>
        <v>5.8668379999999853E-2</v>
      </c>
      <c r="F51" s="15">
        <f t="shared" si="2"/>
        <v>0.464684823446744</v>
      </c>
      <c r="G51" s="13">
        <f>(1+F51)/(1+MAX(F$2:F51))-1</f>
        <v>-3.7000000000000366E-3</v>
      </c>
      <c r="H51" s="20">
        <v>-6.1899999999999997E-2</v>
      </c>
      <c r="I51" s="15">
        <f t="shared" si="16"/>
        <v>-6.3025719999999952E-2</v>
      </c>
      <c r="J51" s="15">
        <f t="shared" si="4"/>
        <v>0.626451054716332</v>
      </c>
      <c r="K51" s="13">
        <f>(1+J51)/(1+MAX(J$2:J51))-1</f>
        <v>-6.3025720000000063E-2</v>
      </c>
      <c r="L51" s="20">
        <v>-9.9299999999999999E-2</v>
      </c>
      <c r="M51" s="15">
        <f t="shared" si="19"/>
        <v>-0.11623315999999995</v>
      </c>
      <c r="N51" s="15">
        <f t="shared" si="6"/>
        <v>0.29656224970834022</v>
      </c>
      <c r="O51" s="13">
        <f>(1+N51)/(1+MAX(N$2:N51))-1</f>
        <v>-0.11623315999999995</v>
      </c>
      <c r="P51" s="124"/>
      <c r="Q51" s="20">
        <f t="shared" si="7"/>
        <v>-4.9839999999999995E-2</v>
      </c>
      <c r="R51" s="15">
        <f t="shared" ref="R51:R61" si="21">+(1+Q51)*(1+R50)-1</f>
        <v>-3.1748953600000074E-2</v>
      </c>
      <c r="S51" s="15">
        <f t="shared" si="9"/>
        <v>0.49038400111744918</v>
      </c>
      <c r="T51" s="15">
        <f>(1+S51)/(1+MAX(S$2:S51))-1</f>
        <v>-4.9839999999999995E-2</v>
      </c>
      <c r="U51" s="58">
        <f t="shared" si="10"/>
        <v>1490.3840011174486</v>
      </c>
      <c r="V51" s="137"/>
      <c r="W51" s="70"/>
      <c r="X51" s="70"/>
      <c r="Y51" s="70"/>
    </row>
    <row r="52" spans="1:25" s="61" customFormat="1" outlineLevel="1" x14ac:dyDescent="0.3">
      <c r="A52" s="61" t="s">
        <v>664</v>
      </c>
      <c r="B52" s="55" t="str">
        <f t="shared" si="0"/>
        <v>2020-3</v>
      </c>
      <c r="C52" s="121">
        <v>43891</v>
      </c>
      <c r="D52" s="20">
        <v>-3.0000000000000001E-3</v>
      </c>
      <c r="E52" s="15">
        <f t="shared" si="15"/>
        <v>5.5492374859999805E-2</v>
      </c>
      <c r="F52" s="15">
        <f t="shared" si="2"/>
        <v>0.46029076897640375</v>
      </c>
      <c r="G52" s="13">
        <f>(1+F52)/(1+MAX(F$2:F52))-1</f>
        <v>-6.6888999999999976E-3</v>
      </c>
      <c r="H52" s="20">
        <v>-0.1479</v>
      </c>
      <c r="I52" s="15">
        <f t="shared" si="16"/>
        <v>-0.20160421601199996</v>
      </c>
      <c r="J52" s="15">
        <f t="shared" si="4"/>
        <v>0.38589894372378652</v>
      </c>
      <c r="K52" s="13">
        <f>(1+J52)/(1+MAX(J$2:J52))-1</f>
        <v>-0.20160421601199996</v>
      </c>
      <c r="L52" s="20">
        <v>-0.25180000000000002</v>
      </c>
      <c r="M52" s="15">
        <f t="shared" si="19"/>
        <v>-0.33876565031200001</v>
      </c>
      <c r="N52" s="15">
        <f t="shared" si="6"/>
        <v>-2.9912124768219917E-2</v>
      </c>
      <c r="O52" s="13">
        <f>(1+N52)/(1+MAX(N$2:N52))-1</f>
        <v>-0.33876565031200001</v>
      </c>
      <c r="P52" s="124"/>
      <c r="Q52" s="20">
        <f t="shared" si="7"/>
        <v>-0.12111000000000001</v>
      </c>
      <c r="R52" s="15">
        <f t="shared" si="21"/>
        <v>-0.14901383782950406</v>
      </c>
      <c r="S52" s="15">
        <f t="shared" si="9"/>
        <v>0.3098835947421148</v>
      </c>
      <c r="T52" s="15">
        <f>(1+S52)/(1+MAX(S$2:S52))-1</f>
        <v>-0.16491387760000009</v>
      </c>
      <c r="U52" s="58">
        <f t="shared" si="10"/>
        <v>1309.8835947421144</v>
      </c>
      <c r="V52" s="137"/>
      <c r="W52" s="70"/>
      <c r="X52" s="70"/>
      <c r="Y52" s="70"/>
    </row>
    <row r="53" spans="1:25" s="61" customFormat="1" outlineLevel="1" x14ac:dyDescent="0.3">
      <c r="A53" s="61" t="s">
        <v>664</v>
      </c>
      <c r="B53" s="55" t="str">
        <f t="shared" si="0"/>
        <v>2020-4</v>
      </c>
      <c r="C53" s="121">
        <v>43922</v>
      </c>
      <c r="D53" s="20">
        <v>8.4099999999999994E-2</v>
      </c>
      <c r="E53" s="15">
        <f t="shared" si="15"/>
        <v>0.14425928358572593</v>
      </c>
      <c r="F53" s="15">
        <f t="shared" si="2"/>
        <v>0.58310122264731934</v>
      </c>
      <c r="G53" s="13">
        <f>(1+F53)/(1+MAX(F$2:F53))-1</f>
        <v>0</v>
      </c>
      <c r="H53" s="20">
        <v>0.1245</v>
      </c>
      <c r="I53" s="15">
        <f t="shared" si="16"/>
        <v>-0.1022039409054939</v>
      </c>
      <c r="J53" s="15">
        <f t="shared" si="4"/>
        <v>0.5584433622173981</v>
      </c>
      <c r="K53" s="13">
        <f>(1+J53)/(1+MAX(J$2:J53))-1</f>
        <v>-0.1022039409054939</v>
      </c>
      <c r="L53" s="20">
        <v>0.1452</v>
      </c>
      <c r="M53" s="15">
        <f t="shared" si="19"/>
        <v>-0.24275442273730241</v>
      </c>
      <c r="N53" s="15">
        <f t="shared" si="6"/>
        <v>0.11094463471543459</v>
      </c>
      <c r="O53" s="13">
        <f>(1+N53)/(1+MAX(N$2:N53))-1</f>
        <v>-0.2427544227373023</v>
      </c>
      <c r="P53" s="124"/>
      <c r="Q53" s="20">
        <f t="shared" si="7"/>
        <v>0.11454999999999999</v>
      </c>
      <c r="R53" s="15">
        <f t="shared" si="21"/>
        <v>-5.1533372952873857E-2</v>
      </c>
      <c r="S53" s="15">
        <f t="shared" si="9"/>
        <v>0.45993076051982396</v>
      </c>
      <c r="T53" s="15">
        <f>(1+S53)/(1+MAX(S$2:S53))-1</f>
        <v>-6.9254762279080118E-2</v>
      </c>
      <c r="U53" s="58">
        <f t="shared" si="10"/>
        <v>1459.9307605198235</v>
      </c>
      <c r="V53" s="137"/>
      <c r="W53" s="70"/>
      <c r="X53" s="70"/>
      <c r="Y53" s="70"/>
    </row>
    <row r="54" spans="1:25" s="61" customFormat="1" outlineLevel="1" x14ac:dyDescent="0.3">
      <c r="A54" s="61" t="s">
        <v>664</v>
      </c>
      <c r="B54" s="55" t="str">
        <f t="shared" si="0"/>
        <v>2020-5</v>
      </c>
      <c r="C54" s="121">
        <v>43952</v>
      </c>
      <c r="D54" s="20">
        <v>7.4000000000000003E-3</v>
      </c>
      <c r="E54" s="15">
        <f t="shared" si="15"/>
        <v>0.15272680228426028</v>
      </c>
      <c r="F54" s="15">
        <f t="shared" si="2"/>
        <v>0.59481617169490963</v>
      </c>
      <c r="G54" s="13">
        <f>(1+F54)/(1+MAX(F$2:F54))-1</f>
        <v>0</v>
      </c>
      <c r="H54" s="20">
        <v>3.2800000000000003E-2</v>
      </c>
      <c r="I54" s="15">
        <f t="shared" si="16"/>
        <v>-7.2756230167194125E-2</v>
      </c>
      <c r="J54" s="15">
        <f t="shared" si="4"/>
        <v>0.60956030449812859</v>
      </c>
      <c r="K54" s="13">
        <f>(1+J54)/(1+MAX(J$2:J54))-1</f>
        <v>-7.2756230167194236E-2</v>
      </c>
      <c r="L54" s="20">
        <v>2.87E-2</v>
      </c>
      <c r="M54" s="15">
        <f t="shared" si="19"/>
        <v>-0.22102147466986299</v>
      </c>
      <c r="N54" s="15">
        <f t="shared" si="6"/>
        <v>0.1428287457317674</v>
      </c>
      <c r="O54" s="13">
        <f>(1+N54)/(1+MAX(N$2:N54))-1</f>
        <v>-0.22102147466986299</v>
      </c>
      <c r="P54" s="124"/>
      <c r="Q54" s="20">
        <f t="shared" si="7"/>
        <v>2.1409999999999998E-2</v>
      </c>
      <c r="R54" s="15">
        <f t="shared" si="21"/>
        <v>-3.1226702467794909E-2</v>
      </c>
      <c r="S54" s="15">
        <f t="shared" si="9"/>
        <v>0.49118787810255338</v>
      </c>
      <c r="T54" s="15">
        <f>(1+S54)/(1+MAX(S$2:S54))-1</f>
        <v>-4.932750673947528E-2</v>
      </c>
      <c r="U54" s="58">
        <f t="shared" si="10"/>
        <v>1491.1878781025528</v>
      </c>
      <c r="V54" s="137"/>
      <c r="W54" s="70"/>
      <c r="X54" s="70"/>
      <c r="Y54" s="70"/>
    </row>
    <row r="55" spans="1:25" s="61" customFormat="1" outlineLevel="1" x14ac:dyDescent="0.3">
      <c r="A55" s="61" t="s">
        <v>664</v>
      </c>
      <c r="B55" s="55" t="str">
        <f t="shared" si="0"/>
        <v>2020-6</v>
      </c>
      <c r="C55" s="121">
        <v>43983</v>
      </c>
      <c r="D55" s="20">
        <v>1.2500000000000001E-2</v>
      </c>
      <c r="E55" s="15">
        <f t="shared" si="15"/>
        <v>0.16713588731281348</v>
      </c>
      <c r="F55" s="15">
        <f t="shared" si="2"/>
        <v>0.6147513738410959</v>
      </c>
      <c r="G55" s="13">
        <f>(1+F55)/(1+MAX(F$2:F55))-1</f>
        <v>0</v>
      </c>
      <c r="H55" s="20">
        <v>0.03</v>
      </c>
      <c r="I55" s="15">
        <f t="shared" si="16"/>
        <v>-4.4938917072209872E-2</v>
      </c>
      <c r="J55" s="15">
        <f t="shared" si="4"/>
        <v>0.65784711363307258</v>
      </c>
      <c r="K55" s="13">
        <f>(1+J55)/(1+MAX(J$2:J55))-1</f>
        <v>-4.4938917072209983E-2</v>
      </c>
      <c r="L55" s="20">
        <v>5.3E-3</v>
      </c>
      <c r="M55" s="15">
        <f t="shared" si="19"/>
        <v>-0.21689288848561317</v>
      </c>
      <c r="N55" s="15">
        <f t="shared" si="6"/>
        <v>0.14888573808414596</v>
      </c>
      <c r="O55" s="13">
        <f>(1+N55)/(1+MAX(N$2:N55))-1</f>
        <v>-0.21689288848561317</v>
      </c>
      <c r="P55" s="124"/>
      <c r="Q55" s="20">
        <f t="shared" si="7"/>
        <v>1.559E-2</v>
      </c>
      <c r="R55" s="15">
        <f t="shared" si="21"/>
        <v>-1.612352675926787E-2</v>
      </c>
      <c r="S55" s="15">
        <f t="shared" si="9"/>
        <v>0.51443549712217207</v>
      </c>
      <c r="T55" s="15">
        <f>(1+S55)/(1+MAX(S$2:S55))-1</f>
        <v>-3.4506522569543785E-2</v>
      </c>
      <c r="U55" s="58">
        <f t="shared" si="10"/>
        <v>1514.4354971221715</v>
      </c>
      <c r="V55" s="137"/>
      <c r="W55" s="70"/>
      <c r="X55" s="70"/>
      <c r="Y55" s="70"/>
    </row>
    <row r="56" spans="1:25" s="61" customFormat="1" outlineLevel="1" x14ac:dyDescent="0.3">
      <c r="A56" s="61" t="s">
        <v>664</v>
      </c>
      <c r="B56" s="55" t="str">
        <f t="shared" si="0"/>
        <v>2020-7</v>
      </c>
      <c r="C56" s="121">
        <v>44013</v>
      </c>
      <c r="D56" s="20">
        <v>5.16E-2</v>
      </c>
      <c r="E56" s="15">
        <f t="shared" si="15"/>
        <v>0.2273600990981548</v>
      </c>
      <c r="F56" s="15">
        <f t="shared" si="2"/>
        <v>0.69807254473129654</v>
      </c>
      <c r="G56" s="13">
        <f>(1+F56)/(1+MAX(F$2:F56))-1</f>
        <v>0</v>
      </c>
      <c r="H56" s="20">
        <v>4.1999999999999997E-3</v>
      </c>
      <c r="I56" s="15">
        <f t="shared" si="16"/>
        <v>-4.0927660523913167E-2</v>
      </c>
      <c r="J56" s="15">
        <f t="shared" si="4"/>
        <v>0.66481007151033156</v>
      </c>
      <c r="K56" s="13">
        <f>(1+J56)/(1+MAX(J$2:J56))-1</f>
        <v>-4.0927660523913167E-2</v>
      </c>
      <c r="L56" s="20">
        <v>-2.1299999999999999E-2</v>
      </c>
      <c r="M56" s="15">
        <f t="shared" si="19"/>
        <v>-0.23357306996086957</v>
      </c>
      <c r="N56" s="15">
        <f t="shared" si="6"/>
        <v>0.12441447186295362</v>
      </c>
      <c r="O56" s="13">
        <f>(1+N56)/(1+MAX(N$2:N56))-1</f>
        <v>-0.23357306996086957</v>
      </c>
      <c r="P56" s="124"/>
      <c r="Q56" s="20">
        <f t="shared" si="7"/>
        <v>1.5510000000000003E-2</v>
      </c>
      <c r="R56" s="15">
        <f t="shared" si="21"/>
        <v>-8.6360265930418567E-4</v>
      </c>
      <c r="S56" s="15">
        <f t="shared" si="9"/>
        <v>0.53792439168253692</v>
      </c>
      <c r="T56" s="15">
        <f>(1+S56)/(1+MAX(S$2:S56))-1</f>
        <v>-1.953171873459747E-2</v>
      </c>
      <c r="U56" s="58">
        <f t="shared" si="10"/>
        <v>1537.9243916825362</v>
      </c>
      <c r="V56" s="137"/>
      <c r="W56" s="70"/>
      <c r="X56" s="70"/>
      <c r="Y56" s="70"/>
    </row>
    <row r="57" spans="1:25" s="61" customFormat="1" outlineLevel="1" x14ac:dyDescent="0.3">
      <c r="A57" s="61" t="s">
        <v>664</v>
      </c>
      <c r="B57" s="55" t="str">
        <f t="shared" si="0"/>
        <v>2020-8</v>
      </c>
      <c r="C57" s="121">
        <v>44044</v>
      </c>
      <c r="D57" s="20">
        <v>-8.6E-3</v>
      </c>
      <c r="E57" s="15">
        <f t="shared" si="15"/>
        <v>0.21680480224591059</v>
      </c>
      <c r="F57" s="15">
        <f t="shared" si="2"/>
        <v>0.68346912084660727</v>
      </c>
      <c r="G57" s="13">
        <f>(1+F57)/(1+MAX(F$2:F57))-1</f>
        <v>-8.600000000000052E-3</v>
      </c>
      <c r="H57" s="20">
        <v>5.5E-2</v>
      </c>
      <c r="I57" s="15">
        <f t="shared" si="16"/>
        <v>1.1821318147271498E-2</v>
      </c>
      <c r="J57" s="15">
        <f t="shared" si="4"/>
        <v>0.75637462544339962</v>
      </c>
      <c r="K57" s="13">
        <f>(1+J57)/(1+MAX(J$2:J57))-1</f>
        <v>0</v>
      </c>
      <c r="L57" s="20">
        <v>4.2299999999999997E-2</v>
      </c>
      <c r="M57" s="15">
        <f t="shared" si="19"/>
        <v>-0.20115321082021431</v>
      </c>
      <c r="N57" s="15">
        <f t="shared" si="6"/>
        <v>0.17197720402275651</v>
      </c>
      <c r="O57" s="13">
        <f>(1+N57)/(1+MAX(N$2:N57))-1</f>
        <v>-0.20115321082021442</v>
      </c>
      <c r="P57" s="124"/>
      <c r="Q57" s="20">
        <f t="shared" si="7"/>
        <v>2.5749999999999999E-2</v>
      </c>
      <c r="R57" s="15">
        <f t="shared" si="21"/>
        <v>2.4864159572218769E-2</v>
      </c>
      <c r="S57" s="15">
        <f t="shared" si="9"/>
        <v>0.57752594476836205</v>
      </c>
      <c r="T57" s="15">
        <f>(1+S57)/(1+MAX(S$2:S57))-1</f>
        <v>0</v>
      </c>
      <c r="U57" s="58">
        <f t="shared" si="10"/>
        <v>1577.5259447683613</v>
      </c>
      <c r="V57" s="137"/>
      <c r="W57" s="70"/>
      <c r="X57" s="70"/>
      <c r="Y57" s="70"/>
    </row>
    <row r="58" spans="1:25" s="61" customFormat="1" outlineLevel="1" x14ac:dyDescent="0.3">
      <c r="A58" s="61" t="s">
        <v>664</v>
      </c>
      <c r="B58" s="55" t="str">
        <f t="shared" si="0"/>
        <v>2020-9</v>
      </c>
      <c r="C58" s="121">
        <v>44075</v>
      </c>
      <c r="D58" s="20">
        <v>-2.7199999999999998E-2</v>
      </c>
      <c r="E58" s="15">
        <f t="shared" si="15"/>
        <v>0.1837077116248218</v>
      </c>
      <c r="F58" s="15">
        <f t="shared" si="2"/>
        <v>0.63767876075957952</v>
      </c>
      <c r="G58" s="13">
        <f>(1+F58)/(1+MAX(F$2:F58))-1</f>
        <v>-3.5566080000000055E-2</v>
      </c>
      <c r="H58" s="20">
        <v>-1.2E-2</v>
      </c>
      <c r="I58" s="15">
        <f t="shared" si="16"/>
        <v>-3.2053767049577964E-4</v>
      </c>
      <c r="J58" s="15">
        <f t="shared" si="4"/>
        <v>0.73529812993807875</v>
      </c>
      <c r="K58" s="13">
        <f>(1+J58)/(1+MAX(J$2:J58))-1</f>
        <v>-1.2000000000000011E-2</v>
      </c>
      <c r="L58" s="20">
        <v>-2.3099999999999999E-2</v>
      </c>
      <c r="M58" s="15">
        <f t="shared" si="19"/>
        <v>-0.21960657165026742</v>
      </c>
      <c r="N58" s="15">
        <f t="shared" si="6"/>
        <v>0.14490453060983088</v>
      </c>
      <c r="O58" s="13">
        <f>(1+N58)/(1+MAX(N$2:N58))-1</f>
        <v>-0.21960657165026742</v>
      </c>
      <c r="P58" s="124"/>
      <c r="Q58" s="20">
        <f t="shared" si="7"/>
        <v>-2.1409999999999998E-2</v>
      </c>
      <c r="R58" s="15">
        <f t="shared" si="21"/>
        <v>2.9218179157775026E-3</v>
      </c>
      <c r="S58" s="15">
        <f t="shared" si="9"/>
        <v>0.54375111429087131</v>
      </c>
      <c r="T58" s="15">
        <f>(1+S58)/(1+MAX(S$2:S58))-1</f>
        <v>-2.141000000000004E-2</v>
      </c>
      <c r="U58" s="58">
        <f t="shared" si="10"/>
        <v>1543.7511142908706</v>
      </c>
      <c r="V58" s="137"/>
      <c r="W58" s="70"/>
      <c r="X58" s="70"/>
      <c r="Y58" s="70"/>
    </row>
    <row r="59" spans="1:25" s="61" customFormat="1" outlineLevel="1" x14ac:dyDescent="0.3">
      <c r="A59" s="61" t="s">
        <v>664</v>
      </c>
      <c r="B59" s="55" t="str">
        <f t="shared" si="0"/>
        <v>2020-10</v>
      </c>
      <c r="C59" s="121">
        <v>44105</v>
      </c>
      <c r="D59" s="20">
        <v>-2.0000000000000001E-4</v>
      </c>
      <c r="E59" s="15">
        <f t="shared" si="15"/>
        <v>0.1834709700824968</v>
      </c>
      <c r="F59" s="15">
        <f t="shared" si="2"/>
        <v>0.63735122500742758</v>
      </c>
      <c r="G59" s="13">
        <f>(1+F59)/(1+MAX(F$2:F59))-1</f>
        <v>-3.5758966784000146E-2</v>
      </c>
      <c r="H59" s="20">
        <v>-1.15E-2</v>
      </c>
      <c r="I59" s="15">
        <f t="shared" si="16"/>
        <v>-1.1816851487285063E-2</v>
      </c>
      <c r="J59" s="15">
        <f t="shared" si="4"/>
        <v>0.7153422014437909</v>
      </c>
      <c r="K59" s="13">
        <f>(1+J59)/(1+MAX(J$2:J59))-1</f>
        <v>-2.3361999999999994E-2</v>
      </c>
      <c r="L59" s="20">
        <v>3.5900000000000001E-2</v>
      </c>
      <c r="M59" s="15">
        <f t="shared" si="19"/>
        <v>-0.19159044757251198</v>
      </c>
      <c r="N59" s="15">
        <f t="shared" si="6"/>
        <v>0.18600660325872376</v>
      </c>
      <c r="O59" s="13">
        <f>(1+N59)/(1+MAX(N$2:N59))-1</f>
        <v>-0.19159044757251209</v>
      </c>
      <c r="P59" s="124"/>
      <c r="Q59" s="20">
        <f t="shared" si="7"/>
        <v>7.2399999999999999E-3</v>
      </c>
      <c r="R59" s="15">
        <f t="shared" si="21"/>
        <v>1.0182971877487734E-2</v>
      </c>
      <c r="S59" s="15">
        <f t="shared" si="9"/>
        <v>0.55492787235833707</v>
      </c>
      <c r="T59" s="15">
        <f>(1+S59)/(1+MAX(S$2:S59))-1</f>
        <v>-1.4325008400000172E-2</v>
      </c>
      <c r="U59" s="58">
        <f t="shared" si="10"/>
        <v>1554.9278723583363</v>
      </c>
      <c r="V59" s="137"/>
      <c r="W59" s="70"/>
      <c r="X59" s="70"/>
      <c r="Y59" s="70"/>
    </row>
    <row r="60" spans="1:25" s="61" customFormat="1" outlineLevel="1" x14ac:dyDescent="0.3">
      <c r="A60" s="61" t="s">
        <v>664</v>
      </c>
      <c r="B60" s="55" t="str">
        <f t="shared" si="0"/>
        <v>2020-11</v>
      </c>
      <c r="C60" s="121">
        <v>44136</v>
      </c>
      <c r="D60" s="20">
        <v>-7.5700000000000003E-2</v>
      </c>
      <c r="E60" s="15">
        <f t="shared" si="15"/>
        <v>9.3882217647251798E-2</v>
      </c>
      <c r="F60" s="15">
        <f t="shared" si="2"/>
        <v>0.51340373727436539</v>
      </c>
      <c r="G60" s="13">
        <f>(1+F60)/(1+MAX(F$2:F60))-1</f>
        <v>-0.10875201299845128</v>
      </c>
      <c r="H60" s="20">
        <v>9.9199999999999997E-2</v>
      </c>
      <c r="I60" s="15">
        <f t="shared" si="16"/>
        <v>8.6210916845176122E-2</v>
      </c>
      <c r="J60" s="15">
        <f t="shared" si="4"/>
        <v>0.88550414782701492</v>
      </c>
      <c r="K60" s="13">
        <f>(1+J60)/(1+MAX(J$2:J60))-1</f>
        <v>0</v>
      </c>
      <c r="L60" s="20">
        <v>0.14810000000000001</v>
      </c>
      <c r="M60" s="15">
        <f t="shared" si="19"/>
        <v>-7.1864992858001076E-2</v>
      </c>
      <c r="N60" s="15">
        <f t="shared" si="6"/>
        <v>0.36165418120134052</v>
      </c>
      <c r="O60" s="13">
        <f>(1+N60)/(1+MAX(N$2:N60))-1</f>
        <v>-7.1864992858001298E-2</v>
      </c>
      <c r="P60" s="124"/>
      <c r="Q60" s="20">
        <f t="shared" si="7"/>
        <v>4.3910000000000005E-2</v>
      </c>
      <c r="R60" s="15">
        <f t="shared" si="21"/>
        <v>5.4540106172628056E-2</v>
      </c>
      <c r="S60" s="15">
        <f t="shared" si="9"/>
        <v>0.62320475523359153</v>
      </c>
      <c r="T60" s="15">
        <f>(1+S60)/(1+MAX(S$2:S60))-1</f>
        <v>0</v>
      </c>
      <c r="U60" s="58">
        <f t="shared" si="10"/>
        <v>1623.2047552335907</v>
      </c>
      <c r="V60" s="137"/>
      <c r="W60" s="70"/>
      <c r="X60" s="70"/>
      <c r="Y60" s="70"/>
    </row>
    <row r="61" spans="1:25" s="27" customFormat="1" ht="15" thickBot="1" x14ac:dyDescent="0.35">
      <c r="A61" s="27" t="s">
        <v>664</v>
      </c>
      <c r="B61" s="63" t="str">
        <f t="shared" si="0"/>
        <v>2020-12</v>
      </c>
      <c r="C61" s="122">
        <v>44166</v>
      </c>
      <c r="D61" s="32">
        <v>4.1099999999999998E-2</v>
      </c>
      <c r="E61" s="25">
        <f t="shared" si="15"/>
        <v>0.13884077679255369</v>
      </c>
      <c r="F61" s="25">
        <f t="shared" si="2"/>
        <v>0.57560463087634162</v>
      </c>
      <c r="G61" s="26">
        <f>(1+F61)/(1+MAX(F$2:F61))-1</f>
        <v>-7.2121720732687744E-2</v>
      </c>
      <c r="H61" s="32">
        <v>4.9399999999999999E-2</v>
      </c>
      <c r="I61" s="25">
        <f t="shared" si="16"/>
        <v>0.13986973613732778</v>
      </c>
      <c r="J61" s="25">
        <f t="shared" si="4"/>
        <v>0.97864805272966926</v>
      </c>
      <c r="K61" s="26">
        <f>(1+J61)/(1+MAX(J$2:J61))-1</f>
        <v>0</v>
      </c>
      <c r="L61" s="32">
        <v>3.8199999999999998E-2</v>
      </c>
      <c r="M61" s="25">
        <f t="shared" si="19"/>
        <v>-3.6410235585176753E-2</v>
      </c>
      <c r="N61" s="25">
        <f t="shared" si="6"/>
        <v>0.41366937092323175</v>
      </c>
      <c r="O61" s="26">
        <f>(1+N61)/(1+MAX(N$2:N61))-1</f>
        <v>-3.6410235585176975E-2</v>
      </c>
      <c r="P61" s="125"/>
      <c r="Q61" s="32">
        <f t="shared" si="7"/>
        <v>4.2719999999999994E-2</v>
      </c>
      <c r="R61" s="25">
        <f t="shared" si="21"/>
        <v>9.9590059508322781E-2</v>
      </c>
      <c r="S61" s="25">
        <f t="shared" si="9"/>
        <v>0.6925480623771707</v>
      </c>
      <c r="T61" s="25">
        <f>(1+S61)/(1+MAX(S$2:S61))-1</f>
        <v>0</v>
      </c>
      <c r="U61" s="66">
        <f t="shared" si="10"/>
        <v>1692.5480623771698</v>
      </c>
      <c r="V61" s="138"/>
      <c r="W61" s="139"/>
      <c r="X61" s="139"/>
      <c r="Y61" s="139"/>
    </row>
    <row r="62" spans="1:25" s="54" customFormat="1" outlineLevel="1" x14ac:dyDescent="0.3">
      <c r="A62" s="54" t="s">
        <v>664</v>
      </c>
      <c r="B62" s="48" t="str">
        <f t="shared" si="0"/>
        <v>2021-1</v>
      </c>
      <c r="C62" s="120">
        <v>44197</v>
      </c>
      <c r="D62" s="10">
        <v>-1.7600000000000001E-2</v>
      </c>
      <c r="E62" s="5">
        <f>+D62</f>
        <v>-1.7600000000000001E-2</v>
      </c>
      <c r="F62" s="5">
        <f t="shared" si="2"/>
        <v>0.54787398937291809</v>
      </c>
      <c r="G62" s="3">
        <f>(1+F62)/(1+MAX(F$2:F62))-1</f>
        <v>-8.8452378447792301E-2</v>
      </c>
      <c r="H62" s="10">
        <v>1.11E-2</v>
      </c>
      <c r="I62" s="5">
        <f>+H62</f>
        <v>1.11E-2</v>
      </c>
      <c r="J62" s="5">
        <f t="shared" si="4"/>
        <v>1.0006110461149689</v>
      </c>
      <c r="K62" s="3">
        <f>(1+J62)/(1+MAX(J$2:J62))-1</f>
        <v>0</v>
      </c>
      <c r="L62" s="10">
        <v>3.6299999999999999E-2</v>
      </c>
      <c r="M62" s="5">
        <f>+L62</f>
        <v>3.6299999999999999E-2</v>
      </c>
      <c r="N62" s="5">
        <f t="shared" si="6"/>
        <v>0.46498556908774513</v>
      </c>
      <c r="O62" s="3">
        <f>(1+N62)/(1+MAX(N$2:N62))-1</f>
        <v>-1.4319271369187536E-3</v>
      </c>
      <c r="P62" s="124"/>
      <c r="Q62" s="10">
        <f t="shared" si="7"/>
        <v>7.1799999999999971E-3</v>
      </c>
      <c r="R62" s="5">
        <f>+Q62</f>
        <v>7.1799999999999971E-3</v>
      </c>
      <c r="S62" s="5">
        <f t="shared" si="9"/>
        <v>0.70470055746503868</v>
      </c>
      <c r="T62" s="5">
        <f>(1+S62)/(1+MAX(S$2:S62))-1</f>
        <v>0</v>
      </c>
      <c r="U62" s="51">
        <f t="shared" si="10"/>
        <v>1704.7005574650377</v>
      </c>
      <c r="V62" s="137"/>
      <c r="W62" s="70"/>
      <c r="X62" s="70"/>
      <c r="Y62" s="70"/>
    </row>
    <row r="63" spans="1:25" s="61" customFormat="1" outlineLevel="1" x14ac:dyDescent="0.3">
      <c r="A63" s="61" t="s">
        <v>664</v>
      </c>
      <c r="B63" s="55" t="str">
        <f t="shared" si="0"/>
        <v>2021-2</v>
      </c>
      <c r="C63" s="121">
        <v>44228</v>
      </c>
      <c r="D63" s="20">
        <v>-6.6400000000000001E-2</v>
      </c>
      <c r="E63" s="15">
        <f t="shared" si="15"/>
        <v>-8.2831360000000021E-2</v>
      </c>
      <c r="F63" s="15">
        <f t="shared" si="2"/>
        <v>0.44509515647855635</v>
      </c>
      <c r="G63" s="13">
        <f>(1+F63)/(1+MAX(F$2:F63))-1</f>
        <v>-0.14897914051885897</v>
      </c>
      <c r="H63" s="20">
        <v>3.7400000000000003E-2</v>
      </c>
      <c r="I63" s="15">
        <f t="shared" si="16"/>
        <v>4.8915140000000301E-2</v>
      </c>
      <c r="J63" s="15">
        <f t="shared" si="4"/>
        <v>1.0754338992396688</v>
      </c>
      <c r="K63" s="13">
        <f>(1+J63)/(1+MAX(J$2:J63))-1</f>
        <v>0</v>
      </c>
      <c r="L63" s="20">
        <v>8.3900000000000002E-2</v>
      </c>
      <c r="M63" s="15">
        <f t="shared" si="19"/>
        <v>0.12324557000000014</v>
      </c>
      <c r="N63" s="15">
        <f t="shared" si="6"/>
        <v>0.58789785833420716</v>
      </c>
      <c r="O63" s="13">
        <f>(1+N63)/(1+MAX(N$2:N63))-1</f>
        <v>0</v>
      </c>
      <c r="P63" s="124"/>
      <c r="Q63" s="20">
        <f t="shared" si="7"/>
        <v>9.8300000000000019E-3</v>
      </c>
      <c r="R63" s="15">
        <f t="shared" ref="R63:R121" si="22">+(1+Q63)*(1+R62)-1</f>
        <v>1.7080579399999962E-2</v>
      </c>
      <c r="S63" s="15">
        <f t="shared" si="9"/>
        <v>0.72145776394492001</v>
      </c>
      <c r="T63" s="15">
        <f>(1+S63)/(1+MAX(S$2:S63))-1</f>
        <v>0</v>
      </c>
      <c r="U63" s="58">
        <f t="shared" si="10"/>
        <v>1721.457763944919</v>
      </c>
      <c r="V63" s="137"/>
      <c r="W63" s="70"/>
      <c r="X63" s="70"/>
      <c r="Y63" s="70"/>
    </row>
    <row r="64" spans="1:25" s="61" customFormat="1" outlineLevel="1" x14ac:dyDescent="0.3">
      <c r="A64" s="61" t="s">
        <v>664</v>
      </c>
      <c r="B64" s="55" t="str">
        <f t="shared" si="0"/>
        <v>2021-3</v>
      </c>
      <c r="C64" s="121">
        <v>44256</v>
      </c>
      <c r="D64" s="20">
        <v>2.5899999999999999E-2</v>
      </c>
      <c r="E64" s="15">
        <f t="shared" si="15"/>
        <v>-5.9076692224000027E-2</v>
      </c>
      <c r="F64" s="15">
        <f t="shared" si="2"/>
        <v>0.48252312103135098</v>
      </c>
      <c r="G64" s="13">
        <f>(1+F64)/(1+MAX(F$2:F64))-1</f>
        <v>-0.12693770025829731</v>
      </c>
      <c r="H64" s="20">
        <v>5.1299999999999998E-2</v>
      </c>
      <c r="I64" s="15">
        <f t="shared" si="16"/>
        <v>0.10272448668200029</v>
      </c>
      <c r="J64" s="15">
        <f t="shared" si="4"/>
        <v>1.1819036582706635</v>
      </c>
      <c r="K64" s="13">
        <f>(1+J64)/(1+MAX(J$2:J64))-1</f>
        <v>0</v>
      </c>
      <c r="L64" s="20">
        <v>9.0999999999999998E-2</v>
      </c>
      <c r="M64" s="15">
        <f t="shared" si="19"/>
        <v>0.22546091687000014</v>
      </c>
      <c r="N64" s="15">
        <f t="shared" si="6"/>
        <v>0.73239656344261994</v>
      </c>
      <c r="O64" s="13">
        <f>(1+N64)/(1+MAX(N$2:N64))-1</f>
        <v>0</v>
      </c>
      <c r="P64" s="124"/>
      <c r="Q64" s="20">
        <f t="shared" si="7"/>
        <v>5.305E-2</v>
      </c>
      <c r="R64" s="15">
        <f t="shared" si="22"/>
        <v>7.1036704137170004E-2</v>
      </c>
      <c r="S64" s="15">
        <f t="shared" si="9"/>
        <v>0.81278109832219814</v>
      </c>
      <c r="T64" s="15">
        <f>(1+S64)/(1+MAX(S$2:S64))-1</f>
        <v>0</v>
      </c>
      <c r="U64" s="58">
        <f t="shared" si="10"/>
        <v>1812.7810983221971</v>
      </c>
      <c r="V64" s="137"/>
      <c r="W64" s="70"/>
      <c r="X64" s="70"/>
      <c r="Y64" s="70"/>
    </row>
    <row r="65" spans="1:25" s="61" customFormat="1" outlineLevel="1" x14ac:dyDescent="0.3">
      <c r="A65" s="61" t="s">
        <v>664</v>
      </c>
      <c r="B65" s="55" t="str">
        <f t="shared" si="0"/>
        <v>2021-4</v>
      </c>
      <c r="C65" s="121">
        <v>44287</v>
      </c>
      <c r="D65" s="20">
        <v>1.8E-3</v>
      </c>
      <c r="E65" s="15">
        <f t="shared" si="15"/>
        <v>-5.7383030270003244E-2</v>
      </c>
      <c r="F65" s="15">
        <f t="shared" si="2"/>
        <v>0.48519166264920743</v>
      </c>
      <c r="G65" s="13">
        <f>(1+F65)/(1+MAX(F$2:F65))-1</f>
        <v>-0.12536618811876232</v>
      </c>
      <c r="H65" s="20">
        <v>7.1000000000000004E-3</v>
      </c>
      <c r="I65" s="15">
        <f t="shared" si="16"/>
        <v>0.11055383053744272</v>
      </c>
      <c r="J65" s="15">
        <f t="shared" si="4"/>
        <v>1.1973951742443854</v>
      </c>
      <c r="K65" s="13">
        <f>(1+J65)/(1+MAX(J$2:J65))-1</f>
        <v>0</v>
      </c>
      <c r="L65" s="20">
        <v>7.0000000000000001E-3</v>
      </c>
      <c r="M65" s="15">
        <f t="shared" si="19"/>
        <v>0.23403914328808995</v>
      </c>
      <c r="N65" s="15">
        <f t="shared" si="6"/>
        <v>0.74452333938671811</v>
      </c>
      <c r="O65" s="13">
        <f>(1+N65)/(1+MAX(N$2:N65))-1</f>
        <v>0</v>
      </c>
      <c r="P65" s="124"/>
      <c r="Q65" s="20">
        <f t="shared" si="7"/>
        <v>4.9499999999999995E-3</v>
      </c>
      <c r="R65" s="15">
        <f t="shared" si="22"/>
        <v>7.6338335822649039E-2</v>
      </c>
      <c r="S65" s="15">
        <f t="shared" si="9"/>
        <v>0.82175436475889296</v>
      </c>
      <c r="T65" s="15">
        <f>(1+S65)/(1+MAX(S$2:S65))-1</f>
        <v>0</v>
      </c>
      <c r="U65" s="58">
        <f t="shared" si="10"/>
        <v>1821.7543647588921</v>
      </c>
      <c r="V65" s="137"/>
      <c r="W65" s="70"/>
      <c r="X65" s="70"/>
      <c r="Y65" s="70"/>
    </row>
    <row r="66" spans="1:25" s="61" customFormat="1" outlineLevel="1" x14ac:dyDescent="0.3">
      <c r="A66" s="61" t="s">
        <v>664</v>
      </c>
      <c r="B66" s="55" t="str">
        <f t="shared" ref="B66:B119" si="23">YEAR(C66)&amp;"-"&amp;MONTH(C66)</f>
        <v>2021-5</v>
      </c>
      <c r="C66" s="121">
        <v>44317</v>
      </c>
      <c r="D66" s="20">
        <v>7.0099999999999996E-2</v>
      </c>
      <c r="E66" s="15">
        <f t="shared" si="15"/>
        <v>8.6944193080695786E-3</v>
      </c>
      <c r="F66" s="15">
        <f t="shared" si="2"/>
        <v>0.58930359820091693</v>
      </c>
      <c r="G66" s="13">
        <f>(1+F66)/(1+MAX(F$2:F66))-1</f>
        <v>-6.4054357905887538E-2</v>
      </c>
      <c r="H66" s="20">
        <v>8.3000000000000001E-3</v>
      </c>
      <c r="I66" s="15">
        <f t="shared" si="16"/>
        <v>0.1197714273309034</v>
      </c>
      <c r="J66" s="15">
        <f t="shared" si="4"/>
        <v>1.2156335541906138</v>
      </c>
      <c r="K66" s="13">
        <f>(1+J66)/(1+MAX(J$2:J66))-1</f>
        <v>0</v>
      </c>
      <c r="L66" s="20">
        <v>1.5900000000000001E-2</v>
      </c>
      <c r="M66" s="15">
        <f t="shared" si="19"/>
        <v>0.25366036566637051</v>
      </c>
      <c r="N66" s="15">
        <f t="shared" si="6"/>
        <v>0.77226126048296706</v>
      </c>
      <c r="O66" s="13">
        <f>(1+N66)/(1+MAX(N$2:N66))-1</f>
        <v>0</v>
      </c>
      <c r="P66" s="124"/>
      <c r="Q66" s="20">
        <f t="shared" si="7"/>
        <v>3.5299999999999998E-2</v>
      </c>
      <c r="R66" s="15">
        <f t="shared" si="22"/>
        <v>0.11433307907718837</v>
      </c>
      <c r="S66" s="15">
        <f t="shared" si="9"/>
        <v>0.88606229383488166</v>
      </c>
      <c r="T66" s="15">
        <f>(1+S66)/(1+MAX(S$2:S66))-1</f>
        <v>0</v>
      </c>
      <c r="U66" s="58">
        <f t="shared" si="10"/>
        <v>1886.0622938348808</v>
      </c>
      <c r="V66" s="137"/>
      <c r="W66" s="70"/>
      <c r="X66" s="70"/>
      <c r="Y66" s="70"/>
    </row>
    <row r="67" spans="1:25" s="61" customFormat="1" outlineLevel="1" x14ac:dyDescent="0.3">
      <c r="A67" s="61" t="s">
        <v>664</v>
      </c>
      <c r="B67" s="55" t="str">
        <f t="shared" si="23"/>
        <v>2021-6</v>
      </c>
      <c r="C67" s="121">
        <v>44348</v>
      </c>
      <c r="D67" s="20">
        <v>-4.7600000000000003E-2</v>
      </c>
      <c r="E67" s="15">
        <f t="shared" si="15"/>
        <v>-3.9319435050994556E-2</v>
      </c>
      <c r="F67" s="15">
        <f t="shared" ref="F67:F121" si="24">+(1+D67)*(1+F66)-1</f>
        <v>0.51365274692655327</v>
      </c>
      <c r="G67" s="13">
        <f>(1+F67)/(1+MAX(F$2:F67))-1</f>
        <v>-0.1086053704695672</v>
      </c>
      <c r="H67" s="20">
        <v>3.5900000000000001E-2</v>
      </c>
      <c r="I67" s="15">
        <f t="shared" si="16"/>
        <v>0.15997122157208299</v>
      </c>
      <c r="J67" s="15">
        <f t="shared" ref="J67:J121" si="25">+(1+H67)*(1+J66)-1</f>
        <v>1.2951747987860571</v>
      </c>
      <c r="K67" s="13">
        <f>(1+J67)/(1+MAX(J$2:J67))-1</f>
        <v>0</v>
      </c>
      <c r="L67" s="20">
        <v>1.49E-2</v>
      </c>
      <c r="M67" s="15">
        <f t="shared" si="19"/>
        <v>0.27233990511479922</v>
      </c>
      <c r="N67" s="15">
        <f t="shared" ref="N67:N121" si="26">+(1+L67)*(1+N66)-1</f>
        <v>0.79866795326416318</v>
      </c>
      <c r="O67" s="13">
        <f>(1+N67)/(1+MAX(N$2:N67))-1</f>
        <v>0</v>
      </c>
      <c r="P67" s="124"/>
      <c r="Q67" s="20">
        <f t="shared" ref="Q67:Q121" si="27">D67*$E$1+H67*$I$1+L67*$M$1</f>
        <v>-3.8000000000000013E-3</v>
      </c>
      <c r="R67" s="15">
        <f t="shared" si="22"/>
        <v>0.11009861337669502</v>
      </c>
      <c r="S67" s="15">
        <f t="shared" ref="S67:S121" si="28">+(1+Q67)*(1+S66)-1</f>
        <v>0.87889525711830907</v>
      </c>
      <c r="T67" s="15">
        <f>(1+S67)/(1+MAX(S$2:S67))-1</f>
        <v>-3.8000000000000256E-3</v>
      </c>
      <c r="U67" s="58">
        <f t="shared" si="10"/>
        <v>1878.8952571183083</v>
      </c>
      <c r="V67" s="137"/>
      <c r="W67" s="70"/>
      <c r="X67" s="70"/>
      <c r="Y67" s="70"/>
    </row>
    <row r="68" spans="1:25" s="61" customFormat="1" outlineLevel="1" x14ac:dyDescent="0.3">
      <c r="A68" s="61" t="s">
        <v>664</v>
      </c>
      <c r="B68" s="55" t="str">
        <f t="shared" si="23"/>
        <v>2021-7</v>
      </c>
      <c r="C68" s="121">
        <v>44378</v>
      </c>
      <c r="D68" s="20">
        <v>2.5999999999999999E-2</v>
      </c>
      <c r="E68" s="15">
        <f t="shared" si="15"/>
        <v>-1.4341740362320388E-2</v>
      </c>
      <c r="F68" s="15">
        <f t="shared" si="24"/>
        <v>0.55300771834664375</v>
      </c>
      <c r="G68" s="13">
        <f>(1+F68)/(1+MAX(F$2:F68))-1</f>
        <v>-8.5429110101775896E-2</v>
      </c>
      <c r="H68" s="20">
        <v>2.8999999999999998E-3</v>
      </c>
      <c r="I68" s="15">
        <f t="shared" si="16"/>
        <v>0.16333513811464195</v>
      </c>
      <c r="J68" s="15">
        <f t="shared" si="25"/>
        <v>1.3018308057025365</v>
      </c>
      <c r="K68" s="13">
        <f>(1+J68)/(1+MAX(J$2:J68))-1</f>
        <v>0</v>
      </c>
      <c r="L68" s="20">
        <v>-1.5699999999999999E-2</v>
      </c>
      <c r="M68" s="15">
        <f t="shared" si="19"/>
        <v>0.25236416860449684</v>
      </c>
      <c r="N68" s="15">
        <f t="shared" si="26"/>
        <v>0.77042886639791575</v>
      </c>
      <c r="O68" s="13">
        <f>(1+N68)/(1+MAX(N$2:N68))-1</f>
        <v>-1.5700000000000047E-2</v>
      </c>
      <c r="P68" s="124"/>
      <c r="Q68" s="20">
        <f t="shared" si="27"/>
        <v>6.559999999999999E-3</v>
      </c>
      <c r="R68" s="15">
        <f t="shared" si="22"/>
        <v>0.11738086028044603</v>
      </c>
      <c r="S68" s="15">
        <f t="shared" si="28"/>
        <v>0.89122081000500497</v>
      </c>
      <c r="T68" s="15">
        <f>(1+S68)/(1+MAX(S$2:S68))-1</f>
        <v>0</v>
      </c>
      <c r="U68" s="58">
        <f t="shared" ref="U68:U121" si="29">U67*(1+Q68)</f>
        <v>1891.2208100050043</v>
      </c>
      <c r="V68" s="137"/>
      <c r="W68" s="70"/>
      <c r="X68" s="70"/>
      <c r="Y68" s="70"/>
    </row>
    <row r="69" spans="1:25" s="61" customFormat="1" outlineLevel="1" x14ac:dyDescent="0.3">
      <c r="A69" s="61" t="s">
        <v>664</v>
      </c>
      <c r="B69" s="55" t="str">
        <f t="shared" si="23"/>
        <v>2021-8</v>
      </c>
      <c r="C69" s="121">
        <v>44409</v>
      </c>
      <c r="D69" s="20">
        <v>7.3000000000000001E-3</v>
      </c>
      <c r="E69" s="15">
        <f t="shared" si="15"/>
        <v>-7.1464350669652177E-3</v>
      </c>
      <c r="F69" s="15">
        <f t="shared" si="24"/>
        <v>0.56434467469057448</v>
      </c>
      <c r="G69" s="13">
        <f>(1+F69)/(1+MAX(F$2:F69))-1</f>
        <v>-7.8752742605518788E-2</v>
      </c>
      <c r="H69" s="20">
        <v>2.6200000000000001E-2</v>
      </c>
      <c r="I69" s="15">
        <f t="shared" si="16"/>
        <v>0.19381451873324562</v>
      </c>
      <c r="J69" s="15">
        <f t="shared" si="25"/>
        <v>1.3621387728119432</v>
      </c>
      <c r="K69" s="13">
        <f>(1+J69)/(1+MAX(J$2:J69))-1</f>
        <v>0</v>
      </c>
      <c r="L69" s="20">
        <v>2.92E-2</v>
      </c>
      <c r="M69" s="15">
        <f t="shared" si="19"/>
        <v>0.288933202327748</v>
      </c>
      <c r="N69" s="15">
        <f t="shared" si="26"/>
        <v>0.82212538929673462</v>
      </c>
      <c r="O69" s="13">
        <f>(1+N69)/(1+MAX(N$2:N69))-1</f>
        <v>0</v>
      </c>
      <c r="P69" s="124"/>
      <c r="Q69" s="20">
        <f t="shared" si="27"/>
        <v>1.9540000000000002E-2</v>
      </c>
      <c r="R69" s="15">
        <f t="shared" si="22"/>
        <v>0.13921448229032607</v>
      </c>
      <c r="S69" s="15">
        <f t="shared" si="28"/>
        <v>0.92817526463250299</v>
      </c>
      <c r="T69" s="15">
        <f>(1+S69)/(1+MAX(S$2:S69))-1</f>
        <v>0</v>
      </c>
      <c r="U69" s="58">
        <f t="shared" si="29"/>
        <v>1928.1752646325024</v>
      </c>
      <c r="V69" s="137"/>
      <c r="W69" s="70"/>
      <c r="X69" s="70"/>
      <c r="Y69" s="70"/>
    </row>
    <row r="70" spans="1:25" s="61" customFormat="1" outlineLevel="1" x14ac:dyDescent="0.3">
      <c r="A70" s="61" t="s">
        <v>664</v>
      </c>
      <c r="B70" s="55" t="str">
        <f t="shared" si="23"/>
        <v>2021-9</v>
      </c>
      <c r="C70" s="121">
        <v>44440</v>
      </c>
      <c r="D70" s="20">
        <v>-1.61E-2</v>
      </c>
      <c r="E70" s="15">
        <f t="shared" si="15"/>
        <v>-2.3131377462387026E-2</v>
      </c>
      <c r="F70" s="15">
        <f t="shared" si="24"/>
        <v>0.53915872542805632</v>
      </c>
      <c r="G70" s="13">
        <f>(1+F70)/(1+MAX(F$2:F70))-1</f>
        <v>-9.3584823449569865E-2</v>
      </c>
      <c r="H70" s="20">
        <v>-2.4500000000000001E-2</v>
      </c>
      <c r="I70" s="15">
        <f t="shared" si="16"/>
        <v>0.16456606302428112</v>
      </c>
      <c r="J70" s="15">
        <f t="shared" si="25"/>
        <v>1.3042663728780508</v>
      </c>
      <c r="K70" s="13">
        <f>(1+J70)/(1+MAX(J$2:J70))-1</f>
        <v>-2.4499999999999855E-2</v>
      </c>
      <c r="L70" s="20">
        <v>-9.4000000000000004E-3</v>
      </c>
      <c r="M70" s="15">
        <f t="shared" si="19"/>
        <v>0.27681723022586713</v>
      </c>
      <c r="N70" s="15">
        <f t="shared" si="26"/>
        <v>0.80499741063734542</v>
      </c>
      <c r="O70" s="13">
        <f>(1+N70)/(1+MAX(N$2:N70))-1</f>
        <v>-9.3999999999999639E-3</v>
      </c>
      <c r="P70" s="124"/>
      <c r="Q70" s="20">
        <f t="shared" si="27"/>
        <v>-1.661E-2</v>
      </c>
      <c r="R70" s="15">
        <f t="shared" si="22"/>
        <v>0.12029212973948367</v>
      </c>
      <c r="S70" s="15">
        <f t="shared" si="28"/>
        <v>0.89614827348695703</v>
      </c>
      <c r="T70" s="15">
        <f>(1+S70)/(1+MAX(S$2:S70))-1</f>
        <v>-1.6610000000000014E-2</v>
      </c>
      <c r="U70" s="58">
        <f t="shared" si="29"/>
        <v>1896.1482734869564</v>
      </c>
      <c r="V70" s="137"/>
      <c r="W70" s="70"/>
      <c r="X70" s="70"/>
      <c r="Y70" s="70"/>
    </row>
    <row r="71" spans="1:25" s="61" customFormat="1" outlineLevel="1" x14ac:dyDescent="0.3">
      <c r="A71" s="61" t="s">
        <v>664</v>
      </c>
      <c r="B71" s="55" t="str">
        <f t="shared" si="23"/>
        <v>2021-10</v>
      </c>
      <c r="C71" s="121">
        <v>44470</v>
      </c>
      <c r="D71" s="20">
        <v>8.3999999999999995E-3</v>
      </c>
      <c r="E71" s="15">
        <f t="shared" si="15"/>
        <v>-1.4925681033071125E-2</v>
      </c>
      <c r="F71" s="15">
        <f t="shared" si="24"/>
        <v>0.55208765872165189</v>
      </c>
      <c r="G71" s="13">
        <f>(1+F71)/(1+MAX(F$2:F71))-1</f>
        <v>-8.5970935966546369E-2</v>
      </c>
      <c r="H71" s="20">
        <v>4.6300000000000001E-2</v>
      </c>
      <c r="I71" s="15">
        <f t="shared" si="16"/>
        <v>0.21848547174230526</v>
      </c>
      <c r="J71" s="15">
        <f t="shared" si="25"/>
        <v>1.4109539059423044</v>
      </c>
      <c r="K71" s="13">
        <f>(1+J71)/(1+MAX(J$2:J71))-1</f>
        <v>0</v>
      </c>
      <c r="L71" s="20">
        <v>3.8100000000000002E-2</v>
      </c>
      <c r="M71" s="15">
        <f t="shared" si="19"/>
        <v>0.3254639666974728</v>
      </c>
      <c r="N71" s="15">
        <f t="shared" si="26"/>
        <v>0.87376781198262843</v>
      </c>
      <c r="O71" s="13">
        <f>(1+N71)/(1+MAX(N$2:N71))-1</f>
        <v>0</v>
      </c>
      <c r="P71" s="124"/>
      <c r="Q71" s="20">
        <f t="shared" si="27"/>
        <v>2.8680000000000004E-2</v>
      </c>
      <c r="R71" s="15">
        <f t="shared" si="22"/>
        <v>0.15242210802041201</v>
      </c>
      <c r="S71" s="15">
        <f t="shared" si="28"/>
        <v>0.95052980597056314</v>
      </c>
      <c r="T71" s="15">
        <f>(1+S71)/(1+MAX(S$2:S71))-1</f>
        <v>0</v>
      </c>
      <c r="U71" s="58">
        <f t="shared" si="29"/>
        <v>1950.5298059705624</v>
      </c>
      <c r="V71" s="137"/>
      <c r="W71" s="70"/>
      <c r="X71" s="70"/>
      <c r="Y71" s="70"/>
    </row>
    <row r="72" spans="1:25" s="61" customFormat="1" outlineLevel="1" x14ac:dyDescent="0.3">
      <c r="A72" s="61" t="s">
        <v>664</v>
      </c>
      <c r="B72" s="55" t="str">
        <f t="shared" si="23"/>
        <v>2021-11</v>
      </c>
      <c r="C72" s="121">
        <v>44501</v>
      </c>
      <c r="D72" s="20">
        <v>2.69E-2</v>
      </c>
      <c r="E72" s="15">
        <f t="shared" si="15"/>
        <v>1.1572818147139285E-2</v>
      </c>
      <c r="F72" s="15">
        <f t="shared" si="24"/>
        <v>0.59383881674126426</v>
      </c>
      <c r="G72" s="13">
        <f>(1+F72)/(1+MAX(F$2:F72))-1</f>
        <v>-6.1383554144046504E-2</v>
      </c>
      <c r="H72" s="20">
        <v>-1.18E-2</v>
      </c>
      <c r="I72" s="15">
        <f t="shared" si="16"/>
        <v>0.20410734317574608</v>
      </c>
      <c r="J72" s="15">
        <f t="shared" si="25"/>
        <v>1.3825046498521854</v>
      </c>
      <c r="K72" s="13">
        <f>(1+J72)/(1+MAX(J$2:J72))-1</f>
        <v>-1.1799999999999922E-2</v>
      </c>
      <c r="L72" s="20">
        <v>3.8E-3</v>
      </c>
      <c r="M72" s="15">
        <f t="shared" si="19"/>
        <v>0.33050072977092326</v>
      </c>
      <c r="N72" s="15">
        <f t="shared" si="26"/>
        <v>0.88088812966816255</v>
      </c>
      <c r="O72" s="13">
        <f>(1+N72)/(1+MAX(N$2:N72))-1</f>
        <v>0</v>
      </c>
      <c r="P72" s="124"/>
      <c r="Q72" s="20">
        <f t="shared" si="27"/>
        <v>8.3600000000000011E-3</v>
      </c>
      <c r="R72" s="15">
        <f t="shared" si="22"/>
        <v>0.16205635684346253</v>
      </c>
      <c r="S72" s="15">
        <f t="shared" si="28"/>
        <v>0.96683623514847694</v>
      </c>
      <c r="T72" s="15">
        <f>(1+S72)/(1+MAX(S$2:S72))-1</f>
        <v>0</v>
      </c>
      <c r="U72" s="58">
        <f t="shared" si="29"/>
        <v>1966.8362351484761</v>
      </c>
      <c r="V72" s="137"/>
      <c r="W72" s="70"/>
      <c r="X72" s="70"/>
      <c r="Y72" s="70"/>
    </row>
    <row r="73" spans="1:25" s="27" customFormat="1" ht="15" thickBot="1" x14ac:dyDescent="0.35">
      <c r="A73" s="27" t="s">
        <v>664</v>
      </c>
      <c r="B73" s="63" t="str">
        <f t="shared" si="23"/>
        <v>2021-12</v>
      </c>
      <c r="C73" s="122">
        <v>44531</v>
      </c>
      <c r="D73" s="32">
        <v>3.0700000000000002E-2</v>
      </c>
      <c r="E73" s="25">
        <f t="shared" si="15"/>
        <v>4.26281036642564E-2</v>
      </c>
      <c r="F73" s="25">
        <f t="shared" si="24"/>
        <v>0.6427696684152211</v>
      </c>
      <c r="G73" s="26">
        <f>(1+F73)/(1+MAX(F$2:F73))-1</f>
        <v>-3.2568029256268671E-2</v>
      </c>
      <c r="H73" s="32">
        <v>0.13539999999999999</v>
      </c>
      <c r="I73" s="25">
        <f t="shared" si="16"/>
        <v>0.36714347744174214</v>
      </c>
      <c r="J73" s="25">
        <f t="shared" si="25"/>
        <v>1.7050957794421713</v>
      </c>
      <c r="K73" s="26">
        <f>(1+J73)/(1+MAX(J$2:J73))-1</f>
        <v>0</v>
      </c>
      <c r="L73" s="32">
        <v>4.5900000000000003E-2</v>
      </c>
      <c r="M73" s="25">
        <f t="shared" si="19"/>
        <v>0.39157071326740867</v>
      </c>
      <c r="N73" s="25">
        <f t="shared" si="26"/>
        <v>0.96722089481993123</v>
      </c>
      <c r="O73" s="26">
        <f>(1+N73)/(1+MAX(N$2:N73))-1</f>
        <v>0</v>
      </c>
      <c r="P73" s="125"/>
      <c r="Q73" s="20">
        <f t="shared" si="27"/>
        <v>6.6669999999999993E-2</v>
      </c>
      <c r="R73" s="25">
        <f t="shared" si="22"/>
        <v>0.23953065415421615</v>
      </c>
      <c r="S73" s="25">
        <f t="shared" si="28"/>
        <v>1.0979652069458261</v>
      </c>
      <c r="T73" s="25">
        <f>(1+S73)/(1+MAX(S$2:S73))-1</f>
        <v>0</v>
      </c>
      <c r="U73" s="66">
        <f t="shared" si="29"/>
        <v>2097.9652069458252</v>
      </c>
      <c r="V73" s="138"/>
      <c r="W73" s="139"/>
      <c r="X73" s="139"/>
      <c r="Y73" s="139"/>
    </row>
    <row r="74" spans="1:25" s="54" customFormat="1" outlineLevel="1" x14ac:dyDescent="0.3">
      <c r="A74" s="54" t="s">
        <v>664</v>
      </c>
      <c r="B74" s="48" t="str">
        <f t="shared" si="23"/>
        <v>2022-1</v>
      </c>
      <c r="C74" s="120">
        <v>44562</v>
      </c>
      <c r="D74" s="10">
        <v>-1.6999999999999999E-3</v>
      </c>
      <c r="E74" s="5">
        <f>+D74</f>
        <v>-1.6999999999999999E-3</v>
      </c>
      <c r="F74" s="5">
        <f t="shared" si="24"/>
        <v>0.63997695997891513</v>
      </c>
      <c r="G74" s="3">
        <f>(1+F74)/(1+MAX(F$2:F74))-1</f>
        <v>-3.4212663606533078E-2</v>
      </c>
      <c r="H74" s="10">
        <v>-5.2400000000000002E-2</v>
      </c>
      <c r="I74" s="5">
        <f>+H74</f>
        <v>-5.2400000000000002E-2</v>
      </c>
      <c r="J74" s="5">
        <f t="shared" si="25"/>
        <v>1.5633487605994016</v>
      </c>
      <c r="K74" s="3">
        <f>(1+J74)/(1+MAX(J$2:J74))-1</f>
        <v>-5.2400000000000002E-2</v>
      </c>
      <c r="L74" s="10">
        <v>-2.9600000000000001E-2</v>
      </c>
      <c r="M74" s="5">
        <f>+L74</f>
        <v>-2.9600000000000001E-2</v>
      </c>
      <c r="N74" s="5">
        <f t="shared" si="26"/>
        <v>0.90899115633326133</v>
      </c>
      <c r="O74" s="3">
        <f>(1+N74)/(1+MAX(N$2:N74))-1</f>
        <v>-2.959999999999996E-2</v>
      </c>
      <c r="P74" s="124"/>
      <c r="Q74" s="10">
        <f t="shared" si="27"/>
        <v>-2.5280000000000004E-2</v>
      </c>
      <c r="R74" s="5">
        <f>+Q74</f>
        <v>-2.5280000000000004E-2</v>
      </c>
      <c r="S74" s="5">
        <f t="shared" si="28"/>
        <v>1.0449286465142356</v>
      </c>
      <c r="T74" s="5">
        <f>(1+S74)/(1+MAX(S$2:S74))-1</f>
        <v>-2.528000000000008E-2</v>
      </c>
      <c r="U74" s="51">
        <f t="shared" si="29"/>
        <v>2044.9286465142347</v>
      </c>
      <c r="V74" s="137"/>
      <c r="W74" s="70"/>
      <c r="X74" s="70"/>
      <c r="Y74" s="70"/>
    </row>
    <row r="75" spans="1:25" s="61" customFormat="1" outlineLevel="1" x14ac:dyDescent="0.3">
      <c r="A75" s="61" t="s">
        <v>664</v>
      </c>
      <c r="B75" s="55" t="str">
        <f t="shared" si="23"/>
        <v>2022-2</v>
      </c>
      <c r="C75" s="121">
        <v>44593</v>
      </c>
      <c r="D75" s="20">
        <v>5.8400000000000001E-2</v>
      </c>
      <c r="E75" s="15">
        <f t="shared" si="15"/>
        <v>5.6600720000000049E-2</v>
      </c>
      <c r="F75" s="15">
        <f t="shared" si="24"/>
        <v>0.7357516144416838</v>
      </c>
      <c r="G75" s="13">
        <f>(1+F75)/(1+MAX(F$2:F75))-1</f>
        <v>0</v>
      </c>
      <c r="H75" s="20">
        <v>-3.7900000000000003E-2</v>
      </c>
      <c r="I75" s="15">
        <f t="shared" si="16"/>
        <v>-8.8314040000000094E-2</v>
      </c>
      <c r="J75" s="15">
        <f t="shared" si="25"/>
        <v>1.4661978425726843</v>
      </c>
      <c r="K75" s="13">
        <f>(1+J75)/(1+MAX(J$2:J75))-1</f>
        <v>-8.8314039999999983E-2</v>
      </c>
      <c r="L75" s="20">
        <v>1.47E-2</v>
      </c>
      <c r="M75" s="15">
        <f t="shared" si="19"/>
        <v>-1.5335120000000035E-2</v>
      </c>
      <c r="N75" s="15">
        <f t="shared" si="26"/>
        <v>0.93705332633136007</v>
      </c>
      <c r="O75" s="13">
        <f>(1+N75)/(1+MAX(N$2:N75))-1</f>
        <v>-1.5335120000000035E-2</v>
      </c>
      <c r="P75" s="124"/>
      <c r="Q75" s="20">
        <f t="shared" si="27"/>
        <v>1.6400000000000001E-2</v>
      </c>
      <c r="R75" s="15">
        <f t="shared" si="22"/>
        <v>-9.2945920000000459E-3</v>
      </c>
      <c r="S75" s="15">
        <f t="shared" si="28"/>
        <v>1.0784654763170689</v>
      </c>
      <c r="T75" s="15">
        <f>(1+S75)/(1+MAX(S$2:S75))-1</f>
        <v>-9.2945920000000459E-3</v>
      </c>
      <c r="U75" s="58">
        <f t="shared" si="29"/>
        <v>2078.4654763170684</v>
      </c>
      <c r="V75" s="137"/>
      <c r="W75" s="70"/>
      <c r="X75" s="70"/>
      <c r="Y75" s="70"/>
    </row>
    <row r="76" spans="1:25" s="61" customFormat="1" outlineLevel="1" x14ac:dyDescent="0.3">
      <c r="A76" s="61" t="s">
        <v>664</v>
      </c>
      <c r="B76" s="55" t="str">
        <f t="shared" si="23"/>
        <v>2022-3</v>
      </c>
      <c r="C76" s="121">
        <v>44621</v>
      </c>
      <c r="D76" s="20">
        <v>1.61E-2</v>
      </c>
      <c r="E76" s="15">
        <f t="shared" si="15"/>
        <v>7.3611991592000159E-2</v>
      </c>
      <c r="F76" s="15">
        <f t="shared" si="24"/>
        <v>0.763697215434195</v>
      </c>
      <c r="G76" s="13">
        <f>(1+F76)/(1+MAX(F$2:F76))-1</f>
        <v>0</v>
      </c>
      <c r="H76" s="20">
        <v>1.0999999999999999E-2</v>
      </c>
      <c r="I76" s="15">
        <f t="shared" si="16"/>
        <v>-7.8285494440000214E-2</v>
      </c>
      <c r="J76" s="15">
        <f t="shared" si="25"/>
        <v>1.4933260188409836</v>
      </c>
      <c r="K76" s="13">
        <f>(1+J76)/(1+MAX(J$2:J76))-1</f>
        <v>-7.8285494439999992E-2</v>
      </c>
      <c r="L76" s="20">
        <v>1.8100000000000002E-2</v>
      </c>
      <c r="M76" s="15">
        <f t="shared" si="19"/>
        <v>2.4873143279999788E-3</v>
      </c>
      <c r="N76" s="15">
        <f t="shared" si="26"/>
        <v>0.97211399153795774</v>
      </c>
      <c r="O76" s="13">
        <f>(1+N76)/(1+MAX(N$2:N76))-1</f>
        <v>0</v>
      </c>
      <c r="P76" s="124"/>
      <c r="Q76" s="20">
        <f t="shared" si="27"/>
        <v>1.5169999999999999E-2</v>
      </c>
      <c r="R76" s="15">
        <f t="shared" si="22"/>
        <v>5.7344090393598446E-3</v>
      </c>
      <c r="S76" s="15">
        <f t="shared" si="28"/>
        <v>1.1099957975927985</v>
      </c>
      <c r="T76" s="15">
        <f>(1+S76)/(1+MAX(S$2:S76))-1</f>
        <v>0</v>
      </c>
      <c r="U76" s="58">
        <f t="shared" si="29"/>
        <v>2109.9957975927982</v>
      </c>
      <c r="V76" s="137"/>
      <c r="W76" s="70"/>
      <c r="X76" s="70"/>
      <c r="Y76" s="70"/>
    </row>
    <row r="77" spans="1:25" s="61" customFormat="1" outlineLevel="1" x14ac:dyDescent="0.3">
      <c r="A77" s="61" t="s">
        <v>664</v>
      </c>
      <c r="B77" s="55" t="str">
        <f t="shared" si="23"/>
        <v>2022-4</v>
      </c>
      <c r="C77" s="121">
        <v>44652</v>
      </c>
      <c r="D77" s="20">
        <v>3.9800000000000002E-2</v>
      </c>
      <c r="E77" s="15">
        <f t="shared" si="15"/>
        <v>0.11634174885736193</v>
      </c>
      <c r="F77" s="15">
        <f t="shared" si="24"/>
        <v>0.83389236460847616</v>
      </c>
      <c r="G77" s="13">
        <f>(1+F77)/(1+MAX(F$2:F77))-1</f>
        <v>0</v>
      </c>
      <c r="H77" s="20">
        <v>-3.1E-2</v>
      </c>
      <c r="I77" s="15">
        <f t="shared" si="16"/>
        <v>-0.10685864411236023</v>
      </c>
      <c r="J77" s="15">
        <f t="shared" si="25"/>
        <v>1.4160329122569131</v>
      </c>
      <c r="K77" s="13">
        <f>(1+J77)/(1+MAX(J$2:J77))-1</f>
        <v>-0.10685864411236001</v>
      </c>
      <c r="L77" s="20">
        <v>-5.0000000000000001E-3</v>
      </c>
      <c r="M77" s="15">
        <f t="shared" si="19"/>
        <v>-2.5251222436399878E-3</v>
      </c>
      <c r="N77" s="15">
        <f t="shared" si="26"/>
        <v>0.96225342158026805</v>
      </c>
      <c r="O77" s="13">
        <f>(1+N77)/(1+MAX(N$2:N77))-1</f>
        <v>-5.0000000000000044E-3</v>
      </c>
      <c r="P77" s="124"/>
      <c r="Q77" s="20">
        <f t="shared" si="27"/>
        <v>5.1200000000000013E-3</v>
      </c>
      <c r="R77" s="15">
        <f t="shared" si="22"/>
        <v>1.0883769213641425E-2</v>
      </c>
      <c r="S77" s="15">
        <f t="shared" si="28"/>
        <v>1.1207989760764736</v>
      </c>
      <c r="T77" s="15">
        <f>(1+S77)/(1+MAX(S$2:S77))-1</f>
        <v>0</v>
      </c>
      <c r="U77" s="58">
        <f t="shared" si="29"/>
        <v>2120.7989760764735</v>
      </c>
      <c r="V77" s="137"/>
      <c r="W77" s="70"/>
      <c r="X77" s="70"/>
      <c r="Y77" s="70"/>
    </row>
    <row r="78" spans="1:25" s="61" customFormat="1" outlineLevel="1" x14ac:dyDescent="0.3">
      <c r="A78" s="61" t="s">
        <v>664</v>
      </c>
      <c r="B78" s="55" t="str">
        <f t="shared" si="23"/>
        <v>2022-5</v>
      </c>
      <c r="C78" s="121">
        <v>44682</v>
      </c>
      <c r="D78" s="20">
        <v>-5.67E-2</v>
      </c>
      <c r="E78" s="15">
        <f t="shared" si="15"/>
        <v>5.3045171697149618E-2</v>
      </c>
      <c r="F78" s="15">
        <f t="shared" si="24"/>
        <v>0.72991066753517564</v>
      </c>
      <c r="G78" s="13">
        <f>(1+F78)/(1+MAX(F$2:F78))-1</f>
        <v>-5.6699999999999973E-2</v>
      </c>
      <c r="H78" s="20">
        <v>-1.83E-2</v>
      </c>
      <c r="I78" s="15">
        <f t="shared" si="16"/>
        <v>-0.12320313092510404</v>
      </c>
      <c r="J78" s="15">
        <f t="shared" si="25"/>
        <v>1.3718195099626116</v>
      </c>
      <c r="K78" s="13">
        <f>(1+J78)/(1+MAX(J$2:J78))-1</f>
        <v>-0.12320313092510382</v>
      </c>
      <c r="L78" s="20">
        <v>-7.0000000000000001E-3</v>
      </c>
      <c r="M78" s="15">
        <f t="shared" si="19"/>
        <v>-9.5074463879345483E-3</v>
      </c>
      <c r="N78" s="15">
        <f t="shared" si="26"/>
        <v>0.9485176476292061</v>
      </c>
      <c r="O78" s="13">
        <f>(1+N78)/(1+MAX(N$2:N78))-1</f>
        <v>-1.1965000000000003E-2</v>
      </c>
      <c r="P78" s="124"/>
      <c r="Q78" s="20">
        <f t="shared" si="27"/>
        <v>-3.0270000000000002E-2</v>
      </c>
      <c r="R78" s="15">
        <f t="shared" si="22"/>
        <v>-1.9715682480455521E-2</v>
      </c>
      <c r="S78" s="15">
        <f t="shared" si="28"/>
        <v>1.0566023910706388</v>
      </c>
      <c r="T78" s="15">
        <f>(1+S78)/(1+MAX(S$2:S78))-1</f>
        <v>-3.0270000000000019E-2</v>
      </c>
      <c r="U78" s="58">
        <f t="shared" si="29"/>
        <v>2056.6023910706385</v>
      </c>
      <c r="V78" s="137"/>
      <c r="W78" s="70"/>
      <c r="X78" s="70"/>
      <c r="Y78" s="70"/>
    </row>
    <row r="79" spans="1:25" s="61" customFormat="1" outlineLevel="1" x14ac:dyDescent="0.3">
      <c r="A79" s="61" t="s">
        <v>664</v>
      </c>
      <c r="B79" s="55" t="str">
        <f t="shared" si="23"/>
        <v>2022-6</v>
      </c>
      <c r="C79" s="121">
        <v>44713</v>
      </c>
      <c r="D79" s="20">
        <v>1.47E-2</v>
      </c>
      <c r="E79" s="15">
        <f t="shared" si="15"/>
        <v>6.8524935721097746E-2</v>
      </c>
      <c r="F79" s="15">
        <f t="shared" si="24"/>
        <v>0.75534035434794267</v>
      </c>
      <c r="G79" s="13">
        <f>(1+F79)/(1+MAX(F$2:F79))-1</f>
        <v>-4.283349000000003E-2</v>
      </c>
      <c r="H79" s="20">
        <v>-4.8399999999999999E-2</v>
      </c>
      <c r="I79" s="15">
        <f t="shared" si="16"/>
        <v>-0.16564009938832902</v>
      </c>
      <c r="J79" s="15">
        <f t="shared" si="25"/>
        <v>1.2570234456804212</v>
      </c>
      <c r="K79" s="13">
        <f>(1+J79)/(1+MAX(J$2:J79))-1</f>
        <v>-0.1656400993883288</v>
      </c>
      <c r="L79" s="20">
        <v>-7.4999999999999997E-2</v>
      </c>
      <c r="M79" s="15">
        <f t="shared" si="19"/>
        <v>-8.3794387908839418E-2</v>
      </c>
      <c r="N79" s="15">
        <f t="shared" si="26"/>
        <v>0.80237882405701577</v>
      </c>
      <c r="O79" s="13">
        <f>(1+N79)/(1+MAX(N$2:N79))-1</f>
        <v>-8.606762499999987E-2</v>
      </c>
      <c r="P79" s="124"/>
      <c r="Q79" s="20">
        <f t="shared" si="27"/>
        <v>-3.1139999999999998E-2</v>
      </c>
      <c r="R79" s="15">
        <f t="shared" si="22"/>
        <v>-5.0241736128014081E-2</v>
      </c>
      <c r="S79" s="15">
        <f t="shared" si="28"/>
        <v>0.99255979261269922</v>
      </c>
      <c r="T79" s="15">
        <f>(1+S79)/(1+MAX(S$2:S79))-1</f>
        <v>-6.046739219999997E-2</v>
      </c>
      <c r="U79" s="58">
        <f t="shared" si="29"/>
        <v>1992.5597926126989</v>
      </c>
      <c r="V79" s="137"/>
      <c r="W79" s="70"/>
      <c r="X79" s="70"/>
      <c r="Y79" s="70"/>
    </row>
    <row r="80" spans="1:25" s="61" customFormat="1" outlineLevel="1" x14ac:dyDescent="0.3">
      <c r="A80" s="61" t="s">
        <v>664</v>
      </c>
      <c r="B80" s="55" t="str">
        <f t="shared" si="23"/>
        <v>2022-7</v>
      </c>
      <c r="C80" s="121">
        <v>44743</v>
      </c>
      <c r="D80" s="20">
        <v>-6.9999999999999999E-4</v>
      </c>
      <c r="E80" s="15">
        <f t="shared" si="15"/>
        <v>6.7776968266092918E-2</v>
      </c>
      <c r="F80" s="15">
        <f t="shared" si="24"/>
        <v>0.75411161609989907</v>
      </c>
      <c r="G80" s="13">
        <f>(1+F80)/(1+MAX(F$2:F80))-1</f>
        <v>-4.3503506556999971E-2</v>
      </c>
      <c r="H80" s="20">
        <v>8.2799999999999999E-2</v>
      </c>
      <c r="I80" s="15">
        <f t="shared" si="16"/>
        <v>-9.6555099617682716E-2</v>
      </c>
      <c r="J80" s="15">
        <f t="shared" si="25"/>
        <v>1.4439049869827603</v>
      </c>
      <c r="K80" s="13">
        <f>(1+J80)/(1+MAX(J$2:J80))-1</f>
        <v>-9.6555099617682383E-2</v>
      </c>
      <c r="L80" s="20">
        <v>0.12540000000000001</v>
      </c>
      <c r="M80" s="15">
        <f t="shared" si="19"/>
        <v>3.109779584739214E-2</v>
      </c>
      <c r="N80" s="15">
        <f t="shared" si="26"/>
        <v>1.0283971285937654</v>
      </c>
      <c r="O80" s="13">
        <f>(1+N80)/(1+MAX(N$2:N80))-1</f>
        <v>0</v>
      </c>
      <c r="P80" s="124"/>
      <c r="Q80" s="20">
        <f t="shared" si="27"/>
        <v>6.2179999999999999E-2</v>
      </c>
      <c r="R80" s="15">
        <f t="shared" si="22"/>
        <v>8.8142327195459558E-3</v>
      </c>
      <c r="S80" s="15">
        <f t="shared" si="28"/>
        <v>1.1164571605173568</v>
      </c>
      <c r="T80" s="15">
        <f>(1+S80)/(1+MAX(S$2:S80))-1</f>
        <v>-2.0472546469959552E-3</v>
      </c>
      <c r="U80" s="58">
        <f t="shared" si="29"/>
        <v>2116.4571605173564</v>
      </c>
      <c r="V80" s="137"/>
      <c r="W80" s="70"/>
      <c r="X80" s="70"/>
      <c r="Y80" s="70"/>
    </row>
    <row r="81" spans="1:25" s="61" customFormat="1" outlineLevel="1" x14ac:dyDescent="0.3">
      <c r="A81" s="61" t="s">
        <v>664</v>
      </c>
      <c r="B81" s="55" t="str">
        <f t="shared" si="23"/>
        <v>2022-8</v>
      </c>
      <c r="C81" s="121">
        <v>44774</v>
      </c>
      <c r="D81" s="20">
        <v>-1.34E-2</v>
      </c>
      <c r="E81" s="15">
        <f t="shared" si="15"/>
        <v>5.346875689132724E-2</v>
      </c>
      <c r="F81" s="15">
        <f t="shared" si="24"/>
        <v>0.73060652044416052</v>
      </c>
      <c r="G81" s="13">
        <f>(1+F81)/(1+MAX(F$2:F81))-1</f>
        <v>-5.6320559569136175E-2</v>
      </c>
      <c r="H81" s="20">
        <v>-2.07E-2</v>
      </c>
      <c r="I81" s="15">
        <f t="shared" si="16"/>
        <v>-0.11525640905559675</v>
      </c>
      <c r="J81" s="15">
        <f t="shared" si="25"/>
        <v>1.3933161537522172</v>
      </c>
      <c r="K81" s="13">
        <f>(1+J81)/(1+MAX(J$2:J81))-1</f>
        <v>-0.11525640905559631</v>
      </c>
      <c r="L81" s="20">
        <v>-1.12E-2</v>
      </c>
      <c r="M81" s="15">
        <f t="shared" si="19"/>
        <v>1.9549500533901254E-2</v>
      </c>
      <c r="N81" s="15">
        <f t="shared" si="26"/>
        <v>1.0056790807535152</v>
      </c>
      <c r="O81" s="13">
        <f>(1+N81)/(1+MAX(N$2:N81))-1</f>
        <v>-1.1199999999999988E-2</v>
      </c>
      <c r="P81" s="124"/>
      <c r="Q81" s="20">
        <f t="shared" si="27"/>
        <v>-1.4930000000000001E-2</v>
      </c>
      <c r="R81" s="15">
        <f t="shared" si="22"/>
        <v>-6.2473637749568267E-3</v>
      </c>
      <c r="S81" s="15">
        <f t="shared" si="28"/>
        <v>1.0848584551108327</v>
      </c>
      <c r="T81" s="15">
        <f>(1+S81)/(1+MAX(S$2:S81))-1</f>
        <v>-1.6946689135116322E-2</v>
      </c>
      <c r="U81" s="58">
        <f t="shared" si="29"/>
        <v>2084.8584551108324</v>
      </c>
      <c r="V81" s="137"/>
      <c r="W81" s="70"/>
      <c r="X81" s="70"/>
      <c r="Y81" s="70"/>
    </row>
    <row r="82" spans="1:25" s="61" customFormat="1" outlineLevel="1" x14ac:dyDescent="0.3">
      <c r="A82" s="61" t="s">
        <v>664</v>
      </c>
      <c r="B82" s="55" t="str">
        <f t="shared" si="23"/>
        <v>2022-9</v>
      </c>
      <c r="C82" s="121">
        <v>44805</v>
      </c>
      <c r="D82" s="20">
        <v>-9.2999999999999992E-3</v>
      </c>
      <c r="E82" s="15">
        <f t="shared" si="15"/>
        <v>4.3671497452237862E-2</v>
      </c>
      <c r="F82" s="15">
        <f t="shared" si="24"/>
        <v>0.71451187980402997</v>
      </c>
      <c r="G82" s="13">
        <f>(1+F82)/(1+MAX(F$2:F82))-1</f>
        <v>-6.509677836514316E-2</v>
      </c>
      <c r="H82" s="20">
        <v>-8.3699999999999997E-2</v>
      </c>
      <c r="I82" s="15">
        <f t="shared" si="16"/>
        <v>-0.18930944761764334</v>
      </c>
      <c r="J82" s="15">
        <f t="shared" si="25"/>
        <v>1.1929955916831565</v>
      </c>
      <c r="K82" s="13">
        <f>(1+J82)/(1+MAX(J$2:J82))-1</f>
        <v>-0.18930944761764301</v>
      </c>
      <c r="L82" s="20">
        <v>-8.1900000000000001E-2</v>
      </c>
      <c r="M82" s="15">
        <f t="shared" si="19"/>
        <v>-6.395160355982521E-2</v>
      </c>
      <c r="N82" s="15">
        <f t="shared" si="26"/>
        <v>0.8414139640398024</v>
      </c>
      <c r="O82" s="13">
        <f>(1+N82)/(1+MAX(N$2:N82))-1</f>
        <v>-9.218271999999994E-2</v>
      </c>
      <c r="P82" s="124"/>
      <c r="Q82" s="20">
        <f t="shared" si="27"/>
        <v>-5.3399999999999996E-2</v>
      </c>
      <c r="R82" s="15">
        <f t="shared" si="22"/>
        <v>-5.9313754549374154E-2</v>
      </c>
      <c r="S82" s="15">
        <f t="shared" si="28"/>
        <v>0.97352701360791416</v>
      </c>
      <c r="T82" s="15">
        <f>(1+S82)/(1+MAX(S$2:S82))-1</f>
        <v>-6.9441735935301119E-2</v>
      </c>
      <c r="U82" s="58">
        <f t="shared" si="29"/>
        <v>1973.5270136079139</v>
      </c>
      <c r="V82" s="137"/>
      <c r="W82" s="70"/>
      <c r="X82" s="70"/>
      <c r="Y82" s="70"/>
    </row>
    <row r="83" spans="1:25" s="61" customFormat="1" outlineLevel="1" x14ac:dyDescent="0.3">
      <c r="A83" s="61" t="s">
        <v>664</v>
      </c>
      <c r="B83" s="55" t="str">
        <f t="shared" si="23"/>
        <v>2022-10</v>
      </c>
      <c r="C83" s="121">
        <v>44835</v>
      </c>
      <c r="D83" s="20">
        <v>-2.98E-2</v>
      </c>
      <c r="E83" s="15">
        <f t="shared" si="15"/>
        <v>1.2570086828161076E-2</v>
      </c>
      <c r="F83" s="15">
        <f t="shared" si="24"/>
        <v>0.66341942578586988</v>
      </c>
      <c r="G83" s="13">
        <f>(1+F83)/(1+MAX(F$2:F83))-1</f>
        <v>-9.2956894369861875E-2</v>
      </c>
      <c r="H83" s="20">
        <v>3.9600000000000003E-2</v>
      </c>
      <c r="I83" s="15">
        <f t="shared" si="16"/>
        <v>-0.15720610174330196</v>
      </c>
      <c r="J83" s="15">
        <f t="shared" si="25"/>
        <v>1.2798382171138099</v>
      </c>
      <c r="K83" s="13">
        <f>(1+J83)/(1+MAX(J$2:J83))-1</f>
        <v>-0.15720610174330152</v>
      </c>
      <c r="L83" s="20">
        <v>0.1061</v>
      </c>
      <c r="M83" s="15">
        <f t="shared" si="19"/>
        <v>3.5363131302477369E-2</v>
      </c>
      <c r="N83" s="15">
        <f t="shared" si="26"/>
        <v>1.0367879856244255</v>
      </c>
      <c r="O83" s="13">
        <f>(1+N83)/(1+MAX(N$2:N83))-1</f>
        <v>0</v>
      </c>
      <c r="P83" s="124"/>
      <c r="Q83" s="20">
        <f t="shared" si="27"/>
        <v>3.1789999999999999E-2</v>
      </c>
      <c r="R83" s="15">
        <f t="shared" si="22"/>
        <v>-2.9409338806498764E-2</v>
      </c>
      <c r="S83" s="15">
        <f t="shared" si="28"/>
        <v>1.0362654373705098</v>
      </c>
      <c r="T83" s="15">
        <f>(1+S83)/(1+MAX(S$2:S83))-1</f>
        <v>-3.9859288720684338E-2</v>
      </c>
      <c r="U83" s="58">
        <f t="shared" si="29"/>
        <v>2036.2654373705095</v>
      </c>
      <c r="V83" s="137"/>
      <c r="W83" s="70"/>
      <c r="X83" s="70"/>
      <c r="Y83" s="70"/>
    </row>
    <row r="84" spans="1:25" s="61" customFormat="1" outlineLevel="1" x14ac:dyDescent="0.3">
      <c r="A84" s="61" t="s">
        <v>664</v>
      </c>
      <c r="B84" s="55" t="str">
        <f t="shared" si="23"/>
        <v>2022-11</v>
      </c>
      <c r="C84" s="121">
        <v>44866</v>
      </c>
      <c r="D84" s="20">
        <v>4.58E-2</v>
      </c>
      <c r="E84" s="15">
        <f t="shared" si="15"/>
        <v>5.8945796804890982E-2</v>
      </c>
      <c r="F84" s="15">
        <f t="shared" si="24"/>
        <v>0.73960403548686293</v>
      </c>
      <c r="G84" s="13">
        <f>(1+F84)/(1+MAX(F$2:F84))-1</f>
        <v>-5.1414320132001423E-2</v>
      </c>
      <c r="H84" s="20">
        <v>5.8599999999999999E-2</v>
      </c>
      <c r="I84" s="15">
        <f t="shared" si="16"/>
        <v>-0.10781837930545946</v>
      </c>
      <c r="J84" s="15">
        <f t="shared" si="25"/>
        <v>1.4134367366366791</v>
      </c>
      <c r="K84" s="13">
        <f>(1+J84)/(1+MAX(J$2:J84))-1</f>
        <v>-0.1078183793054589</v>
      </c>
      <c r="L84" s="20">
        <v>1.8599999999999998E-2</v>
      </c>
      <c r="M84" s="15">
        <f t="shared" si="19"/>
        <v>5.4620885544703457E-2</v>
      </c>
      <c r="N84" s="15">
        <f t="shared" si="26"/>
        <v>1.0746722421570398</v>
      </c>
      <c r="O84" s="13">
        <f>(1+N84)/(1+MAX(N$2:N84))-1</f>
        <v>0</v>
      </c>
      <c r="P84" s="124"/>
      <c r="Q84" s="20">
        <f t="shared" si="27"/>
        <v>4.1480000000000003E-2</v>
      </c>
      <c r="R84" s="15">
        <f t="shared" si="22"/>
        <v>1.0850761819807708E-2</v>
      </c>
      <c r="S84" s="15">
        <f t="shared" si="28"/>
        <v>1.1207297277126385</v>
      </c>
      <c r="T84" s="15">
        <f>(1+S84)/(1+MAX(S$2:S84))-1</f>
        <v>-3.2652016818346397E-5</v>
      </c>
      <c r="U84" s="58">
        <f t="shared" si="29"/>
        <v>2120.7297277126381</v>
      </c>
      <c r="V84" s="137"/>
      <c r="W84" s="70"/>
      <c r="X84" s="70"/>
      <c r="Y84" s="70"/>
    </row>
    <row r="85" spans="1:25" s="27" customFormat="1" ht="15" thickBot="1" x14ac:dyDescent="0.35">
      <c r="A85" s="27" t="s">
        <v>664</v>
      </c>
      <c r="B85" s="63" t="str">
        <f t="shared" si="23"/>
        <v>2022-12</v>
      </c>
      <c r="C85" s="122">
        <v>44896</v>
      </c>
      <c r="D85" s="32">
        <v>-3.0000000000000001E-3</v>
      </c>
      <c r="E85" s="25">
        <f t="shared" si="15"/>
        <v>5.5768959414476349E-2</v>
      </c>
      <c r="F85" s="25">
        <f t="shared" si="24"/>
        <v>0.73438522338040224</v>
      </c>
      <c r="G85" s="26">
        <f>(1+F85)/(1+MAX(F$2:F85))-1</f>
        <v>-5.4260077171605414E-2</v>
      </c>
      <c r="H85" s="32">
        <v>1.7299999999999999E-2</v>
      </c>
      <c r="I85" s="25">
        <f t="shared" si="16"/>
        <v>-9.2383637267443808E-2</v>
      </c>
      <c r="J85" s="25">
        <f t="shared" si="25"/>
        <v>1.455189192180494</v>
      </c>
      <c r="K85" s="26">
        <f>(1+J85)/(1+MAX(J$2:J85))-1</f>
        <v>-9.2383637267443253E-2</v>
      </c>
      <c r="L85" s="32">
        <v>-8.6499999999999994E-2</v>
      </c>
      <c r="M85" s="25">
        <f t="shared" si="19"/>
        <v>-3.6603821054913444E-2</v>
      </c>
      <c r="N85" s="25">
        <f t="shared" si="26"/>
        <v>0.89521309321045583</v>
      </c>
      <c r="O85" s="26">
        <f>(1+N85)/(1+MAX(N$2:N85))-1</f>
        <v>-8.6500000000000021E-2</v>
      </c>
      <c r="P85" s="125"/>
      <c r="Q85" s="20">
        <f t="shared" si="27"/>
        <v>-2.196E-2</v>
      </c>
      <c r="R85" s="25">
        <f t="shared" si="22"/>
        <v>-1.1347520909755215E-2</v>
      </c>
      <c r="S85" s="25">
        <f t="shared" si="28"/>
        <v>1.074158502892069</v>
      </c>
      <c r="T85" s="25">
        <f>(1+S85)/(1+MAX(S$2:S85))-1</f>
        <v>-2.1991934978528915E-2</v>
      </c>
      <c r="U85" s="66">
        <f t="shared" si="29"/>
        <v>2074.1585028920686</v>
      </c>
      <c r="V85" s="138"/>
      <c r="W85" s="139"/>
      <c r="X85" s="139"/>
      <c r="Y85" s="139"/>
    </row>
    <row r="86" spans="1:25" s="54" customFormat="1" outlineLevel="1" x14ac:dyDescent="0.3">
      <c r="A86" s="54" t="s">
        <v>664</v>
      </c>
      <c r="B86" s="48" t="str">
        <f t="shared" si="23"/>
        <v>2023-1</v>
      </c>
      <c r="C86" s="120">
        <v>44927</v>
      </c>
      <c r="D86" s="10">
        <v>3.9300000000000002E-2</v>
      </c>
      <c r="E86" s="5">
        <f>+D86</f>
        <v>3.9300000000000002E-2</v>
      </c>
      <c r="F86" s="5">
        <f t="shared" si="24"/>
        <v>0.80254656265925184</v>
      </c>
      <c r="G86" s="3">
        <f>(1+F86)/(1+MAX(F$2:F86))-1</f>
        <v>-1.7092498204449691E-2</v>
      </c>
      <c r="H86" s="10">
        <v>9.64E-2</v>
      </c>
      <c r="I86" s="5">
        <f>+H86</f>
        <v>9.64E-2</v>
      </c>
      <c r="J86" s="5">
        <f t="shared" si="25"/>
        <v>1.6918694303066939</v>
      </c>
      <c r="K86" s="3">
        <f>(1+J86)/(1+MAX(J$2:J86))-1</f>
        <v>-4.8894199000246719E-3</v>
      </c>
      <c r="L86" s="10">
        <v>7.1499999999999994E-2</v>
      </c>
      <c r="M86" s="5">
        <f>+L86</f>
        <v>7.1499999999999994E-2</v>
      </c>
      <c r="N86" s="5">
        <f t="shared" si="26"/>
        <v>1.0307208293750034</v>
      </c>
      <c r="O86" s="3">
        <f>(1+N86)/(1+MAX(N$2:N86))-1</f>
        <v>-2.1184749999999974E-2</v>
      </c>
      <c r="P86" s="124"/>
      <c r="Q86" s="10">
        <f t="shared" si="27"/>
        <v>6.6089999999999996E-2</v>
      </c>
      <c r="R86" s="5">
        <f>+Q86</f>
        <v>6.6089999999999996E-2</v>
      </c>
      <c r="S86" s="5">
        <f t="shared" si="28"/>
        <v>1.2112396383482058</v>
      </c>
      <c r="T86" s="5">
        <f>(1+S86)/(1+MAX(S$2:S86))-1</f>
        <v>0</v>
      </c>
      <c r="U86" s="51">
        <f t="shared" si="29"/>
        <v>2211.2396383482055</v>
      </c>
      <c r="V86" s="137"/>
      <c r="W86" s="70"/>
      <c r="X86" s="70"/>
      <c r="Y86" s="70"/>
    </row>
    <row r="87" spans="1:25" s="61" customFormat="1" outlineLevel="1" x14ac:dyDescent="0.3">
      <c r="A87" s="61" t="s">
        <v>664</v>
      </c>
      <c r="B87" s="55" t="str">
        <f t="shared" si="23"/>
        <v>2023-2</v>
      </c>
      <c r="C87" s="121">
        <v>44958</v>
      </c>
      <c r="D87" s="20">
        <v>-3.2500000000000001E-2</v>
      </c>
      <c r="E87" s="15">
        <f t="shared" si="15"/>
        <v>5.5227499999999097E-3</v>
      </c>
      <c r="F87" s="15">
        <f t="shared" si="24"/>
        <v>0.74396379937282631</v>
      </c>
      <c r="G87" s="13">
        <f>(1+F87)/(1+MAX(F$2:F87))-1</f>
        <v>-4.9036992012804981E-2</v>
      </c>
      <c r="H87" s="20">
        <v>-2.3E-2</v>
      </c>
      <c r="I87" s="15">
        <f t="shared" si="16"/>
        <v>7.1182800000000102E-2</v>
      </c>
      <c r="J87" s="15">
        <f t="shared" si="25"/>
        <v>1.6299564334096397</v>
      </c>
      <c r="K87" s="13">
        <f>(1+J87)/(1+MAX(J$2:J87))-1</f>
        <v>-2.777696324232426E-2</v>
      </c>
      <c r="L87" s="20">
        <v>-8.0000000000000004E-4</v>
      </c>
      <c r="M87" s="15">
        <f t="shared" si="19"/>
        <v>7.0642799999999895E-2</v>
      </c>
      <c r="N87" s="15">
        <f t="shared" si="26"/>
        <v>1.0290962527115033</v>
      </c>
      <c r="O87" s="13">
        <f>(1+N87)/(1+MAX(N$2:N87))-1</f>
        <v>-2.1967802200000053E-2</v>
      </c>
      <c r="P87" s="124"/>
      <c r="Q87" s="20">
        <f t="shared" si="27"/>
        <v>-2.0140000000000002E-2</v>
      </c>
      <c r="R87" s="15">
        <f t="shared" si="22"/>
        <v>4.4618947399999831E-2</v>
      </c>
      <c r="S87" s="15">
        <f t="shared" si="28"/>
        <v>1.1667052720318729</v>
      </c>
      <c r="T87" s="15">
        <f>(1+S87)/(1+MAX(S$2:S87))-1</f>
        <v>-2.0140000000000047E-2</v>
      </c>
      <c r="U87" s="58">
        <f t="shared" si="29"/>
        <v>2166.7052720318725</v>
      </c>
      <c r="V87" s="137"/>
      <c r="W87" s="70"/>
      <c r="X87" s="70"/>
      <c r="Y87" s="70"/>
    </row>
    <row r="88" spans="1:25" s="61" customFormat="1" outlineLevel="1" x14ac:dyDescent="0.3">
      <c r="A88" s="61" t="s">
        <v>664</v>
      </c>
      <c r="B88" s="55" t="str">
        <f t="shared" si="23"/>
        <v>2023-3</v>
      </c>
      <c r="C88" s="121">
        <v>44986</v>
      </c>
      <c r="D88" s="20">
        <v>5.04E-2</v>
      </c>
      <c r="E88" s="15">
        <f t="shared" si="15"/>
        <v>5.6201096599999945E-2</v>
      </c>
      <c r="F88" s="15">
        <f t="shared" si="24"/>
        <v>0.83185957486121676</v>
      </c>
      <c r="G88" s="13">
        <f>(1+F88)/(1+MAX(F$2:F88))-1</f>
        <v>-1.1084564102503691E-3</v>
      </c>
      <c r="H88" s="20">
        <v>-2.3E-3</v>
      </c>
      <c r="I88" s="15">
        <f t="shared" si="16"/>
        <v>6.8719079560000118E-2</v>
      </c>
      <c r="J88" s="15">
        <f t="shared" si="25"/>
        <v>1.6239075336127975</v>
      </c>
      <c r="K88" s="13">
        <f>(1+J88)/(1+MAX(J$2:J88))-1</f>
        <v>-3.0013076226866886E-2</v>
      </c>
      <c r="L88" s="20">
        <v>-8.1199999999999994E-2</v>
      </c>
      <c r="M88" s="15">
        <f t="shared" si="19"/>
        <v>-1.6293395360000074E-2</v>
      </c>
      <c r="N88" s="15">
        <f t="shared" si="26"/>
        <v>0.86433363699132926</v>
      </c>
      <c r="O88" s="13">
        <f>(1+N88)/(1+MAX(N$2:N88))-1</f>
        <v>-0.1013840166613601</v>
      </c>
      <c r="P88" s="124"/>
      <c r="Q88" s="20">
        <f t="shared" si="27"/>
        <v>-4.889999999999995E-3</v>
      </c>
      <c r="R88" s="15">
        <f t="shared" si="22"/>
        <v>3.9510760747213824E-2</v>
      </c>
      <c r="S88" s="15">
        <f t="shared" si="28"/>
        <v>1.1561100832516371</v>
      </c>
      <c r="T88" s="15">
        <f>(1+S88)/(1+MAX(S$2:S88))-1</f>
        <v>-2.4931515399999937E-2</v>
      </c>
      <c r="U88" s="58">
        <f t="shared" si="29"/>
        <v>2156.1100832516368</v>
      </c>
      <c r="V88" s="137"/>
      <c r="W88" s="70"/>
      <c r="X88" s="70"/>
      <c r="Y88" s="70"/>
    </row>
    <row r="89" spans="1:25" s="61" customFormat="1" outlineLevel="1" x14ac:dyDescent="0.3">
      <c r="A89" s="61" t="s">
        <v>664</v>
      </c>
      <c r="B89" s="55" t="str">
        <f t="shared" si="23"/>
        <v>2023-4</v>
      </c>
      <c r="C89" s="121">
        <v>45017</v>
      </c>
      <c r="D89" s="20">
        <v>-2.5999999999999999E-3</v>
      </c>
      <c r="E89" s="15">
        <f t="shared" si="15"/>
        <v>5.3454973748839896E-2</v>
      </c>
      <c r="F89" s="15">
        <f t="shared" si="24"/>
        <v>0.8270967399665774</v>
      </c>
      <c r="G89" s="13">
        <f>(1+F89)/(1+MAX(F$2:F89))-1</f>
        <v>-3.7055744235837684E-3</v>
      </c>
      <c r="H89" s="20">
        <v>-8.5000000000000006E-3</v>
      </c>
      <c r="I89" s="15">
        <f t="shared" si="16"/>
        <v>5.9634967383740189E-2</v>
      </c>
      <c r="J89" s="15">
        <f t="shared" si="25"/>
        <v>1.6016043195770888</v>
      </c>
      <c r="K89" s="13">
        <f>(1+J89)/(1+MAX(J$2:J89))-1</f>
        <v>-3.8257965078938527E-2</v>
      </c>
      <c r="L89" s="20">
        <v>-2.1700000000000001E-2</v>
      </c>
      <c r="M89" s="15">
        <f t="shared" si="19"/>
        <v>-3.7639828680688159E-2</v>
      </c>
      <c r="N89" s="15">
        <f t="shared" si="26"/>
        <v>0.82387759706861741</v>
      </c>
      <c r="O89" s="13">
        <f>(1+N89)/(1+MAX(N$2:N89))-1</f>
        <v>-0.12088398349980856</v>
      </c>
      <c r="P89" s="124"/>
      <c r="Q89" s="20">
        <f t="shared" si="27"/>
        <v>-1.0100000000000001E-2</v>
      </c>
      <c r="R89" s="15">
        <f t="shared" si="22"/>
        <v>2.9011702063666878E-2</v>
      </c>
      <c r="S89" s="15">
        <f t="shared" si="28"/>
        <v>1.1343333714107957</v>
      </c>
      <c r="T89" s="15">
        <f>(1+S89)/(1+MAX(S$2:S89))-1</f>
        <v>-3.4779707094459877E-2</v>
      </c>
      <c r="U89" s="58">
        <f t="shared" si="29"/>
        <v>2134.3333714107953</v>
      </c>
      <c r="V89" s="137"/>
      <c r="W89" s="70"/>
      <c r="X89" s="70"/>
      <c r="Y89" s="70"/>
    </row>
    <row r="90" spans="1:25" s="61" customFormat="1" outlineLevel="1" x14ac:dyDescent="0.3">
      <c r="A90" s="61" t="s">
        <v>664</v>
      </c>
      <c r="B90" s="55" t="str">
        <f t="shared" si="23"/>
        <v>2023-5</v>
      </c>
      <c r="C90" s="121">
        <v>45047</v>
      </c>
      <c r="D90" s="20">
        <v>1.4E-2</v>
      </c>
      <c r="E90" s="15">
        <f t="shared" si="15"/>
        <v>6.8203343381323611E-2</v>
      </c>
      <c r="F90" s="15">
        <f t="shared" si="24"/>
        <v>0.85267609432610958</v>
      </c>
      <c r="G90" s="13">
        <f>(1+F90)/(1+MAX(F$2:F90))-1</f>
        <v>0</v>
      </c>
      <c r="H90" s="20">
        <v>2.5399999999999999E-2</v>
      </c>
      <c r="I90" s="15">
        <f t="shared" si="16"/>
        <v>8.6549695555287354E-2</v>
      </c>
      <c r="J90" s="15">
        <f t="shared" si="25"/>
        <v>1.6676850692943472</v>
      </c>
      <c r="K90" s="13">
        <f>(1+J90)/(1+MAX(J$2:J90))-1</f>
        <v>-1.3829717391943386E-2</v>
      </c>
      <c r="L90" s="20">
        <v>-7.6E-3</v>
      </c>
      <c r="M90" s="15">
        <f t="shared" si="19"/>
        <v>-4.4953765982714944E-2</v>
      </c>
      <c r="N90" s="15">
        <f t="shared" si="26"/>
        <v>0.8100161273308959</v>
      </c>
      <c r="O90" s="13">
        <f>(1+N90)/(1+MAX(N$2:N90))-1</f>
        <v>-0.12756526522521006</v>
      </c>
      <c r="P90" s="124"/>
      <c r="Q90" s="20">
        <f t="shared" si="27"/>
        <v>1.0939999999999998E-2</v>
      </c>
      <c r="R90" s="15">
        <f t="shared" si="22"/>
        <v>4.0269090084243286E-2</v>
      </c>
      <c r="S90" s="15">
        <f t="shared" si="28"/>
        <v>1.1576829784940297</v>
      </c>
      <c r="T90" s="15">
        <f>(1+S90)/(1+MAX(S$2:S90))-1</f>
        <v>-2.4220197090073392E-2</v>
      </c>
      <c r="U90" s="58">
        <f t="shared" si="29"/>
        <v>2157.6829784940292</v>
      </c>
      <c r="V90" s="137"/>
      <c r="W90" s="70"/>
      <c r="X90" s="70"/>
      <c r="Y90" s="70"/>
    </row>
    <row r="91" spans="1:25" s="61" customFormat="1" outlineLevel="1" x14ac:dyDescent="0.3">
      <c r="A91" s="61" t="s">
        <v>664</v>
      </c>
      <c r="B91" s="55" t="str">
        <f t="shared" si="23"/>
        <v>2023-6</v>
      </c>
      <c r="C91" s="121">
        <v>45078</v>
      </c>
      <c r="D91" s="20">
        <v>-3.39E-2</v>
      </c>
      <c r="E91" s="15">
        <f t="shared" ref="E91:E97" si="30">+(1+D91)*(1+E90)-1</f>
        <v>3.1991250040696695E-2</v>
      </c>
      <c r="F91" s="15">
        <f t="shared" si="24"/>
        <v>0.78987037472845434</v>
      </c>
      <c r="G91" s="13">
        <f>(1+F91)/(1+MAX(F$2:F91))-1</f>
        <v>-3.3900000000000041E-2</v>
      </c>
      <c r="H91" s="20">
        <v>5.1400000000000001E-2</v>
      </c>
      <c r="I91" s="15">
        <f t="shared" ref="I91:I97" si="31">+(1+H91)*(1+I90)-1</f>
        <v>0.14239834990682931</v>
      </c>
      <c r="J91" s="15">
        <f t="shared" si="25"/>
        <v>1.8048040818560769</v>
      </c>
      <c r="K91" s="13">
        <f>(1+J91)/(1+MAX(J$2:J91))-1</f>
        <v>0</v>
      </c>
      <c r="L91" s="20">
        <v>8.14E-2</v>
      </c>
      <c r="M91" s="15">
        <f t="shared" si="19"/>
        <v>3.2786997466291989E-2</v>
      </c>
      <c r="N91" s="15">
        <f t="shared" si="26"/>
        <v>0.95735144009563067</v>
      </c>
      <c r="O91" s="13">
        <f>(1+N91)/(1+MAX(N$2:N91))-1</f>
        <v>-5.6549077814542215E-2</v>
      </c>
      <c r="P91" s="124"/>
      <c r="Q91" s="20">
        <f t="shared" si="27"/>
        <v>2.6279999999999998E-2</v>
      </c>
      <c r="R91" s="15">
        <f t="shared" si="22"/>
        <v>6.7607361771657271E-2</v>
      </c>
      <c r="S91" s="15">
        <f t="shared" si="28"/>
        <v>1.2143868871688528</v>
      </c>
      <c r="T91" s="15">
        <f>(1+S91)/(1+MAX(S$2:S91))-1</f>
        <v>0</v>
      </c>
      <c r="U91" s="58">
        <f t="shared" si="29"/>
        <v>2214.3868871688524</v>
      </c>
      <c r="V91" s="137"/>
      <c r="W91" s="70"/>
      <c r="X91" s="70"/>
      <c r="Y91" s="70"/>
    </row>
    <row r="92" spans="1:25" s="61" customFormat="1" outlineLevel="1" x14ac:dyDescent="0.3">
      <c r="A92" s="61" t="s">
        <v>664</v>
      </c>
      <c r="B92" s="55" t="str">
        <f t="shared" si="23"/>
        <v>2023-7</v>
      </c>
      <c r="C92" s="121">
        <v>45108</v>
      </c>
      <c r="D92" s="20">
        <v>7.7999999999999996E-3</v>
      </c>
      <c r="E92" s="15">
        <f t="shared" si="30"/>
        <v>4.0040781791014224E-2</v>
      </c>
      <c r="F92" s="15">
        <f t="shared" si="24"/>
        <v>0.80383136365133634</v>
      </c>
      <c r="G92" s="13">
        <f>(1+F92)/(1+MAX(F$2:F92))-1</f>
        <v>-2.6364420000000055E-2</v>
      </c>
      <c r="H92" s="20">
        <v>2.3800000000000002E-2</v>
      </c>
      <c r="I92" s="15">
        <f t="shared" si="31"/>
        <v>0.1695874306346119</v>
      </c>
      <c r="J92" s="15">
        <f t="shared" si="25"/>
        <v>1.8715584190042516</v>
      </c>
      <c r="K92" s="13">
        <f>(1+J92)/(1+MAX(J$2:J92))-1</f>
        <v>0</v>
      </c>
      <c r="L92" s="20">
        <v>3.9699999999999999E-2</v>
      </c>
      <c r="M92" s="15">
        <f t="shared" si="19"/>
        <v>7.3788641265703836E-2</v>
      </c>
      <c r="N92" s="15">
        <f t="shared" si="26"/>
        <v>1.0350582922674274</v>
      </c>
      <c r="O92" s="13">
        <f>(1+N92)/(1+MAX(N$2:N92))-1</f>
        <v>-1.9094076203779453E-2</v>
      </c>
      <c r="P92" s="124"/>
      <c r="Q92" s="20">
        <f t="shared" si="27"/>
        <v>2.2169999999999999E-2</v>
      </c>
      <c r="R92" s="15">
        <f t="shared" si="22"/>
        <v>9.1276216982134839E-2</v>
      </c>
      <c r="S92" s="15">
        <f t="shared" si="28"/>
        <v>1.2634798444573865</v>
      </c>
      <c r="T92" s="15">
        <f>(1+S92)/(1+MAX(S$2:S92))-1</f>
        <v>0</v>
      </c>
      <c r="U92" s="58">
        <f t="shared" si="29"/>
        <v>2263.4798444573858</v>
      </c>
      <c r="V92" s="137"/>
      <c r="W92" s="70"/>
      <c r="X92" s="70"/>
      <c r="Y92" s="70"/>
    </row>
    <row r="93" spans="1:25" s="61" customFormat="1" outlineLevel="1" x14ac:dyDescent="0.3">
      <c r="A93" s="61" t="s">
        <v>664</v>
      </c>
      <c r="B93" s="55" t="str">
        <f t="shared" si="23"/>
        <v>2023-8</v>
      </c>
      <c r="C93" s="121">
        <v>45139</v>
      </c>
      <c r="D93" s="20">
        <v>-3.8E-3</v>
      </c>
      <c r="E93" s="15">
        <f t="shared" si="30"/>
        <v>3.6088626820208303E-2</v>
      </c>
      <c r="F93" s="15">
        <f t="shared" si="24"/>
        <v>0.79697680446946118</v>
      </c>
      <c r="G93" s="13">
        <f>(1+F93)/(1+MAX(F$2:F93))-1</f>
        <v>-3.0064235204000034E-2</v>
      </c>
      <c r="H93" s="20">
        <v>-3.2500000000000001E-2</v>
      </c>
      <c r="I93" s="15">
        <f t="shared" si="31"/>
        <v>0.13157583913898696</v>
      </c>
      <c r="J93" s="15">
        <f t="shared" si="25"/>
        <v>1.7782327703866136</v>
      </c>
      <c r="K93" s="13">
        <f>(1+J93)/(1+MAX(J$2:J93))-1</f>
        <v>-3.2499999999999862E-2</v>
      </c>
      <c r="L93" s="20">
        <v>-2.5499999999999998E-2</v>
      </c>
      <c r="M93" s="15">
        <f t="shared" si="19"/>
        <v>4.6407030913428349E-2</v>
      </c>
      <c r="N93" s="15">
        <f t="shared" si="26"/>
        <v>0.98316430581460801</v>
      </c>
      <c r="O93" s="13">
        <f>(1+N93)/(1+MAX(N$2:N93))-1</f>
        <v>-4.4107177260582997E-2</v>
      </c>
      <c r="P93" s="124"/>
      <c r="Q93" s="20">
        <f t="shared" si="27"/>
        <v>-1.8919999999999999E-2</v>
      </c>
      <c r="R93" s="15">
        <f t="shared" si="22"/>
        <v>7.0629270956832801E-2</v>
      </c>
      <c r="S93" s="15">
        <f t="shared" si="28"/>
        <v>1.2206548058002524</v>
      </c>
      <c r="T93" s="15">
        <f>(1+S93)/(1+MAX(S$2:S93))-1</f>
        <v>-1.8920000000000159E-2</v>
      </c>
      <c r="U93" s="58">
        <f t="shared" si="29"/>
        <v>2220.6548058002518</v>
      </c>
      <c r="V93" s="137"/>
      <c r="W93" s="70"/>
      <c r="X93" s="70"/>
      <c r="Y93" s="70"/>
    </row>
    <row r="94" spans="1:25" s="61" customFormat="1" outlineLevel="1" x14ac:dyDescent="0.3">
      <c r="A94" s="61" t="s">
        <v>664</v>
      </c>
      <c r="B94" s="55" t="str">
        <f t="shared" si="23"/>
        <v>2023-9</v>
      </c>
      <c r="C94" s="121">
        <v>45170</v>
      </c>
      <c r="D94" s="20">
        <v>-1.4500000000000001E-2</v>
      </c>
      <c r="E94" s="15">
        <f t="shared" si="30"/>
        <v>2.1065341731315357E-2</v>
      </c>
      <c r="F94" s="15">
        <f t="shared" si="24"/>
        <v>0.77092064080465406</v>
      </c>
      <c r="G94" s="13">
        <f>(1+F94)/(1+MAX(F$2:F94))-1</f>
        <v>-4.4128303793542045E-2</v>
      </c>
      <c r="H94" s="20">
        <v>-2.47E-2</v>
      </c>
      <c r="I94" s="15">
        <f t="shared" si="31"/>
        <v>0.10362591591225412</v>
      </c>
      <c r="J94" s="15">
        <f t="shared" si="25"/>
        <v>1.7096104209580645</v>
      </c>
      <c r="K94" s="13">
        <f>(1+J94)/(1+MAX(J$2:J94))-1</f>
        <v>-5.6397249999999843E-2</v>
      </c>
      <c r="L94" s="20">
        <v>-1.5599999999999999E-2</v>
      </c>
      <c r="M94" s="15">
        <f t="shared" si="19"/>
        <v>3.0083081231178976E-2</v>
      </c>
      <c r="N94" s="15">
        <f t="shared" si="26"/>
        <v>0.95222694264390029</v>
      </c>
      <c r="O94" s="13">
        <f>(1+N94)/(1+MAX(N$2:N94))-1</f>
        <v>-5.9019105295317842E-2</v>
      </c>
      <c r="P94" s="124"/>
      <c r="Q94" s="20">
        <f t="shared" si="27"/>
        <v>-1.789E-2</v>
      </c>
      <c r="R94" s="15">
        <f t="shared" si="22"/>
        <v>5.1475713299415027E-2</v>
      </c>
      <c r="S94" s="15">
        <f t="shared" si="28"/>
        <v>1.1809272913244859</v>
      </c>
      <c r="T94" s="15">
        <f>(1+S94)/(1+MAX(S$2:S94))-1</f>
        <v>-3.6471521200000079E-2</v>
      </c>
      <c r="U94" s="58">
        <f t="shared" si="29"/>
        <v>2180.9272913244854</v>
      </c>
      <c r="V94" s="137"/>
      <c r="W94" s="70"/>
      <c r="X94" s="70"/>
      <c r="Y94" s="70"/>
    </row>
    <row r="95" spans="1:25" s="61" customFormat="1" outlineLevel="1" x14ac:dyDescent="0.3">
      <c r="A95" s="61" t="s">
        <v>664</v>
      </c>
      <c r="B95" s="55" t="str">
        <f t="shared" si="23"/>
        <v>2023-10</v>
      </c>
      <c r="C95" s="121">
        <v>45200</v>
      </c>
      <c r="D95" s="20">
        <v>6.9000000000000006E-2</v>
      </c>
      <c r="E95" s="15">
        <f t="shared" si="30"/>
        <v>9.1518850310776001E-2</v>
      </c>
      <c r="F95" s="15">
        <f t="shared" si="24"/>
        <v>0.89311416502017504</v>
      </c>
      <c r="G95" s="13">
        <f>(1+F95)/(1+MAX(F$2:F95))-1</f>
        <v>0</v>
      </c>
      <c r="H95" s="20">
        <v>-4.7199999999999999E-2</v>
      </c>
      <c r="I95" s="15">
        <f t="shared" si="31"/>
        <v>5.1534772681195662E-2</v>
      </c>
      <c r="J95" s="15">
        <f t="shared" si="25"/>
        <v>1.5817168090888436</v>
      </c>
      <c r="K95" s="13">
        <f>(1+J95)/(1+MAX(J$2:J95))-1</f>
        <v>-0.10093529979999993</v>
      </c>
      <c r="L95" s="20">
        <v>-5.3199999999999997E-2</v>
      </c>
      <c r="M95" s="15">
        <f t="shared" si="19"/>
        <v>-2.4717338690319779E-2</v>
      </c>
      <c r="N95" s="15">
        <f t="shared" si="26"/>
        <v>0.84836846929524468</v>
      </c>
      <c r="O95" s="13">
        <f>(1+N95)/(1+MAX(N$2:N95))-1</f>
        <v>-0.10907928889360696</v>
      </c>
      <c r="P95" s="124"/>
      <c r="Q95" s="20">
        <f t="shared" si="27"/>
        <v>-2.5199999999999945E-3</v>
      </c>
      <c r="R95" s="15">
        <f t="shared" si="22"/>
        <v>4.8825994501900505E-2</v>
      </c>
      <c r="S95" s="15">
        <f t="shared" si="28"/>
        <v>1.1754313545503483</v>
      </c>
      <c r="T95" s="15">
        <f>(1+S95)/(1+MAX(S$2:S95))-1</f>
        <v>-3.8899612966576069E-2</v>
      </c>
      <c r="U95" s="58">
        <f t="shared" si="29"/>
        <v>2175.4313545503478</v>
      </c>
      <c r="V95" s="137"/>
      <c r="W95" s="70"/>
      <c r="X95" s="70"/>
      <c r="Y95" s="70"/>
    </row>
    <row r="96" spans="1:25" s="61" customFormat="1" outlineLevel="1" x14ac:dyDescent="0.3">
      <c r="A96" s="61" t="s">
        <v>664</v>
      </c>
      <c r="B96" s="55" t="str">
        <f t="shared" si="23"/>
        <v>2023-11</v>
      </c>
      <c r="C96" s="121">
        <v>45231</v>
      </c>
      <c r="D96" s="20">
        <v>-8.2000000000000007E-3</v>
      </c>
      <c r="E96" s="15">
        <f t="shared" si="30"/>
        <v>8.2568395738227718E-2</v>
      </c>
      <c r="F96" s="15">
        <f t="shared" si="24"/>
        <v>0.87759062886700967</v>
      </c>
      <c r="G96" s="13">
        <f>(1+F96)/(1+MAX(F$2:F96))-1</f>
        <v>-8.1999999999999851E-3</v>
      </c>
      <c r="H96" s="20">
        <v>7.2999999999999995E-2</v>
      </c>
      <c r="I96" s="15">
        <f t="shared" si="31"/>
        <v>0.12829681108692292</v>
      </c>
      <c r="J96" s="15">
        <f t="shared" si="25"/>
        <v>1.7701821361523291</v>
      </c>
      <c r="K96" s="13">
        <f>(1+J96)/(1+MAX(J$2:J96))-1</f>
        <v>-3.5303576685399962E-2</v>
      </c>
      <c r="L96" s="20">
        <v>5.1900000000000002E-2</v>
      </c>
      <c r="M96" s="15">
        <f t="shared" si="19"/>
        <v>2.5899831431652753E-2</v>
      </c>
      <c r="N96" s="15">
        <f t="shared" si="26"/>
        <v>0.94429879285166796</v>
      </c>
      <c r="O96" s="13">
        <f>(1+N96)/(1+MAX(N$2:N96))-1</f>
        <v>-6.2840503987185214E-2</v>
      </c>
      <c r="P96" s="124"/>
      <c r="Q96" s="20">
        <f t="shared" si="27"/>
        <v>3.4189999999999998E-2</v>
      </c>
      <c r="R96" s="15">
        <f t="shared" si="22"/>
        <v>8.4685355253920402E-2</v>
      </c>
      <c r="S96" s="15">
        <f t="shared" si="28"/>
        <v>1.2498093525624245</v>
      </c>
      <c r="T96" s="15">
        <f>(1+S96)/(1+MAX(S$2:S96))-1</f>
        <v>-6.0395907339033661E-3</v>
      </c>
      <c r="U96" s="58">
        <f t="shared" si="29"/>
        <v>2249.809352562424</v>
      </c>
      <c r="V96" s="137"/>
      <c r="W96" s="70"/>
      <c r="X96" s="70"/>
      <c r="Y96" s="70"/>
    </row>
    <row r="97" spans="1:25" s="27" customFormat="1" ht="15" thickBot="1" x14ac:dyDescent="0.35">
      <c r="A97" s="27" t="s">
        <v>664</v>
      </c>
      <c r="B97" s="63" t="str">
        <f t="shared" si="23"/>
        <v>2023-12</v>
      </c>
      <c r="C97" s="122">
        <v>45261</v>
      </c>
      <c r="D97" s="32">
        <v>4.1000000000000003E-3</v>
      </c>
      <c r="E97" s="25">
        <f t="shared" si="30"/>
        <v>8.700692616075445E-2</v>
      </c>
      <c r="F97" s="25">
        <f t="shared" si="24"/>
        <v>0.88528875044536437</v>
      </c>
      <c r="G97" s="26">
        <f>(1+F97)/(1+MAX(F$2:F97))-1</f>
        <v>-4.133619999999949E-3</v>
      </c>
      <c r="H97" s="32">
        <v>5.4300000000000001E-2</v>
      </c>
      <c r="I97" s="25">
        <f t="shared" si="31"/>
        <v>0.18956332792894282</v>
      </c>
      <c r="J97" s="25">
        <f t="shared" si="25"/>
        <v>1.9206030261454008</v>
      </c>
      <c r="K97" s="26">
        <f>(1+J97)/(1+MAX(J$2:J97))-1</f>
        <v>0</v>
      </c>
      <c r="L97" s="32">
        <v>8.8599999999999998E-2</v>
      </c>
      <c r="M97" s="25">
        <f t="shared" si="19"/>
        <v>0.11679455649649717</v>
      </c>
      <c r="N97" s="25">
        <f t="shared" si="26"/>
        <v>1.1165636658983256</v>
      </c>
      <c r="O97" s="26">
        <f>(1+N97)/(1+MAX(N$2:N97))-1</f>
        <v>0</v>
      </c>
      <c r="P97" s="125"/>
      <c r="Q97" s="20">
        <f t="shared" si="27"/>
        <v>4.4509999999999994E-2</v>
      </c>
      <c r="R97" s="25">
        <f t="shared" si="22"/>
        <v>0.1329647004162724</v>
      </c>
      <c r="S97" s="25">
        <f t="shared" si="28"/>
        <v>1.3499483668449783</v>
      </c>
      <c r="T97" s="25">
        <f>(1+S97)/(1+MAX(S$2:S97))-1</f>
        <v>0</v>
      </c>
      <c r="U97" s="66">
        <f t="shared" si="29"/>
        <v>2349.9483668449775</v>
      </c>
      <c r="V97" s="138"/>
      <c r="W97" s="139"/>
      <c r="X97" s="139"/>
      <c r="Y97" s="139"/>
    </row>
    <row r="98" spans="1:25" s="54" customFormat="1" outlineLevel="1" x14ac:dyDescent="0.3">
      <c r="A98" s="54" t="s">
        <v>664</v>
      </c>
      <c r="B98" s="48" t="str">
        <f t="shared" si="23"/>
        <v>2024-1</v>
      </c>
      <c r="C98" s="120">
        <v>45292</v>
      </c>
      <c r="D98" s="10">
        <v>6.6E-3</v>
      </c>
      <c r="E98" s="5">
        <f>+D98</f>
        <v>6.6E-3</v>
      </c>
      <c r="F98" s="5">
        <f t="shared" si="24"/>
        <v>0.89773165619830375</v>
      </c>
      <c r="G98" s="3">
        <f>(1+F98)/(1+MAX(F$2:F98))-1</f>
        <v>0</v>
      </c>
      <c r="H98" s="10">
        <v>1.4800000000000001E-2</v>
      </c>
      <c r="I98" s="5">
        <f>+H98</f>
        <v>1.4800000000000001E-2</v>
      </c>
      <c r="J98" s="5">
        <f t="shared" si="25"/>
        <v>1.9638279509323526</v>
      </c>
      <c r="K98" s="3">
        <f>(1+J98)/(1+MAX(J$2:J98))-1</f>
        <v>0</v>
      </c>
      <c r="L98" s="10">
        <v>-4.3E-3</v>
      </c>
      <c r="M98" s="5">
        <f>+L98</f>
        <v>-4.3E-3</v>
      </c>
      <c r="N98" s="5">
        <f t="shared" si="26"/>
        <v>1.1074624421349628</v>
      </c>
      <c r="O98" s="3">
        <f>(1+N98)/(1+MAX(N$2:N98))-1</f>
        <v>-4.2999999999999705E-3</v>
      </c>
      <c r="P98" s="124"/>
      <c r="Q98" s="10">
        <f t="shared" si="27"/>
        <v>5.79E-3</v>
      </c>
      <c r="R98" s="5">
        <f>+Q98</f>
        <v>5.79E-3</v>
      </c>
      <c r="S98" s="5">
        <f t="shared" si="28"/>
        <v>1.3635545678890106</v>
      </c>
      <c r="T98" s="5">
        <f>(1+S98)/(1+MAX(S$2:S98))-1</f>
        <v>0</v>
      </c>
      <c r="U98" s="51">
        <f t="shared" si="29"/>
        <v>2363.5545678890098</v>
      </c>
      <c r="V98" s="137"/>
      <c r="W98" s="70"/>
      <c r="X98" s="70"/>
      <c r="Y98" s="70"/>
    </row>
    <row r="99" spans="1:25" s="61" customFormat="1" outlineLevel="1" x14ac:dyDescent="0.3">
      <c r="A99" s="61" t="s">
        <v>664</v>
      </c>
      <c r="B99" s="55" t="str">
        <f t="shared" si="23"/>
        <v>2024-2</v>
      </c>
      <c r="C99" s="121">
        <v>45323</v>
      </c>
      <c r="D99" s="20">
        <v>4.5999999999999999E-3</v>
      </c>
      <c r="E99" s="15">
        <f t="shared" ref="E99:E109" si="32">+(1+D99)*(1+E98)-1</f>
        <v>1.1230359999999884E-2</v>
      </c>
      <c r="F99" s="15">
        <f t="shared" si="24"/>
        <v>0.90646122181681577</v>
      </c>
      <c r="G99" s="13">
        <f>(1+F99)/(1+MAX(F$2:F99))-1</f>
        <v>0</v>
      </c>
      <c r="H99" s="20">
        <v>5.5899999999999998E-2</v>
      </c>
      <c r="I99" s="15">
        <f t="shared" ref="I99:I109" si="33">+(1+H99)*(1+I98)-1</f>
        <v>7.152731999999995E-2</v>
      </c>
      <c r="J99" s="15">
        <f t="shared" si="25"/>
        <v>2.1295059333894715</v>
      </c>
      <c r="K99" s="13">
        <f>(1+J99)/(1+MAX(J$2:J99))-1</f>
        <v>0</v>
      </c>
      <c r="L99" s="20">
        <v>4.1099999999999998E-2</v>
      </c>
      <c r="M99" s="15">
        <f t="shared" ref="M99:M109" si="34">+(1+L99)*(1+M98)-1</f>
        <v>3.6623269999999986E-2</v>
      </c>
      <c r="N99" s="15">
        <f t="shared" si="26"/>
        <v>1.1940791485067095</v>
      </c>
      <c r="O99" s="13">
        <f>(1+N99)/(1+MAX(N$2:N99))-1</f>
        <v>0</v>
      </c>
      <c r="P99" s="124"/>
      <c r="Q99" s="20">
        <f t="shared" si="27"/>
        <v>3.0940000000000002E-2</v>
      </c>
      <c r="R99" s="15">
        <f t="shared" si="22"/>
        <v>3.6909142599999889E-2</v>
      </c>
      <c r="S99" s="15">
        <f t="shared" si="28"/>
        <v>1.4366829462194968</v>
      </c>
      <c r="T99" s="15">
        <f>(1+S99)/(1+MAX(S$2:S99))-1</f>
        <v>0</v>
      </c>
      <c r="U99" s="58">
        <f t="shared" si="29"/>
        <v>2436.6829462194955</v>
      </c>
      <c r="V99" s="137"/>
      <c r="W99" s="70"/>
      <c r="X99" s="70"/>
      <c r="Y99" s="70"/>
    </row>
    <row r="100" spans="1:25" s="61" customFormat="1" outlineLevel="1" x14ac:dyDescent="0.3">
      <c r="A100" s="61" t="s">
        <v>664</v>
      </c>
      <c r="B100" s="55" t="str">
        <f t="shared" si="23"/>
        <v>2024-3</v>
      </c>
      <c r="C100" s="121">
        <v>45352</v>
      </c>
      <c r="D100" s="20">
        <v>8.9499999999999996E-2</v>
      </c>
      <c r="E100" s="15">
        <f t="shared" si="32"/>
        <v>0.10173547721999987</v>
      </c>
      <c r="F100" s="15">
        <f t="shared" si="24"/>
        <v>1.0770895011694206</v>
      </c>
      <c r="G100" s="13">
        <f>(1+F100)/(1+MAX(F$2:F100))-1</f>
        <v>0</v>
      </c>
      <c r="H100" s="20">
        <v>3.2199999999999999E-2</v>
      </c>
      <c r="I100" s="15">
        <f t="shared" si="33"/>
        <v>0.10603049970400003</v>
      </c>
      <c r="J100" s="15">
        <f t="shared" si="25"/>
        <v>2.2302760244446125</v>
      </c>
      <c r="K100" s="13">
        <f>(1+J100)/(1+MAX(J$2:J100))-1</f>
        <v>0</v>
      </c>
      <c r="L100" s="20">
        <v>5.7799999999999997E-2</v>
      </c>
      <c r="M100" s="15">
        <f t="shared" si="34"/>
        <v>9.6540095006000026E-2</v>
      </c>
      <c r="N100" s="15">
        <f t="shared" si="26"/>
        <v>1.3208969232903973</v>
      </c>
      <c r="O100" s="13">
        <f>(1+N100)/(1+MAX(N$2:N100))-1</f>
        <v>0</v>
      </c>
      <c r="P100" s="124"/>
      <c r="Q100" s="20">
        <f t="shared" si="27"/>
        <v>6.2799999999999995E-2</v>
      </c>
      <c r="R100" s="15">
        <f t="shared" si="22"/>
        <v>0.1020270367552798</v>
      </c>
      <c r="S100" s="15">
        <f t="shared" si="28"/>
        <v>1.5897066352420812</v>
      </c>
      <c r="T100" s="15">
        <f>(1+S100)/(1+MAX(S$2:S100))-1</f>
        <v>0</v>
      </c>
      <c r="U100" s="58">
        <f t="shared" si="29"/>
        <v>2589.7066352420798</v>
      </c>
      <c r="V100" s="137"/>
      <c r="W100" s="70"/>
      <c r="X100" s="70"/>
      <c r="Y100" s="70"/>
    </row>
    <row r="101" spans="1:25" s="61" customFormat="1" outlineLevel="1" x14ac:dyDescent="0.3">
      <c r="A101" s="61" t="s">
        <v>664</v>
      </c>
      <c r="B101" s="55" t="str">
        <f t="shared" si="23"/>
        <v>2024-4</v>
      </c>
      <c r="C101" s="121">
        <v>45383</v>
      </c>
      <c r="D101" s="20">
        <v>4.0099999999999997E-2</v>
      </c>
      <c r="E101" s="15">
        <f t="shared" si="32"/>
        <v>0.14591506985652192</v>
      </c>
      <c r="F101" s="15">
        <f t="shared" si="24"/>
        <v>1.1603807901663146</v>
      </c>
      <c r="G101" s="13">
        <f>(1+F101)/(1+MAX(F$2:F101))-1</f>
        <v>0</v>
      </c>
      <c r="H101" s="20">
        <v>-2.8899999999999999E-2</v>
      </c>
      <c r="I101" s="15">
        <f t="shared" si="33"/>
        <v>7.406621826255444E-2</v>
      </c>
      <c r="J101" s="15">
        <f t="shared" si="25"/>
        <v>2.1369210473381632</v>
      </c>
      <c r="K101" s="13">
        <f>(1+J101)/(1+MAX(J$2:J101))-1</f>
        <v>-2.8900000000000037E-2</v>
      </c>
      <c r="L101" s="20">
        <v>-5.1700000000000003E-2</v>
      </c>
      <c r="M101" s="15">
        <f t="shared" si="34"/>
        <v>3.9848972094189916E-2</v>
      </c>
      <c r="N101" s="15">
        <f t="shared" si="26"/>
        <v>1.2009065523562836</v>
      </c>
      <c r="O101" s="13">
        <f>(1+N101)/(1+MAX(N$2:N101))-1</f>
        <v>-5.1700000000000079E-2</v>
      </c>
      <c r="P101" s="124"/>
      <c r="Q101" s="20">
        <f t="shared" si="27"/>
        <v>-8.1399999999999997E-3</v>
      </c>
      <c r="R101" s="15">
        <f t="shared" si="22"/>
        <v>9.3056536676091817E-2</v>
      </c>
      <c r="S101" s="15">
        <f t="shared" si="28"/>
        <v>1.5686264232312106</v>
      </c>
      <c r="T101" s="15">
        <f>(1+S101)/(1+MAX(S$2:S101))-1</f>
        <v>-8.1400000000000361E-3</v>
      </c>
      <c r="U101" s="58">
        <f t="shared" si="29"/>
        <v>2568.6264232312092</v>
      </c>
      <c r="V101" s="137"/>
      <c r="W101" s="70"/>
      <c r="X101" s="70"/>
      <c r="Y101" s="70"/>
    </row>
    <row r="102" spans="1:25" s="61" customFormat="1" outlineLevel="1" x14ac:dyDescent="0.3">
      <c r="A102" s="61" t="s">
        <v>664</v>
      </c>
      <c r="B102" s="55" t="str">
        <f t="shared" si="23"/>
        <v>2024-5</v>
      </c>
      <c r="C102" s="121">
        <v>45413</v>
      </c>
      <c r="D102" s="20">
        <v>4.7000000000000002E-3</v>
      </c>
      <c r="E102" s="15">
        <f t="shared" si="32"/>
        <v>0.15130087068484754</v>
      </c>
      <c r="F102" s="15">
        <f t="shared" si="24"/>
        <v>1.1705345798800959</v>
      </c>
      <c r="G102" s="13">
        <f>(1+F102)/(1+MAX(F$2:F102))-1</f>
        <v>0</v>
      </c>
      <c r="H102" s="20">
        <v>2.8299999999999999E-2</v>
      </c>
      <c r="I102" s="15">
        <f t="shared" si="33"/>
        <v>0.10446229223938475</v>
      </c>
      <c r="J102" s="15">
        <f t="shared" si="25"/>
        <v>2.2256959129778333</v>
      </c>
      <c r="K102" s="13">
        <f>(1+J102)/(1+MAX(J$2:J102))-1</f>
        <v>-1.4178699999999322E-3</v>
      </c>
      <c r="L102" s="20">
        <v>3.1099999999999999E-2</v>
      </c>
      <c r="M102" s="15">
        <f t="shared" si="34"/>
        <v>7.2188275126319201E-2</v>
      </c>
      <c r="N102" s="15">
        <f t="shared" si="26"/>
        <v>1.2693547461345638</v>
      </c>
      <c r="O102" s="13">
        <f>(1+N102)/(1+MAX(N$2:N102))-1</f>
        <v>-2.2207870000000129E-2</v>
      </c>
      <c r="P102" s="124"/>
      <c r="Q102" s="20">
        <f t="shared" si="27"/>
        <v>1.9699999999999999E-2</v>
      </c>
      <c r="R102" s="15">
        <f t="shared" si="22"/>
        <v>0.11458975044861086</v>
      </c>
      <c r="S102" s="15">
        <f t="shared" si="28"/>
        <v>1.6192283637688654</v>
      </c>
      <c r="T102" s="15">
        <f>(1+S102)/(1+MAX(S$2:S102))-1</f>
        <v>0</v>
      </c>
      <c r="U102" s="58">
        <f t="shared" si="29"/>
        <v>2619.2283637688643</v>
      </c>
      <c r="V102" s="137"/>
      <c r="W102" s="70"/>
      <c r="X102" s="70"/>
      <c r="Y102" s="70"/>
    </row>
    <row r="103" spans="1:25" s="61" customFormat="1" outlineLevel="1" x14ac:dyDescent="0.3">
      <c r="A103" s="61" t="s">
        <v>664</v>
      </c>
      <c r="B103" s="55" t="str">
        <f t="shared" si="23"/>
        <v>2024-6</v>
      </c>
      <c r="C103" s="121">
        <v>45444</v>
      </c>
      <c r="D103" s="20">
        <v>1.0500000000000001E-2</v>
      </c>
      <c r="E103" s="15">
        <f t="shared" si="32"/>
        <v>0.16338952982703847</v>
      </c>
      <c r="F103" s="15">
        <f t="shared" si="24"/>
        <v>1.1933251929688367</v>
      </c>
      <c r="G103" s="13">
        <f>(1+F103)/(1+MAX(F$2:F103))-1</f>
        <v>0</v>
      </c>
      <c r="H103" s="20">
        <v>1.84E-2</v>
      </c>
      <c r="I103" s="15">
        <f t="shared" si="33"/>
        <v>0.1247843984165895</v>
      </c>
      <c r="J103" s="15">
        <f t="shared" si="25"/>
        <v>2.2850487177766254</v>
      </c>
      <c r="K103" s="13">
        <f>(1+J103)/(1+MAX(J$2:J103))-1</f>
        <v>0</v>
      </c>
      <c r="L103" s="20">
        <v>-1.21E-2</v>
      </c>
      <c r="M103" s="15">
        <f t="shared" si="34"/>
        <v>5.9214796997290708E-2</v>
      </c>
      <c r="N103" s="15">
        <f t="shared" si="26"/>
        <v>1.2418955537063354</v>
      </c>
      <c r="O103" s="13">
        <f>(1+N103)/(1+MAX(N$2:N103))-1</f>
        <v>-3.4039154773000235E-2</v>
      </c>
      <c r="P103" s="124"/>
      <c r="Q103" s="20">
        <f t="shared" si="27"/>
        <v>6.0899999999999999E-3</v>
      </c>
      <c r="R103" s="15">
        <f t="shared" si="22"/>
        <v>0.12137760202884285</v>
      </c>
      <c r="S103" s="15">
        <f t="shared" si="28"/>
        <v>1.6351794645042177</v>
      </c>
      <c r="T103" s="15">
        <f>(1+S103)/(1+MAX(S$2:S103))-1</f>
        <v>0</v>
      </c>
      <c r="U103" s="58">
        <f t="shared" si="29"/>
        <v>2635.1794645042164</v>
      </c>
      <c r="V103" s="137"/>
      <c r="W103" s="70"/>
      <c r="X103" s="70"/>
      <c r="Y103" s="70"/>
    </row>
    <row r="104" spans="1:25" s="61" customFormat="1" outlineLevel="1" x14ac:dyDescent="0.3">
      <c r="A104" s="61" t="s">
        <v>664</v>
      </c>
      <c r="B104" s="55" t="str">
        <f t="shared" si="23"/>
        <v>2024-7</v>
      </c>
      <c r="C104" s="121">
        <v>45474</v>
      </c>
      <c r="D104" s="20">
        <v>4.3499999999999997E-2</v>
      </c>
      <c r="E104" s="15">
        <f t="shared" si="32"/>
        <v>0.2139969743745147</v>
      </c>
      <c r="F104" s="15">
        <f t="shared" si="24"/>
        <v>1.2887348388629811</v>
      </c>
      <c r="G104" s="13">
        <f>(1+F104)/(1+MAX(F$2:F104))-1</f>
        <v>0</v>
      </c>
      <c r="H104" s="20">
        <v>5.7000000000000002E-3</v>
      </c>
      <c r="I104" s="15">
        <f t="shared" si="33"/>
        <v>0.131195669487564</v>
      </c>
      <c r="J104" s="15">
        <f t="shared" si="25"/>
        <v>2.3037734954679525</v>
      </c>
      <c r="K104" s="13">
        <f>(1+J104)/(1+MAX(J$2:J104))-1</f>
        <v>0</v>
      </c>
      <c r="L104" s="20">
        <v>7.4499999999999997E-2</v>
      </c>
      <c r="M104" s="15">
        <f t="shared" si="34"/>
        <v>0.13812629937358878</v>
      </c>
      <c r="N104" s="15">
        <f t="shared" si="26"/>
        <v>1.4089167724574576</v>
      </c>
      <c r="O104" s="13">
        <f>(1+N104)/(1+MAX(N$2:N104))-1</f>
        <v>0</v>
      </c>
      <c r="P104" s="124"/>
      <c r="Q104" s="20">
        <f t="shared" si="27"/>
        <v>4.1459999999999997E-2</v>
      </c>
      <c r="R104" s="15">
        <f t="shared" si="22"/>
        <v>0.16786991740895862</v>
      </c>
      <c r="S104" s="15">
        <f t="shared" si="28"/>
        <v>1.7444340051025629</v>
      </c>
      <c r="T104" s="15">
        <f>(1+S104)/(1+MAX(S$2:S104))-1</f>
        <v>0</v>
      </c>
      <c r="U104" s="58">
        <f t="shared" si="29"/>
        <v>2744.4340051025615</v>
      </c>
      <c r="V104" s="137"/>
      <c r="W104" s="70"/>
      <c r="X104" s="70"/>
      <c r="Y104" s="70"/>
    </row>
    <row r="105" spans="1:25" s="61" customFormat="1" outlineLevel="1" x14ac:dyDescent="0.3">
      <c r="A105" s="61" t="s">
        <v>664</v>
      </c>
      <c r="B105" s="55" t="str">
        <f t="shared" si="23"/>
        <v>2024-8</v>
      </c>
      <c r="C105" s="121">
        <v>45505</v>
      </c>
      <c r="D105" s="20">
        <v>-3.2000000000000002E-3</v>
      </c>
      <c r="E105" s="15">
        <f t="shared" si="32"/>
        <v>0.21011218405651633</v>
      </c>
      <c r="F105" s="15">
        <f t="shared" si="24"/>
        <v>1.2814108873786196</v>
      </c>
      <c r="G105" s="13">
        <f>(1+F105)/(1+MAX(F$2:F105))-1</f>
        <v>-3.1999999999999806E-3</v>
      </c>
      <c r="H105" s="20">
        <v>1.6000000000000001E-3</v>
      </c>
      <c r="I105" s="15">
        <f t="shared" si="33"/>
        <v>0.13300558255874417</v>
      </c>
      <c r="J105" s="15">
        <f t="shared" si="25"/>
        <v>2.3090595330607013</v>
      </c>
      <c r="K105" s="13">
        <f>(1+J105)/(1+MAX(J$2:J105))-1</f>
        <v>0</v>
      </c>
      <c r="L105" s="20">
        <v>-2.1600000000000001E-2</v>
      </c>
      <c r="M105" s="15">
        <f t="shared" si="34"/>
        <v>0.11354277130711932</v>
      </c>
      <c r="N105" s="15">
        <f t="shared" si="26"/>
        <v>1.3568841701723766</v>
      </c>
      <c r="O105" s="13">
        <f>(1+N105)/(1+MAX(N$2:N105))-1</f>
        <v>-2.1599999999999953E-2</v>
      </c>
      <c r="P105" s="124"/>
      <c r="Q105" s="20">
        <f t="shared" si="27"/>
        <v>-7.2800000000000009E-3</v>
      </c>
      <c r="R105" s="15">
        <f t="shared" si="22"/>
        <v>0.15936782441022146</v>
      </c>
      <c r="S105" s="15">
        <f t="shared" si="28"/>
        <v>1.7244545255454162</v>
      </c>
      <c r="T105" s="15">
        <f>(1+S105)/(1+MAX(S$2:S105))-1</f>
        <v>-7.2799999999999532E-3</v>
      </c>
      <c r="U105" s="58">
        <f t="shared" si="29"/>
        <v>2724.454525545415</v>
      </c>
      <c r="V105" s="137"/>
      <c r="W105" s="70"/>
      <c r="X105" s="70"/>
      <c r="Y105" s="70"/>
    </row>
    <row r="106" spans="1:25" s="61" customFormat="1" outlineLevel="1" x14ac:dyDescent="0.3">
      <c r="A106" s="61" t="s">
        <v>664</v>
      </c>
      <c r="B106" s="55" t="str">
        <f t="shared" si="23"/>
        <v>2024-9</v>
      </c>
      <c r="C106" s="121">
        <v>45536</v>
      </c>
      <c r="D106" s="20">
        <v>4.2799999999999998E-2</v>
      </c>
      <c r="E106" s="15">
        <f t="shared" si="32"/>
        <v>0.2619049855341351</v>
      </c>
      <c r="F106" s="15">
        <f t="shared" si="24"/>
        <v>1.3790552733584245</v>
      </c>
      <c r="G106" s="13">
        <f>(1+F106)/(1+MAX(F$2:F106))-1</f>
        <v>0</v>
      </c>
      <c r="H106" s="20">
        <v>1.4800000000000001E-2</v>
      </c>
      <c r="I106" s="15">
        <f t="shared" si="33"/>
        <v>0.14977406518061342</v>
      </c>
      <c r="J106" s="15">
        <f t="shared" si="25"/>
        <v>2.3580336141499996</v>
      </c>
      <c r="K106" s="13">
        <f>(1+J106)/(1+MAX(J$2:J106))-1</f>
        <v>0</v>
      </c>
      <c r="L106" s="20">
        <v>7.9000000000000008E-3</v>
      </c>
      <c r="M106" s="15">
        <f t="shared" si="34"/>
        <v>0.1223397592004456</v>
      </c>
      <c r="N106" s="15">
        <f t="shared" si="26"/>
        <v>1.3755035551167385</v>
      </c>
      <c r="O106" s="13">
        <f>(1+N106)/(1+MAX(N$2:N106))-1</f>
        <v>-1.3870639999999934E-2</v>
      </c>
      <c r="P106" s="124"/>
      <c r="Q106" s="20">
        <f t="shared" si="27"/>
        <v>2.393E-2</v>
      </c>
      <c r="R106" s="15">
        <f t="shared" si="22"/>
        <v>0.18711149644835801</v>
      </c>
      <c r="S106" s="15">
        <f t="shared" si="28"/>
        <v>1.789650722341718</v>
      </c>
      <c r="T106" s="15">
        <f>(1+S106)/(1+MAX(S$2:S106))-1</f>
        <v>0</v>
      </c>
      <c r="U106" s="58">
        <f t="shared" si="29"/>
        <v>2789.6507223417166</v>
      </c>
      <c r="V106" s="137"/>
      <c r="W106" s="70"/>
      <c r="X106" s="70"/>
      <c r="Y106" s="70"/>
    </row>
    <row r="107" spans="1:25" s="61" customFormat="1" outlineLevel="1" x14ac:dyDescent="0.3">
      <c r="A107" s="61" t="s">
        <v>664</v>
      </c>
      <c r="B107" s="55" t="str">
        <f t="shared" si="23"/>
        <v>2024-10</v>
      </c>
      <c r="C107" s="121">
        <v>45566</v>
      </c>
      <c r="D107" s="20">
        <v>7.2900000000000006E-2</v>
      </c>
      <c r="E107" s="15">
        <f t="shared" si="32"/>
        <v>0.3538978589795736</v>
      </c>
      <c r="F107" s="15">
        <f t="shared" si="24"/>
        <v>1.5524884027862536</v>
      </c>
      <c r="G107" s="13">
        <f>(1+F107)/(1+MAX(F$2:F107))-1</f>
        <v>0</v>
      </c>
      <c r="H107" s="20">
        <v>7.7000000000000002E-3</v>
      </c>
      <c r="I107" s="15">
        <f t="shared" si="33"/>
        <v>0.15862732548250413</v>
      </c>
      <c r="J107" s="15">
        <f t="shared" si="25"/>
        <v>2.3838904729789547</v>
      </c>
      <c r="K107" s="13">
        <f>(1+J107)/(1+MAX(J$2:J107))-1</f>
        <v>0</v>
      </c>
      <c r="L107" s="20">
        <v>1.7600000000000001E-2</v>
      </c>
      <c r="M107" s="15">
        <f t="shared" si="34"/>
        <v>0.14209293896237352</v>
      </c>
      <c r="N107" s="15">
        <f t="shared" si="26"/>
        <v>1.4173124176867931</v>
      </c>
      <c r="O107" s="13">
        <f>(1+N107)/(1+MAX(N$2:N107))-1</f>
        <v>0</v>
      </c>
      <c r="P107" s="124"/>
      <c r="Q107" s="20">
        <f t="shared" si="27"/>
        <v>3.6750000000000005E-2</v>
      </c>
      <c r="R107" s="15">
        <f t="shared" si="22"/>
        <v>0.23073784394283514</v>
      </c>
      <c r="S107" s="15">
        <f t="shared" si="28"/>
        <v>1.8921703863877761</v>
      </c>
      <c r="T107" s="15">
        <f>(1+S107)/(1+MAX(S$2:S107))-1</f>
        <v>0</v>
      </c>
      <c r="U107" s="58">
        <f t="shared" si="29"/>
        <v>2892.1703863877747</v>
      </c>
      <c r="V107" s="137"/>
      <c r="W107" s="70"/>
      <c r="X107" s="70"/>
      <c r="Y107" s="70"/>
    </row>
    <row r="108" spans="1:25" s="61" customFormat="1" outlineLevel="1" x14ac:dyDescent="0.3">
      <c r="A108" s="61" t="s">
        <v>664</v>
      </c>
      <c r="B108" s="55" t="str">
        <f t="shared" si="23"/>
        <v>2024-11</v>
      </c>
      <c r="C108" s="121">
        <v>45597</v>
      </c>
      <c r="D108" s="20">
        <v>-3.5000000000000001E-3</v>
      </c>
      <c r="E108" s="15">
        <f t="shared" si="32"/>
        <v>0.34915921647314518</v>
      </c>
      <c r="F108" s="15">
        <f t="shared" si="24"/>
        <v>1.5435546933765019</v>
      </c>
      <c r="G108" s="13">
        <f>(1+F108)/(1+MAX(F$2:F108))-1</f>
        <v>-3.4999999999999476E-3</v>
      </c>
      <c r="H108" s="20">
        <v>7.1800000000000003E-2</v>
      </c>
      <c r="I108" s="15">
        <f t="shared" si="33"/>
        <v>0.24181676745214808</v>
      </c>
      <c r="J108" s="15">
        <f t="shared" si="25"/>
        <v>2.626853808938844</v>
      </c>
      <c r="K108" s="13">
        <f>(1+J108)/(1+MAX(J$2:J108))-1</f>
        <v>0</v>
      </c>
      <c r="L108" s="20">
        <v>0.1171</v>
      </c>
      <c r="M108" s="15">
        <f t="shared" si="34"/>
        <v>0.27583202211486735</v>
      </c>
      <c r="N108" s="15">
        <f t="shared" si="26"/>
        <v>1.7003797017979165</v>
      </c>
      <c r="O108" s="13">
        <f>(1+N108)/(1+MAX(N$2:N108))-1</f>
        <v>0</v>
      </c>
      <c r="P108" s="124"/>
      <c r="Q108" s="20">
        <f t="shared" si="27"/>
        <v>5.5269999999999993E-2</v>
      </c>
      <c r="R108" s="15">
        <f t="shared" si="22"/>
        <v>0.29876072457755565</v>
      </c>
      <c r="S108" s="15">
        <f t="shared" si="28"/>
        <v>2.0520206436434285</v>
      </c>
      <c r="T108" s="15">
        <f>(1+S108)/(1+MAX(S$2:S108))-1</f>
        <v>0</v>
      </c>
      <c r="U108" s="58">
        <f t="shared" si="29"/>
        <v>3052.0206436434269</v>
      </c>
      <c r="V108" s="137"/>
      <c r="W108" s="70"/>
      <c r="X108" s="70"/>
      <c r="Y108" s="70"/>
    </row>
    <row r="109" spans="1:25" s="27" customFormat="1" ht="15" thickBot="1" x14ac:dyDescent="0.35">
      <c r="A109" s="27" t="s">
        <v>664</v>
      </c>
      <c r="B109" s="63" t="str">
        <f t="shared" si="23"/>
        <v>2024-12</v>
      </c>
      <c r="C109" s="122">
        <v>45627</v>
      </c>
      <c r="D109" s="32">
        <v>1E-4</v>
      </c>
      <c r="E109" s="25">
        <f t="shared" si="32"/>
        <v>0.34929413239479246</v>
      </c>
      <c r="F109" s="25">
        <f t="shared" si="24"/>
        <v>1.5438090488458394</v>
      </c>
      <c r="G109" s="26">
        <f>(1+F109)/(1+MAX(F$2:F109))-1</f>
        <v>-3.4003499999999409E-3</v>
      </c>
      <c r="H109" s="32">
        <v>1E-3</v>
      </c>
      <c r="I109" s="25">
        <f t="shared" si="33"/>
        <v>0.24305858421960003</v>
      </c>
      <c r="J109" s="25">
        <f t="shared" si="25"/>
        <v>2.6304806627477824</v>
      </c>
      <c r="K109" s="26">
        <f>(1+J109)/(1+MAX(J$2:J109))-1</f>
        <v>0</v>
      </c>
      <c r="L109" s="32">
        <v>-6.3100000000000003E-2</v>
      </c>
      <c r="M109" s="25">
        <f t="shared" si="34"/>
        <v>0.19532702151941916</v>
      </c>
      <c r="N109" s="25">
        <f t="shared" si="26"/>
        <v>1.5299857426144681</v>
      </c>
      <c r="O109" s="26">
        <f>(1+N109)/(1+MAX(N$2:N109))-1</f>
        <v>-6.3099999999999934E-2</v>
      </c>
      <c r="P109" s="125"/>
      <c r="Q109" s="20">
        <f t="shared" si="27"/>
        <v>-1.8589999999999999E-2</v>
      </c>
      <c r="R109" s="25">
        <f t="shared" si="22"/>
        <v>0.274616762707659</v>
      </c>
      <c r="S109" s="25">
        <f t="shared" si="28"/>
        <v>1.9952835798780972</v>
      </c>
      <c r="T109" s="25">
        <f>(1+S109)/(1+MAX(S$2:S109))-1</f>
        <v>-1.8589999999999995E-2</v>
      </c>
      <c r="U109" s="66">
        <f t="shared" si="29"/>
        <v>2995.2835798780957</v>
      </c>
      <c r="V109" s="138"/>
      <c r="W109" s="139"/>
      <c r="X109" s="139"/>
      <c r="Y109" s="139"/>
    </row>
    <row r="110" spans="1:25" s="54" customFormat="1" outlineLevel="1" x14ac:dyDescent="0.3">
      <c r="A110" s="54" t="s">
        <v>664</v>
      </c>
      <c r="B110" s="48" t="str">
        <f t="shared" si="23"/>
        <v>2025-1</v>
      </c>
      <c r="C110" s="120">
        <v>45658</v>
      </c>
      <c r="D110" s="10">
        <v>6.88E-2</v>
      </c>
      <c r="E110" s="5">
        <f>+D110</f>
        <v>6.88E-2</v>
      </c>
      <c r="F110" s="5">
        <f t="shared" si="24"/>
        <v>1.718823111406433</v>
      </c>
      <c r="G110" s="3">
        <f>(1+F110)/(1+MAX(F$2:F110))-1</f>
        <v>0</v>
      </c>
      <c r="H110" s="10">
        <v>4.99E-2</v>
      </c>
      <c r="I110" s="5">
        <f>+H110</f>
        <v>4.99E-2</v>
      </c>
      <c r="J110" s="5">
        <f t="shared" si="25"/>
        <v>2.811641647818897</v>
      </c>
      <c r="K110" s="3">
        <f>(1+J110)/(1+MAX(J$2:J110))-1</f>
        <v>0</v>
      </c>
      <c r="L110" s="10">
        <v>3.6999999999999998E-2</v>
      </c>
      <c r="M110" s="5">
        <f>+L110</f>
        <v>3.6999999999999998E-2</v>
      </c>
      <c r="N110" s="5">
        <f t="shared" si="26"/>
        <v>1.623595215091203</v>
      </c>
      <c r="O110" s="3">
        <f>(1+N110)/(1+MAX(N$2:N110))-1</f>
        <v>-2.8434700000000146E-2</v>
      </c>
      <c r="P110" s="124"/>
      <c r="Q110" s="10">
        <f t="shared" si="27"/>
        <v>5.3589999999999999E-2</v>
      </c>
      <c r="R110" s="5">
        <f>+Q110</f>
        <v>5.3589999999999999E-2</v>
      </c>
      <c r="S110" s="5">
        <f t="shared" si="28"/>
        <v>2.1558008269237647</v>
      </c>
      <c r="T110" s="5">
        <f>(1+S110)/(1+MAX(S$2:S110))-1</f>
        <v>0</v>
      </c>
      <c r="U110" s="51">
        <f t="shared" si="29"/>
        <v>3155.800826923763</v>
      </c>
      <c r="V110" s="137"/>
      <c r="W110" s="70"/>
      <c r="X110" s="70"/>
      <c r="Y110" s="70"/>
    </row>
    <row r="111" spans="1:25" s="61" customFormat="1" outlineLevel="1" x14ac:dyDescent="0.3">
      <c r="A111" s="61" t="s">
        <v>664</v>
      </c>
      <c r="B111" s="55" t="str">
        <f t="shared" si="23"/>
        <v>2025-2</v>
      </c>
      <c r="C111" s="121">
        <v>45689</v>
      </c>
      <c r="D111" s="20">
        <v>1.9099999999999999E-2</v>
      </c>
      <c r="E111" s="15">
        <f t="shared" ref="E111:E121" si="35">+(1+D111)*(1+E110)-1</f>
        <v>8.9214079999999862E-2</v>
      </c>
      <c r="F111" s="15">
        <f t="shared" si="24"/>
        <v>1.7707526328342955</v>
      </c>
      <c r="G111" s="13">
        <f>(1+F111)/(1+MAX(F$2:F111))-1</f>
        <v>0</v>
      </c>
      <c r="H111" s="20">
        <v>-1.4800000000000001E-2</v>
      </c>
      <c r="I111" s="15">
        <f t="shared" ref="I111:I121" si="36">+(1+H111)*(1+I110)-1</f>
        <v>3.4361480000000055E-2</v>
      </c>
      <c r="J111" s="15">
        <f t="shared" si="25"/>
        <v>2.7552293514311774</v>
      </c>
      <c r="K111" s="13">
        <f>(1+J111)/(1+MAX(J$2:J111))-1</f>
        <v>-1.4800000000000035E-2</v>
      </c>
      <c r="L111" s="20">
        <v>-3.7100000000000001E-2</v>
      </c>
      <c r="M111" s="15">
        <f t="shared" ref="M111:M121" si="37">+(1+L111)*(1+M110)-1</f>
        <v>-1.4727000000001045E-3</v>
      </c>
      <c r="N111" s="15">
        <f t="shared" si="26"/>
        <v>1.5262598326113195</v>
      </c>
      <c r="O111" s="13">
        <f>(1+N111)/(1+MAX(N$2:N111))-1</f>
        <v>-6.4479772630000043E-2</v>
      </c>
      <c r="P111" s="124"/>
      <c r="Q111" s="20">
        <f t="shared" si="27"/>
        <v>-7.9299999999999995E-3</v>
      </c>
      <c r="R111" s="15">
        <f t="shared" si="22"/>
        <v>4.5235031300000061E-2</v>
      </c>
      <c r="S111" s="15">
        <f t="shared" si="28"/>
        <v>2.1307753263662592</v>
      </c>
      <c r="T111" s="15">
        <f>(1+S111)/(1+MAX(S$2:S111))-1</f>
        <v>-7.9299999999999926E-3</v>
      </c>
      <c r="U111" s="58">
        <f t="shared" si="29"/>
        <v>3130.7753263662576</v>
      </c>
      <c r="V111" s="137"/>
      <c r="W111" s="70"/>
      <c r="X111" s="70"/>
      <c r="Y111" s="70"/>
    </row>
    <row r="112" spans="1:25" s="61" customFormat="1" outlineLevel="1" x14ac:dyDescent="0.3">
      <c r="A112" s="61" t="s">
        <v>664</v>
      </c>
      <c r="B112" s="55" t="str">
        <f t="shared" si="23"/>
        <v>2025-3</v>
      </c>
      <c r="C112" s="121">
        <v>45717</v>
      </c>
      <c r="D112" s="20">
        <v>5.11E-2</v>
      </c>
      <c r="E112" s="15">
        <f t="shared" si="35"/>
        <v>0.14487291948799985</v>
      </c>
      <c r="F112" s="15">
        <f t="shared" si="24"/>
        <v>1.9123380923721278</v>
      </c>
      <c r="G112" s="13">
        <f>(1+F112)/(1+MAX(F$2:F112))-1</f>
        <v>0</v>
      </c>
      <c r="H112" s="20">
        <v>-9.5799999999999996E-2</v>
      </c>
      <c r="I112" s="15">
        <f t="shared" si="36"/>
        <v>-6.4730349783999941E-2</v>
      </c>
      <c r="J112" s="15">
        <f t="shared" si="25"/>
        <v>2.3954783795640706</v>
      </c>
      <c r="K112" s="13">
        <f>(1+J112)/(1+MAX(J$2:J112))-1</f>
        <v>-0.10918216000000003</v>
      </c>
      <c r="L112" s="20">
        <v>-8.9499999999999996E-2</v>
      </c>
      <c r="M112" s="15">
        <f t="shared" si="37"/>
        <v>-9.0840893350000118E-2</v>
      </c>
      <c r="N112" s="15">
        <f t="shared" si="26"/>
        <v>1.3001595775926065</v>
      </c>
      <c r="O112" s="13">
        <f>(1+N112)/(1+MAX(N$2:N112))-1</f>
        <v>-0.14820883297961507</v>
      </c>
      <c r="P112" s="124"/>
      <c r="Q112" s="20">
        <f t="shared" si="27"/>
        <v>-3.5150000000000001E-2</v>
      </c>
      <c r="R112" s="15">
        <f t="shared" si="22"/>
        <v>8.4950199498050605E-3</v>
      </c>
      <c r="S112" s="15">
        <f t="shared" si="28"/>
        <v>2.0207285736444853</v>
      </c>
      <c r="T112" s="15">
        <f>(1+S112)/(1+MAX(S$2:S112))-1</f>
        <v>-4.2801260499999993E-2</v>
      </c>
      <c r="U112" s="58">
        <f t="shared" si="29"/>
        <v>3020.7285736444837</v>
      </c>
      <c r="V112" s="137"/>
      <c r="W112" s="70"/>
      <c r="X112" s="70"/>
      <c r="Y112" s="70"/>
    </row>
    <row r="113" spans="1:25" s="61" customFormat="1" outlineLevel="1" x14ac:dyDescent="0.3">
      <c r="A113" s="61" t="s">
        <v>664</v>
      </c>
      <c r="B113" s="55" t="str">
        <f t="shared" si="23"/>
        <v>2025-4</v>
      </c>
      <c r="C113" s="121">
        <v>45748</v>
      </c>
      <c r="D113" s="20">
        <v>2.0999999999999999E-3</v>
      </c>
      <c r="E113" s="15">
        <f t="shared" si="35"/>
        <v>0.14727715261892471</v>
      </c>
      <c r="F113" s="15">
        <f t="shared" si="24"/>
        <v>1.9184540023661092</v>
      </c>
      <c r="G113" s="13">
        <f>(1+F113)/(1+MAX(F$2:F113))-1</f>
        <v>0</v>
      </c>
      <c r="H113" s="20">
        <v>-4.3299999999999998E-2</v>
      </c>
      <c r="I113" s="15">
        <f t="shared" si="36"/>
        <v>-0.1052275256383528</v>
      </c>
      <c r="J113" s="15">
        <f t="shared" si="25"/>
        <v>2.2484541657289463</v>
      </c>
      <c r="K113" s="13">
        <f>(1+J113)/(1+MAX(J$2:J113))-1</f>
        <v>-0.14775457247199997</v>
      </c>
      <c r="L113" s="20">
        <v>-8.09E-2</v>
      </c>
      <c r="M113" s="15">
        <f t="shared" si="37"/>
        <v>-0.16439186507798509</v>
      </c>
      <c r="N113" s="15">
        <f t="shared" si="26"/>
        <v>1.1140766677653646</v>
      </c>
      <c r="O113" s="13">
        <f>(1+N113)/(1+MAX(N$2:N113))-1</f>
        <v>-0.21711873839156415</v>
      </c>
      <c r="P113" s="124"/>
      <c r="Q113" s="20">
        <f t="shared" si="27"/>
        <v>-3.6420000000000001E-2</v>
      </c>
      <c r="R113" s="15">
        <f t="shared" si="22"/>
        <v>-2.8234368676766874E-2</v>
      </c>
      <c r="S113" s="15">
        <f t="shared" si="28"/>
        <v>1.9107136389923531</v>
      </c>
      <c r="T113" s="15">
        <f>(1+S113)/(1+MAX(S$2:S113))-1</f>
        <v>-7.7662438592590033E-2</v>
      </c>
      <c r="U113" s="58">
        <f t="shared" si="29"/>
        <v>2910.7136389923517</v>
      </c>
      <c r="V113" s="137"/>
      <c r="W113" s="70"/>
      <c r="X113" s="70"/>
      <c r="Y113" s="70"/>
    </row>
    <row r="114" spans="1:25" s="61" customFormat="1" outlineLevel="1" x14ac:dyDescent="0.3">
      <c r="A114" s="61" t="s">
        <v>664</v>
      </c>
      <c r="B114" s="55" t="str">
        <f t="shared" si="23"/>
        <v>2025-5</v>
      </c>
      <c r="C114" s="121">
        <v>45778</v>
      </c>
      <c r="D114" s="20">
        <v>8.0000000000000004E-4</v>
      </c>
      <c r="E114" s="15">
        <f t="shared" si="35"/>
        <v>0.1481949743410198</v>
      </c>
      <c r="F114" s="15">
        <f t="shared" si="24"/>
        <v>1.9207887655680018</v>
      </c>
      <c r="G114" s="13">
        <f>(1+F114)/(1+MAX(F$2:F114))-1</f>
        <v>0</v>
      </c>
      <c r="H114" s="20">
        <v>7.2300000000000003E-2</v>
      </c>
      <c r="I114" s="15">
        <f t="shared" si="36"/>
        <v>-4.0535475742005667E-2</v>
      </c>
      <c r="J114" s="15">
        <f t="shared" si="25"/>
        <v>2.4833174019111492</v>
      </c>
      <c r="K114" s="13">
        <f>(1+J114)/(1+MAX(J$2:J114))-1</f>
        <v>-8.6137228061725524E-2</v>
      </c>
      <c r="L114" s="20">
        <v>5.0200000000000002E-2</v>
      </c>
      <c r="M114" s="15">
        <f t="shared" si="37"/>
        <v>-0.12244433670489996</v>
      </c>
      <c r="N114" s="15">
        <f t="shared" si="26"/>
        <v>1.2202033164871859</v>
      </c>
      <c r="O114" s="13">
        <f>(1+N114)/(1+MAX(N$2:N114))-1</f>
        <v>-0.17781809905882073</v>
      </c>
      <c r="P114" s="124"/>
      <c r="Q114" s="20">
        <f t="shared" si="27"/>
        <v>3.7070000000000006E-2</v>
      </c>
      <c r="R114" s="15">
        <f t="shared" si="22"/>
        <v>7.7889832763853306E-3</v>
      </c>
      <c r="S114" s="15">
        <f t="shared" si="28"/>
        <v>2.0186137935897994</v>
      </c>
      <c r="T114" s="15">
        <f>(1+S114)/(1+MAX(S$2:S114))-1</f>
        <v>-4.3471385191217404E-2</v>
      </c>
      <c r="U114" s="58">
        <f t="shared" si="29"/>
        <v>3018.6137935897978</v>
      </c>
      <c r="V114" s="137"/>
      <c r="W114" s="70"/>
      <c r="X114" s="70"/>
      <c r="Y114" s="70"/>
    </row>
    <row r="115" spans="1:25" s="61" customFormat="1" outlineLevel="1" x14ac:dyDescent="0.3">
      <c r="A115" s="61" t="s">
        <v>664</v>
      </c>
      <c r="B115" s="55" t="str">
        <f t="shared" si="23"/>
        <v>2025-6</v>
      </c>
      <c r="C115" s="121">
        <v>45809</v>
      </c>
      <c r="D115" s="20">
        <v>-2.6599999999999999E-2</v>
      </c>
      <c r="E115" s="15">
        <f t="shared" si="35"/>
        <v>0.11765298802354862</v>
      </c>
      <c r="F115" s="15">
        <f t="shared" si="24"/>
        <v>1.8430957844038929</v>
      </c>
      <c r="G115" s="13">
        <f>(1+F115)/(1+MAX(F$2:F115))-1</f>
        <v>-2.6600000000000068E-2</v>
      </c>
      <c r="H115" s="20">
        <v>3.04E-2</v>
      </c>
      <c r="I115" s="15">
        <f t="shared" si="36"/>
        <v>-1.1367754204562708E-2</v>
      </c>
      <c r="J115" s="15">
        <f t="shared" si="25"/>
        <v>2.5892102509292481</v>
      </c>
      <c r="K115" s="13">
        <f>(1+J115)/(1+MAX(J$2:J115))-1</f>
        <v>-5.8355799794802099E-2</v>
      </c>
      <c r="L115" s="20">
        <v>5.8999999999999999E-3</v>
      </c>
      <c r="M115" s="15">
        <f t="shared" si="37"/>
        <v>-0.11726675829145883</v>
      </c>
      <c r="N115" s="15">
        <f t="shared" si="26"/>
        <v>1.2333025160544602</v>
      </c>
      <c r="O115" s="13">
        <f>(1+N115)/(1+MAX(N$2:N115))-1</f>
        <v>-0.17296722584326774</v>
      </c>
      <c r="P115" s="124"/>
      <c r="Q115" s="20">
        <f t="shared" si="27"/>
        <v>2.4999999999999935E-4</v>
      </c>
      <c r="R115" s="15">
        <f t="shared" si="22"/>
        <v>8.040930522204448E-3</v>
      </c>
      <c r="S115" s="15">
        <f t="shared" si="28"/>
        <v>2.0193684470381972</v>
      </c>
      <c r="T115" s="15">
        <f>(1+S115)/(1+MAX(S$2:S115))-1</f>
        <v>-4.32322530375151E-2</v>
      </c>
      <c r="U115" s="58">
        <f t="shared" si="29"/>
        <v>3019.3684470381954</v>
      </c>
      <c r="V115" s="137"/>
      <c r="W115" s="70"/>
      <c r="X115" s="70"/>
      <c r="Y115" s="70"/>
    </row>
    <row r="116" spans="1:25" s="61" customFormat="1" outlineLevel="1" x14ac:dyDescent="0.3">
      <c r="A116" s="61" t="s">
        <v>664</v>
      </c>
      <c r="B116" s="55" t="str">
        <f t="shared" si="23"/>
        <v>2025-7</v>
      </c>
      <c r="C116" s="121">
        <v>45839</v>
      </c>
      <c r="D116" s="20">
        <v>2.0299999999999999E-2</v>
      </c>
      <c r="E116" s="15">
        <f t="shared" si="35"/>
        <v>0.14034134368042661</v>
      </c>
      <c r="F116" s="15">
        <f t="shared" si="24"/>
        <v>1.9008106288272919</v>
      </c>
      <c r="G116" s="13">
        <f>(1+F116)/(1+MAX(F$2:F116))-1</f>
        <v>-6.8399800000000788E-3</v>
      </c>
      <c r="H116" s="20">
        <v>3.5200000000000002E-2</v>
      </c>
      <c r="I116" s="15">
        <f t="shared" si="36"/>
        <v>2.3432100847436521E-2</v>
      </c>
      <c r="J116" s="15">
        <f t="shared" si="25"/>
        <v>2.7155504517619571</v>
      </c>
      <c r="K116" s="13">
        <f>(1+J116)/(1+MAX(J$2:J116))-1</f>
        <v>-2.520992394757926E-2</v>
      </c>
      <c r="L116" s="20">
        <v>4.3999999999999997E-2</v>
      </c>
      <c r="M116" s="15">
        <f t="shared" si="37"/>
        <v>-7.8426495656283013E-2</v>
      </c>
      <c r="N116" s="15">
        <f t="shared" si="26"/>
        <v>1.3315678267608564</v>
      </c>
      <c r="O116" s="13">
        <f>(1+N116)/(1+MAX(N$2:N116))-1</f>
        <v>-0.13657778378037155</v>
      </c>
      <c r="P116" s="124"/>
      <c r="Q116" s="20">
        <f t="shared" si="27"/>
        <v>3.1879999999999999E-2</v>
      </c>
      <c r="R116" s="15">
        <f t="shared" si="22"/>
        <v>4.0177275387252243E-2</v>
      </c>
      <c r="S116" s="15">
        <f t="shared" si="28"/>
        <v>2.1156259131297745</v>
      </c>
      <c r="T116" s="15">
        <f>(1+S116)/(1+MAX(S$2:S116))-1</f>
        <v>-1.2730497264351159E-2</v>
      </c>
      <c r="U116" s="58">
        <f t="shared" si="29"/>
        <v>3115.6259131297729</v>
      </c>
      <c r="V116" s="137"/>
      <c r="W116" s="70"/>
      <c r="X116" s="70"/>
      <c r="Y116" s="70"/>
    </row>
    <row r="117" spans="1:25" s="61" customFormat="1" outlineLevel="1" x14ac:dyDescent="0.3">
      <c r="A117" s="61" t="s">
        <v>664</v>
      </c>
      <c r="B117" s="55" t="str">
        <f t="shared" si="23"/>
        <v>2025-8</v>
      </c>
      <c r="C117" s="121">
        <v>45870</v>
      </c>
      <c r="D117" s="20">
        <v>2.7199999999999998E-2</v>
      </c>
      <c r="E117" s="15">
        <f t="shared" si="35"/>
        <v>0.17135862822853398</v>
      </c>
      <c r="F117" s="15">
        <f t="shared" si="24"/>
        <v>1.9797126779313938</v>
      </c>
      <c r="G117" s="13">
        <f>(1+F117)/(1+MAX(F$2:F117))-1</f>
        <v>0</v>
      </c>
      <c r="H117" s="20">
        <v>3.8999999999999998E-3</v>
      </c>
      <c r="I117" s="15">
        <f t="shared" si="36"/>
        <v>2.7423486040741629E-2</v>
      </c>
      <c r="J117" s="15">
        <f t="shared" si="25"/>
        <v>2.7300410985238286</v>
      </c>
      <c r="K117" s="13">
        <f>(1+J117)/(1+MAX(J$2:J117))-1</f>
        <v>-2.1408242650974851E-2</v>
      </c>
      <c r="L117" s="20">
        <v>2.9399999999999999E-2</v>
      </c>
      <c r="M117" s="15">
        <f t="shared" si="37"/>
        <v>-5.1332234628577611E-2</v>
      </c>
      <c r="N117" s="15">
        <f t="shared" si="26"/>
        <v>1.4001159208676257</v>
      </c>
      <c r="O117" s="13">
        <f>(1+N117)/(1+MAX(N$2:N117))-1</f>
        <v>-0.11119317062351441</v>
      </c>
      <c r="P117" s="124"/>
      <c r="Q117" s="20">
        <f t="shared" si="27"/>
        <v>2.087E-2</v>
      </c>
      <c r="R117" s="15">
        <f t="shared" si="22"/>
        <v>6.1885775124584042E-2</v>
      </c>
      <c r="S117" s="15">
        <f t="shared" si="28"/>
        <v>2.1806490259367926</v>
      </c>
      <c r="T117" s="15">
        <f>(1+S117)/(1+MAX(S$2:S117))-1</f>
        <v>0</v>
      </c>
      <c r="U117" s="58">
        <f t="shared" si="29"/>
        <v>3180.6490259367911</v>
      </c>
      <c r="V117" s="137"/>
      <c r="W117" s="70"/>
      <c r="X117" s="70"/>
      <c r="Y117" s="70"/>
    </row>
    <row r="118" spans="1:25" s="61" customFormat="1" outlineLevel="1" x14ac:dyDescent="0.3">
      <c r="A118" s="61" t="s">
        <v>664</v>
      </c>
      <c r="B118" s="55" t="str">
        <f t="shared" si="23"/>
        <v>2025-9</v>
      </c>
      <c r="C118" s="121">
        <v>45901</v>
      </c>
      <c r="D118" s="20">
        <v>0.11310000000000001</v>
      </c>
      <c r="E118" s="15">
        <f t="shared" si="35"/>
        <v>0.30383928908118119</v>
      </c>
      <c r="F118" s="15">
        <f t="shared" si="24"/>
        <v>2.3167181818054345</v>
      </c>
      <c r="G118" s="13">
        <f>(1+F118)/(1+MAX(F$2:F118))-1</f>
        <v>0</v>
      </c>
      <c r="H118" s="20">
        <v>2.76E-2</v>
      </c>
      <c r="I118" s="15">
        <f t="shared" si="36"/>
        <v>5.5780374255466114E-2</v>
      </c>
      <c r="J118" s="15">
        <f t="shared" si="25"/>
        <v>2.8329902328430867</v>
      </c>
      <c r="K118" s="13">
        <f>(1+J118)/(1+MAX(J$2:J118))-1</f>
        <v>0</v>
      </c>
      <c r="L118" s="20">
        <v>-2.9999999999999997E-4</v>
      </c>
      <c r="M118" s="15">
        <f t="shared" si="37"/>
        <v>-5.1616834958189028E-2</v>
      </c>
      <c r="N118" s="15">
        <f t="shared" si="26"/>
        <v>1.3993958860913653</v>
      </c>
      <c r="O118" s="13">
        <f>(1+N118)/(1+MAX(N$2:N118))-1</f>
        <v>-0.11145981267232741</v>
      </c>
      <c r="P118" s="124"/>
      <c r="Q118" s="20">
        <f t="shared" si="27"/>
        <v>5.3429999999999998E-2</v>
      </c>
      <c r="R118" s="15">
        <f t="shared" si="22"/>
        <v>0.11862233208949058</v>
      </c>
      <c r="S118" s="15">
        <f t="shared" si="28"/>
        <v>2.3505911033925955</v>
      </c>
      <c r="T118" s="15">
        <f>(1+S118)/(1+MAX(S$2:S118))-1</f>
        <v>0</v>
      </c>
      <c r="U118" s="58">
        <f t="shared" si="29"/>
        <v>3350.5911033925941</v>
      </c>
      <c r="V118" s="137"/>
      <c r="W118" s="70"/>
      <c r="X118" s="70"/>
      <c r="Y118" s="70"/>
    </row>
    <row r="119" spans="1:25" s="61" customFormat="1" outlineLevel="1" x14ac:dyDescent="0.3">
      <c r="A119" s="61" t="s">
        <v>664</v>
      </c>
      <c r="B119" s="55" t="str">
        <f t="shared" si="23"/>
        <v>2025-10</v>
      </c>
      <c r="C119" s="121">
        <v>45931</v>
      </c>
      <c r="D119" s="20">
        <v>5.0200000000000002E-2</v>
      </c>
      <c r="E119" s="15">
        <f t="shared" si="35"/>
        <v>0.36929202139305661</v>
      </c>
      <c r="F119" s="15">
        <f t="shared" si="24"/>
        <v>2.4832174345320674</v>
      </c>
      <c r="G119" s="13">
        <f>(1+F119)/(1+MAX(F$2:F119))-1</f>
        <v>0</v>
      </c>
      <c r="H119" s="20">
        <v>3.56E-2</v>
      </c>
      <c r="I119" s="15">
        <f t="shared" si="36"/>
        <v>9.3366155578960885E-2</v>
      </c>
      <c r="J119" s="15">
        <f t="shared" si="25"/>
        <v>2.9694446851323009</v>
      </c>
      <c r="K119" s="13">
        <f>(1+J119)/(1+MAX(J$2:J119))-1</f>
        <v>0</v>
      </c>
      <c r="L119" s="20">
        <v>3.2000000000000002E-3</v>
      </c>
      <c r="M119" s="15">
        <f t="shared" si="37"/>
        <v>-4.8582008830055146E-2</v>
      </c>
      <c r="N119" s="15">
        <f t="shared" si="26"/>
        <v>1.4070739529268579</v>
      </c>
      <c r="O119" s="13">
        <f>(1+N119)/(1+MAX(N$2:N119))-1</f>
        <v>-0.10861648407287883</v>
      </c>
      <c r="P119" s="124"/>
      <c r="Q119" s="20">
        <f t="shared" si="27"/>
        <v>3.1720000000000005E-2</v>
      </c>
      <c r="R119" s="15">
        <f t="shared" si="22"/>
        <v>0.15410503246336926</v>
      </c>
      <c r="S119" s="15">
        <f t="shared" si="28"/>
        <v>2.4568718531922085</v>
      </c>
      <c r="T119" s="15">
        <f>(1+S119)/(1+MAX(S$2:S119))-1</f>
        <v>0</v>
      </c>
      <c r="U119" s="58">
        <f t="shared" si="29"/>
        <v>3456.8718531922073</v>
      </c>
      <c r="V119" s="137"/>
      <c r="W119" s="70"/>
      <c r="X119" s="70"/>
      <c r="Y119" s="70"/>
    </row>
    <row r="120" spans="1:25" s="61" customFormat="1" outlineLevel="1" x14ac:dyDescent="0.3">
      <c r="A120" s="61" t="s">
        <v>664</v>
      </c>
      <c r="B120" s="55" t="str">
        <f>YEAR(C120)&amp;"-"&amp;MONTH(C120)</f>
        <v>2025-11</v>
      </c>
      <c r="C120" s="121">
        <v>45962</v>
      </c>
      <c r="D120" s="20">
        <v>5.0799999999999998E-2</v>
      </c>
      <c r="E120" s="15">
        <f t="shared" si="35"/>
        <v>0.43885205607982392</v>
      </c>
      <c r="F120" s="15">
        <f t="shared" si="24"/>
        <v>2.6601648802062963</v>
      </c>
      <c r="G120" s="13">
        <f>(1+F120)/(1+MAX(F$2:F120))-1</f>
        <v>0</v>
      </c>
      <c r="H120" s="20">
        <v>-1.8100000000000002E-2</v>
      </c>
      <c r="I120" s="15">
        <f t="shared" si="36"/>
        <v>7.3576228162981705E-2</v>
      </c>
      <c r="J120" s="15">
        <f t="shared" si="25"/>
        <v>2.8975977363314063</v>
      </c>
      <c r="K120" s="13">
        <f>(1+J120)/(1+MAX(J$2:J120))-1</f>
        <v>-1.8100000000000005E-2</v>
      </c>
      <c r="L120" s="20">
        <v>2.2200000000000001E-2</v>
      </c>
      <c r="M120" s="15">
        <f t="shared" si="37"/>
        <v>-2.7460529426082347E-2</v>
      </c>
      <c r="N120" s="15">
        <f t="shared" si="26"/>
        <v>1.460510994681834</v>
      </c>
      <c r="O120" s="13">
        <f>(1+N120)/(1+MAX(N$2:N120))-1</f>
        <v>-8.8827770019296759E-2</v>
      </c>
      <c r="P120" s="124"/>
      <c r="Q120" s="20">
        <f t="shared" si="27"/>
        <v>2.155E-2</v>
      </c>
      <c r="R120" s="15">
        <f t="shared" si="22"/>
        <v>0.17897599591295488</v>
      </c>
      <c r="S120" s="15">
        <f t="shared" si="28"/>
        <v>2.5313674416285004</v>
      </c>
      <c r="T120" s="15">
        <f>(1+S120)/(1+MAX(S$2:S120))-1</f>
        <v>0</v>
      </c>
      <c r="U120" s="58">
        <f t="shared" si="29"/>
        <v>3531.3674416284994</v>
      </c>
      <c r="V120" s="137"/>
      <c r="W120" s="70"/>
      <c r="X120" s="70"/>
      <c r="Y120" s="70"/>
    </row>
    <row r="121" spans="1:25" s="27" customFormat="1" ht="15" thickBot="1" x14ac:dyDescent="0.35">
      <c r="A121" s="27" t="s">
        <v>664</v>
      </c>
      <c r="B121" s="63" t="str">
        <f>YEAR(C121)&amp;"-"&amp;MONTH(C121)</f>
        <v>2025-12</v>
      </c>
      <c r="C121" s="122">
        <v>45992</v>
      </c>
      <c r="D121" s="32">
        <v>9.2999999999999992E-3</v>
      </c>
      <c r="E121" s="25">
        <f t="shared" si="35"/>
        <v>0.4522333802013665</v>
      </c>
      <c r="F121" s="25">
        <f t="shared" si="24"/>
        <v>2.6942044135922152</v>
      </c>
      <c r="G121" s="26">
        <f>(1+F121)/(1+MAX(F$2:F121))-1</f>
        <v>0</v>
      </c>
      <c r="H121" s="32">
        <v>0.12820000000000001</v>
      </c>
      <c r="I121" s="25">
        <f t="shared" si="36"/>
        <v>0.21120870061347596</v>
      </c>
      <c r="J121" s="25">
        <f t="shared" si="25"/>
        <v>3.3972697661290931</v>
      </c>
      <c r="K121" s="26">
        <f>(1+J121)/(1+MAX(J$2:J121))-1</f>
        <v>0</v>
      </c>
      <c r="L121" s="32">
        <v>-6.4000000000000003E-3</v>
      </c>
      <c r="M121" s="25">
        <f t="shared" si="37"/>
        <v>-3.3684782037755379E-2</v>
      </c>
      <c r="N121" s="25">
        <f t="shared" si="26"/>
        <v>1.4447637243158704</v>
      </c>
      <c r="O121" s="26">
        <f>(1+N121)/(1+MAX(N$2:N121))-1</f>
        <v>-9.4659272291173213E-2</v>
      </c>
      <c r="P121" s="125"/>
      <c r="Q121" s="20">
        <f t="shared" si="27"/>
        <v>4.0260000000000004E-2</v>
      </c>
      <c r="R121" s="25">
        <f t="shared" si="22"/>
        <v>0.22644156950841032</v>
      </c>
      <c r="S121" s="25">
        <f t="shared" si="28"/>
        <v>2.6735402948284634</v>
      </c>
      <c r="T121" s="25">
        <f>(1+S121)/(1+MAX(S$2:S121))-1</f>
        <v>0</v>
      </c>
      <c r="U121" s="66">
        <f t="shared" si="29"/>
        <v>3673.5402948284627</v>
      </c>
      <c r="V121" s="138"/>
      <c r="W121" s="139"/>
      <c r="X121" s="139"/>
      <c r="Y121" s="139"/>
    </row>
    <row r="122" spans="1:25" s="54" customFormat="1" outlineLevel="1" x14ac:dyDescent="0.3">
      <c r="A122" s="54" t="s">
        <v>664</v>
      </c>
      <c r="B122" s="48" t="str">
        <f>YEAR(C122)&amp;"-"&amp;MONTH(C122)</f>
        <v>2026-1</v>
      </c>
      <c r="C122" s="120">
        <v>46023</v>
      </c>
      <c r="D122" s="10">
        <v>0.1031</v>
      </c>
      <c r="E122" s="5">
        <f>+D122</f>
        <v>0.1031</v>
      </c>
      <c r="F122" s="5">
        <f t="shared" ref="F122:F132" si="38">+(1+D122)*(1+F121)-1</f>
        <v>3.0750768886335722</v>
      </c>
      <c r="G122" s="3">
        <f>(1+F122)/(1+MAX(F$2:F122))-1</f>
        <v>0</v>
      </c>
      <c r="H122" s="10">
        <v>-2.5999999999999999E-3</v>
      </c>
      <c r="I122" s="5">
        <f>+H122</f>
        <v>-2.5999999999999999E-3</v>
      </c>
      <c r="J122" s="5">
        <f t="shared" ref="J122:J132" si="39">+(1+H122)*(1+J121)-1</f>
        <v>3.3858368647371577</v>
      </c>
      <c r="K122" s="3">
        <f>(1+J122)/(1+MAX(J$2:J122))-1</f>
        <v>-2.5999999999999357E-3</v>
      </c>
      <c r="L122" s="10">
        <v>3.4099999999999998E-2</v>
      </c>
      <c r="M122" s="5">
        <f>+L122</f>
        <v>3.4099999999999998E-2</v>
      </c>
      <c r="N122" s="5">
        <f t="shared" ref="N122:N132" si="40">+(1+L122)*(1+N121)-1</f>
        <v>1.5281301673150418</v>
      </c>
      <c r="O122" s="3">
        <f>(1+N122)/(1+MAX(N$2:N122))-1</f>
        <v>-6.378715347630215E-2</v>
      </c>
      <c r="P122" s="124"/>
      <c r="Q122" s="10">
        <f t="shared" ref="Q122:Q133" si="41">D122*$E$1+H122*$I$1+L122*$M$1</f>
        <v>5.0689999999999999E-2</v>
      </c>
      <c r="R122" s="5">
        <f>+Q122</f>
        <v>5.0689999999999999E-2</v>
      </c>
      <c r="S122" s="5">
        <f t="shared" ref="S122:S133" si="42">+(1+Q122)*(1+S121)-1</f>
        <v>2.859752052373318</v>
      </c>
      <c r="T122" s="5">
        <f>(1+S122)/(1+MAX(S$2:S122))-1</f>
        <v>0</v>
      </c>
      <c r="U122" s="51">
        <f t="shared" ref="U122:U133" si="43">U121*(1+Q122)</f>
        <v>3859.7520523733169</v>
      </c>
      <c r="V122" s="137"/>
      <c r="W122" s="70"/>
      <c r="X122" s="70"/>
      <c r="Y122" s="70"/>
    </row>
    <row r="123" spans="1:25" s="61" customFormat="1" outlineLevel="1" x14ac:dyDescent="0.3">
      <c r="A123" s="61" t="s">
        <v>664</v>
      </c>
      <c r="B123" s="55" t="str">
        <f t="shared" ref="B123:B133" si="44">YEAR(C123)&amp;"-"&amp;MONTH(C123)</f>
        <v>2026-2</v>
      </c>
      <c r="C123" s="121">
        <v>46054</v>
      </c>
      <c r="D123" s="20">
        <v>0.1013</v>
      </c>
      <c r="E123" s="15">
        <f t="shared" ref="E123:E132" si="45">+(1+D123)*(1+E122)-1</f>
        <v>0.21484402999999985</v>
      </c>
      <c r="F123" s="15">
        <f t="shared" si="38"/>
        <v>3.4878821774521525</v>
      </c>
      <c r="G123" s="13">
        <f>(1+F123)/(1+MAX(F$2:F123))-1</f>
        <v>0</v>
      </c>
      <c r="H123" s="20">
        <v>5.7000000000000002E-3</v>
      </c>
      <c r="I123" s="15">
        <f t="shared" ref="I123:I132" si="46">+(1+H123)*(1+I122)-1</f>
        <v>3.0851800000000207E-3</v>
      </c>
      <c r="J123" s="15">
        <f t="shared" si="39"/>
        <v>3.4108361348661598</v>
      </c>
      <c r="K123" s="13">
        <f>(1+J123)/(1+MAX(J$2:J123))-1</f>
        <v>0</v>
      </c>
      <c r="L123" s="20">
        <v>4.4600000000000001E-2</v>
      </c>
      <c r="M123" s="15">
        <f t="shared" ref="M123:M132" si="47">+(1+L123)*(1+M122)-1</f>
        <v>8.022086000000006E-2</v>
      </c>
      <c r="N123" s="15">
        <f t="shared" si="40"/>
        <v>1.6408847727772926</v>
      </c>
      <c r="O123" s="13">
        <f>(1+N123)/(1+MAX(N$2:N123))-1</f>
        <v>-2.2032060521345209E-2</v>
      </c>
      <c r="P123" s="124"/>
      <c r="Q123" s="20">
        <f t="shared" si="41"/>
        <v>5.5610000000000007E-2</v>
      </c>
      <c r="R123" s="15">
        <f t="shared" ref="R123:R133" si="48">+(1+Q123)*(1+R122)-1</f>
        <v>0.10911887089999972</v>
      </c>
      <c r="S123" s="15">
        <f t="shared" si="42"/>
        <v>3.074392864005798</v>
      </c>
      <c r="T123" s="15">
        <f>(1+S123)/(1+MAX(S$2:S123))-1</f>
        <v>0</v>
      </c>
      <c r="U123" s="58">
        <f t="shared" si="43"/>
        <v>4074.392864005797</v>
      </c>
      <c r="V123" s="137"/>
      <c r="W123" s="70"/>
      <c r="X123" s="70"/>
      <c r="Y123" s="70"/>
    </row>
    <row r="124" spans="1:25" s="61" customFormat="1" outlineLevel="1" x14ac:dyDescent="0.3">
      <c r="A124" s="61" t="s">
        <v>664</v>
      </c>
      <c r="B124" s="55" t="str">
        <f t="shared" si="44"/>
        <v>2026-3</v>
      </c>
      <c r="C124" s="121">
        <v>46082</v>
      </c>
      <c r="D124" s="20">
        <v>-8.3500000000000005E-2</v>
      </c>
      <c r="E124" s="15">
        <f t="shared" si="45"/>
        <v>0.11340455349499989</v>
      </c>
      <c r="F124" s="15">
        <f t="shared" si="38"/>
        <v>3.113144015634898</v>
      </c>
      <c r="G124" s="13">
        <f>(1+F124)/(1+MAX(F$2:F124))-1</f>
        <v>-8.3499999999999908E-2</v>
      </c>
      <c r="H124" s="20">
        <v>-3.5700000000000003E-2</v>
      </c>
      <c r="I124" s="15">
        <f t="shared" si="46"/>
        <v>-3.2724960925999969E-2</v>
      </c>
      <c r="J124" s="15">
        <f t="shared" si="39"/>
        <v>3.2533692848514377</v>
      </c>
      <c r="K124" s="13">
        <f>(1+J124)/(1+MAX(J$2:J124))-1</f>
        <v>-3.5700000000000065E-2</v>
      </c>
      <c r="L124" s="20">
        <v>-2.1499999999999998E-2</v>
      </c>
      <c r="M124" s="15">
        <f t="shared" si="47"/>
        <v>5.6996111510000169E-2</v>
      </c>
      <c r="N124" s="15">
        <f t="shared" si="40"/>
        <v>1.584105750162581</v>
      </c>
      <c r="O124" s="13">
        <f>(1+N124)/(1+MAX(N$2:N124))-1</f>
        <v>-4.3058371220136227E-2</v>
      </c>
      <c r="P124" s="124"/>
      <c r="Q124" s="20">
        <f t="shared" si="41"/>
        <v>-5.0560000000000008E-2</v>
      </c>
      <c r="R124" s="15">
        <f t="shared" si="48"/>
        <v>5.3041820787295579E-2</v>
      </c>
      <c r="S124" s="15">
        <f t="shared" si="42"/>
        <v>2.8683915608016646</v>
      </c>
      <c r="T124" s="15">
        <f>(1+S124)/(1+MAX(S$2:S124))-1</f>
        <v>-5.0560000000000049E-2</v>
      </c>
      <c r="U124" s="58">
        <f t="shared" si="43"/>
        <v>3868.3915608016637</v>
      </c>
      <c r="V124" s="137"/>
      <c r="W124" s="70"/>
      <c r="X124" s="70"/>
      <c r="Y124" s="70"/>
    </row>
    <row r="125" spans="1:25" s="61" customFormat="1" outlineLevel="1" x14ac:dyDescent="0.3">
      <c r="A125" s="61" t="s">
        <v>664</v>
      </c>
      <c r="B125" s="55" t="str">
        <f t="shared" si="44"/>
        <v>2026-4</v>
      </c>
      <c r="C125" s="121">
        <v>46113</v>
      </c>
      <c r="D125" s="20">
        <v>-3.3799999999999997E-2</v>
      </c>
      <c r="E125" s="15">
        <f t="shared" si="45"/>
        <v>7.5771479586868917E-2</v>
      </c>
      <c r="F125" s="15">
        <f t="shared" si="38"/>
        <v>2.9741197479064381</v>
      </c>
      <c r="G125" s="13">
        <f>(1+F125)/(1+MAX(F$2:F125))-1</f>
        <v>-0.11447770000000002</v>
      </c>
      <c r="H125" s="20">
        <v>7.7100000000000002E-2</v>
      </c>
      <c r="I125" s="15">
        <f t="shared" si="46"/>
        <v>4.1851944586605461E-2</v>
      </c>
      <c r="J125" s="15">
        <f t="shared" si="39"/>
        <v>3.5813040567134831</v>
      </c>
      <c r="K125" s="13">
        <f>(1+J125)/(1+MAX(J$2:J125))-1</f>
        <v>0</v>
      </c>
      <c r="L125" s="20">
        <v>4.9700000000000001E-2</v>
      </c>
      <c r="M125" s="15">
        <f t="shared" si="47"/>
        <v>0.1095288182520473</v>
      </c>
      <c r="N125" s="15">
        <f t="shared" si="40"/>
        <v>1.7125358059456617</v>
      </c>
      <c r="O125" s="13">
        <f>(1+N125)/(1+MAX(N$2:N125))-1</f>
        <v>0</v>
      </c>
      <c r="P125" s="124"/>
      <c r="Q125" s="20">
        <f t="shared" si="41"/>
        <v>2.452E-2</v>
      </c>
      <c r="R125" s="15">
        <f t="shared" si="48"/>
        <v>7.8862406233000115E-2</v>
      </c>
      <c r="S125" s="15">
        <f t="shared" si="42"/>
        <v>2.9632445218725216</v>
      </c>
      <c r="T125" s="15">
        <f>(1+S125)/(1+MAX(S$2:S125))-1</f>
        <v>-2.7279731200000046E-2</v>
      </c>
      <c r="U125" s="58">
        <f t="shared" si="43"/>
        <v>3963.2445218725206</v>
      </c>
      <c r="V125" s="137"/>
      <c r="W125" s="70"/>
      <c r="X125" s="70"/>
      <c r="Y125" s="70"/>
    </row>
    <row r="126" spans="1:25" s="61" customFormat="1" outlineLevel="1" x14ac:dyDescent="0.3">
      <c r="A126" s="61" t="s">
        <v>664</v>
      </c>
      <c r="B126" s="55" t="str">
        <f t="shared" si="44"/>
        <v>2026-5</v>
      </c>
      <c r="C126" s="121">
        <v>46143</v>
      </c>
      <c r="D126" s="20">
        <v>-1.2999999999999999E-2</v>
      </c>
      <c r="E126" s="15">
        <f t="shared" si="45"/>
        <v>6.1786450352239619E-2</v>
      </c>
      <c r="F126" s="15">
        <f t="shared" si="38"/>
        <v>2.9224561911836542</v>
      </c>
      <c r="G126" s="13">
        <f>(1+F126)/(1+MAX(F$2:F126))-1</f>
        <v>-0.12598948990000003</v>
      </c>
      <c r="H126" s="20">
        <v>3.4599999999999999E-2</v>
      </c>
      <c r="I126" s="15">
        <f t="shared" si="46"/>
        <v>7.7900021869302005E-2</v>
      </c>
      <c r="J126" s="15">
        <f t="shared" si="39"/>
        <v>3.7398171770757695</v>
      </c>
      <c r="K126" s="13">
        <f>(1+J126)/(1+MAX(J$2:J126))-1</f>
        <v>0</v>
      </c>
      <c r="L126" s="20">
        <v>1.2699999999999999E-2</v>
      </c>
      <c r="M126" s="15">
        <f t="shared" si="47"/>
        <v>0.12361983424384815</v>
      </c>
      <c r="N126" s="15">
        <f t="shared" si="40"/>
        <v>1.7469850106811715</v>
      </c>
      <c r="O126" s="13">
        <f>(1+N126)/(1+MAX(N$2:N126))-1</f>
        <v>0</v>
      </c>
      <c r="P126" s="124"/>
      <c r="Q126" s="20">
        <f t="shared" si="41"/>
        <v>8.989999999999998E-3</v>
      </c>
      <c r="R126" s="15">
        <f t="shared" si="48"/>
        <v>8.8561379265034823E-2</v>
      </c>
      <c r="S126" s="15">
        <f t="shared" si="42"/>
        <v>2.998874090124156</v>
      </c>
      <c r="T126" s="15">
        <f>(1+S126)/(1+MAX(S$2:S126))-1</f>
        <v>-1.8534975983487967E-2</v>
      </c>
      <c r="U126" s="58">
        <f t="shared" si="43"/>
        <v>3998.8740901241549</v>
      </c>
      <c r="V126" s="137"/>
      <c r="W126" s="70"/>
      <c r="X126" s="70"/>
      <c r="Y126" s="70"/>
    </row>
    <row r="127" spans="1:25" s="61" customFormat="1" outlineLevel="1" x14ac:dyDescent="0.3">
      <c r="A127" s="61" t="s">
        <v>664</v>
      </c>
      <c r="B127" s="55" t="str">
        <f t="shared" si="44"/>
        <v>2026-6</v>
      </c>
      <c r="C127" s="121">
        <v>46174</v>
      </c>
      <c r="D127" s="20">
        <v>-9.8900000000000002E-2</v>
      </c>
      <c r="E127" s="15">
        <f t="shared" si="45"/>
        <v>-4.3224229587596863E-2</v>
      </c>
      <c r="F127" s="15">
        <f t="shared" si="38"/>
        <v>2.534525273875591</v>
      </c>
      <c r="G127" s="13">
        <f>(1+F127)/(1+MAX(F$2:F127))-1</f>
        <v>-0.21242912934889002</v>
      </c>
      <c r="H127" s="20">
        <v>2.0500000000000001E-2</v>
      </c>
      <c r="I127" s="15">
        <f t="shared" si="46"/>
        <v>9.9996972317622612E-2</v>
      </c>
      <c r="J127" s="15">
        <f t="shared" si="39"/>
        <v>3.8369834292058229</v>
      </c>
      <c r="K127" s="13">
        <f>(1+J127)/(1+MAX(J$2:J127))-1</f>
        <v>0</v>
      </c>
      <c r="L127" s="20">
        <v>6.0199999999999997E-2</v>
      </c>
      <c r="M127" s="15">
        <f t="shared" si="47"/>
        <v>0.19126174826532782</v>
      </c>
      <c r="N127" s="15">
        <f t="shared" si="40"/>
        <v>1.9123535083241783</v>
      </c>
      <c r="O127" s="13">
        <f>(1+N127)/(1+MAX(N$2:N127))-1</f>
        <v>0</v>
      </c>
      <c r="P127" s="124"/>
      <c r="Q127" s="20">
        <f t="shared" si="41"/>
        <v>-1.5350000000000003E-2</v>
      </c>
      <c r="R127" s="15">
        <f t="shared" si="48"/>
        <v>7.1851962093316457E-2</v>
      </c>
      <c r="S127" s="15">
        <f t="shared" si="42"/>
        <v>2.9374913728407503</v>
      </c>
      <c r="T127" s="15">
        <f>(1+S127)/(1+MAX(S$2:S127))-1</f>
        <v>-3.3600464102141347E-2</v>
      </c>
      <c r="U127" s="58">
        <f t="shared" si="43"/>
        <v>3937.4913728407491</v>
      </c>
      <c r="V127" s="137"/>
      <c r="W127" s="70"/>
      <c r="X127" s="70"/>
      <c r="Y127" s="70"/>
    </row>
    <row r="128" spans="1:25" s="61" customFormat="1" outlineLevel="1" x14ac:dyDescent="0.3">
      <c r="A128" s="61" t="s">
        <v>664</v>
      </c>
      <c r="B128" s="55" t="str">
        <f t="shared" si="44"/>
        <v>2026-7</v>
      </c>
      <c r="C128" s="121">
        <v>46204</v>
      </c>
      <c r="D128" s="20">
        <v>-1E-4</v>
      </c>
      <c r="E128" s="15">
        <f t="shared" si="45"/>
        <v>-4.3319907164638072E-2</v>
      </c>
      <c r="F128" s="15">
        <f t="shared" si="38"/>
        <v>2.5341718213482034</v>
      </c>
      <c r="G128" s="13">
        <f>(1+F128)/(1+MAX(F$2:F128))-1</f>
        <v>-0.21250788643595508</v>
      </c>
      <c r="H128" s="20">
        <v>-3.5000000000000001E-3</v>
      </c>
      <c r="I128" s="15">
        <f t="shared" si="46"/>
        <v>9.6146982914510959E-2</v>
      </c>
      <c r="J128" s="15">
        <f t="shared" si="39"/>
        <v>3.820053987203603</v>
      </c>
      <c r="K128" s="13">
        <f>(1+J128)/(1+MAX(J$2:J128))-1</f>
        <v>-3.4999999999999476E-3</v>
      </c>
      <c r="L128" s="20">
        <v>-1.6000000000000001E-3</v>
      </c>
      <c r="M128" s="15">
        <f t="shared" si="47"/>
        <v>0.1893557294681032</v>
      </c>
      <c r="N128" s="15">
        <f t="shared" si="40"/>
        <v>1.9076937427108596</v>
      </c>
      <c r="O128" s="13">
        <f>(1+N128)/(1+MAX(N$2:N128))-1</f>
        <v>-1.6000000000000458E-3</v>
      </c>
      <c r="P128" s="124"/>
      <c r="Q128" s="20">
        <f t="shared" si="41"/>
        <v>-1.57E-3</v>
      </c>
      <c r="R128" s="15">
        <f t="shared" si="48"/>
        <v>7.0169154512830012E-2</v>
      </c>
      <c r="S128" s="15">
        <f t="shared" si="42"/>
        <v>2.9313095113853906</v>
      </c>
      <c r="T128" s="15">
        <f>(1+S128)/(1+MAX(S$2:S128))-1</f>
        <v>-3.5117711373500948E-2</v>
      </c>
      <c r="U128" s="58">
        <f t="shared" si="43"/>
        <v>3931.3095113853892</v>
      </c>
      <c r="V128" s="137"/>
      <c r="W128" s="70"/>
      <c r="X128" s="70"/>
      <c r="Y128" s="70"/>
    </row>
    <row r="129" spans="1:25" s="61" customFormat="1" outlineLevel="1" x14ac:dyDescent="0.3">
      <c r="A129" s="61" t="s">
        <v>664</v>
      </c>
      <c r="B129" s="55" t="str">
        <f t="shared" si="44"/>
        <v>2026-8</v>
      </c>
      <c r="C129" s="121">
        <v>46235</v>
      </c>
      <c r="D129" s="20">
        <v>9.2799999999999994E-2</v>
      </c>
      <c r="E129" s="15">
        <f t="shared" si="45"/>
        <v>4.5460005450483454E-2</v>
      </c>
      <c r="F129" s="15">
        <f t="shared" si="38"/>
        <v>2.8621429663693165</v>
      </c>
      <c r="G129" s="13">
        <f>(1+F129)/(1+MAX(F$2:F129))-1</f>
        <v>-0.13942861829721176</v>
      </c>
      <c r="H129" s="20">
        <v>1.5800000000000002E-2</v>
      </c>
      <c r="I129" s="15">
        <f t="shared" si="46"/>
        <v>0.11346610524456024</v>
      </c>
      <c r="J129" s="15">
        <f t="shared" si="39"/>
        <v>3.8962108402014204</v>
      </c>
      <c r="K129" s="13">
        <f>(1+J129)/(1+MAX(J$2:J129))-1</f>
        <v>0</v>
      </c>
      <c r="L129" s="20">
        <v>-2.8E-3</v>
      </c>
      <c r="M129" s="15">
        <f t="shared" si="47"/>
        <v>0.18602553342559247</v>
      </c>
      <c r="N129" s="15">
        <f t="shared" si="40"/>
        <v>1.8995522002312692</v>
      </c>
      <c r="O129" s="13">
        <f>(1+N129)/(1+MAX(N$2:N129))-1</f>
        <v>-4.3955199999999861E-3</v>
      </c>
      <c r="P129" s="124"/>
      <c r="Q129" s="20">
        <f t="shared" si="41"/>
        <v>4.1020000000000001E-2</v>
      </c>
      <c r="R129" s="15">
        <f t="shared" si="48"/>
        <v>0.11406749323094645</v>
      </c>
      <c r="S129" s="15">
        <f t="shared" si="42"/>
        <v>3.0925718275424199</v>
      </c>
      <c r="T129" s="15">
        <f>(1+S129)/(1+MAX(S$2:S129))-1</f>
        <v>0</v>
      </c>
      <c r="U129" s="58">
        <f t="shared" si="43"/>
        <v>4092.5718275424183</v>
      </c>
      <c r="V129" s="137"/>
      <c r="W129" s="70"/>
      <c r="X129" s="70"/>
      <c r="Y129" s="70"/>
    </row>
    <row r="130" spans="1:25" s="61" customFormat="1" outlineLevel="1" x14ac:dyDescent="0.3">
      <c r="A130" s="61" t="s">
        <v>664</v>
      </c>
      <c r="B130" s="55" t="str">
        <f t="shared" si="44"/>
        <v>2026-9</v>
      </c>
      <c r="C130" s="121">
        <v>46266</v>
      </c>
      <c r="D130" s="20">
        <v>-4.6600000000000003E-2</v>
      </c>
      <c r="E130" s="15">
        <f t="shared" si="45"/>
        <v>-3.2584308035090714E-3</v>
      </c>
      <c r="F130" s="15">
        <f t="shared" si="38"/>
        <v>2.6821671041365063</v>
      </c>
      <c r="G130" s="13">
        <f>(1+F130)/(1+MAX(F$2:F130))-1</f>
        <v>-0.17953124468456172</v>
      </c>
      <c r="H130" s="20">
        <v>4.4000000000000003E-3</v>
      </c>
      <c r="I130" s="15">
        <f t="shared" si="46"/>
        <v>0.11836535610763632</v>
      </c>
      <c r="J130" s="15">
        <f t="shared" si="39"/>
        <v>3.9177541678983063</v>
      </c>
      <c r="K130" s="13">
        <f>(1+J130)/(1+MAX(J$2:J130))-1</f>
        <v>0</v>
      </c>
      <c r="L130" s="20">
        <v>-3.8199999999999998E-2</v>
      </c>
      <c r="M130" s="15">
        <f t="shared" si="47"/>
        <v>0.14071935804873492</v>
      </c>
      <c r="N130" s="15">
        <f t="shared" si="40"/>
        <v>1.7887893061824349</v>
      </c>
      <c r="O130" s="13">
        <f>(1+N130)/(1+MAX(N$2:N130))-1</f>
        <v>-4.242761113599991E-2</v>
      </c>
      <c r="P130" s="124"/>
      <c r="Q130" s="20">
        <f t="shared" si="41"/>
        <v>-2.878E-2</v>
      </c>
      <c r="R130" s="15">
        <f t="shared" si="48"/>
        <v>8.2004630775759813E-2</v>
      </c>
      <c r="S130" s="15">
        <f t="shared" si="42"/>
        <v>2.9747876103457491</v>
      </c>
      <c r="T130" s="15">
        <f>(1+S130)/(1+MAX(S$2:S130))-1</f>
        <v>-2.8780000000000028E-2</v>
      </c>
      <c r="U130" s="58">
        <f t="shared" si="43"/>
        <v>3974.7876103457475</v>
      </c>
      <c r="V130" s="137"/>
      <c r="W130" s="70"/>
      <c r="X130" s="70"/>
      <c r="Y130" s="70"/>
    </row>
    <row r="131" spans="1:25" s="61" customFormat="1" outlineLevel="1" x14ac:dyDescent="0.3">
      <c r="A131" s="61" t="s">
        <v>664</v>
      </c>
      <c r="B131" s="55" t="str">
        <f t="shared" si="44"/>
        <v>2026-10</v>
      </c>
      <c r="C131" s="121">
        <v>46296</v>
      </c>
      <c r="D131" s="20"/>
      <c r="E131" s="15">
        <f t="shared" si="45"/>
        <v>-3.2584308035090714E-3</v>
      </c>
      <c r="F131" s="15">
        <f t="shared" si="38"/>
        <v>2.6821671041365063</v>
      </c>
      <c r="G131" s="13">
        <f>(1+F131)/(1+MAX(F$2:F131))-1</f>
        <v>-0.17953124468456172</v>
      </c>
      <c r="H131" s="20"/>
      <c r="I131" s="15">
        <f t="shared" si="46"/>
        <v>0.11836535610763632</v>
      </c>
      <c r="J131" s="15">
        <f t="shared" si="39"/>
        <v>3.9177541678983063</v>
      </c>
      <c r="K131" s="13">
        <f>(1+J131)/(1+MAX(J$2:J131))-1</f>
        <v>0</v>
      </c>
      <c r="L131" s="20"/>
      <c r="M131" s="15">
        <f t="shared" si="47"/>
        <v>0.14071935804873492</v>
      </c>
      <c r="N131" s="15">
        <f t="shared" si="40"/>
        <v>1.7887893061824349</v>
      </c>
      <c r="O131" s="13">
        <f>(1+N131)/(1+MAX(N$2:N131))-1</f>
        <v>-4.242761113599991E-2</v>
      </c>
      <c r="P131" s="124"/>
      <c r="Q131" s="20">
        <f t="shared" si="41"/>
        <v>0</v>
      </c>
      <c r="R131" s="15">
        <f t="shared" si="48"/>
        <v>8.2004630775759813E-2</v>
      </c>
      <c r="S131" s="15">
        <f t="shared" si="42"/>
        <v>2.9747876103457491</v>
      </c>
      <c r="T131" s="15">
        <f>(1+S131)/(1+MAX(S$2:S131))-1</f>
        <v>-2.8780000000000028E-2</v>
      </c>
      <c r="U131" s="58">
        <f t="shared" si="43"/>
        <v>3974.7876103457475</v>
      </c>
      <c r="V131" s="137"/>
      <c r="W131" s="70"/>
      <c r="X131" s="70"/>
      <c r="Y131" s="70"/>
    </row>
    <row r="132" spans="1:25" s="61" customFormat="1" outlineLevel="1" x14ac:dyDescent="0.3">
      <c r="A132" s="61" t="s">
        <v>664</v>
      </c>
      <c r="B132" s="55" t="str">
        <f t="shared" si="44"/>
        <v>2026-11</v>
      </c>
      <c r="C132" s="121">
        <v>46327</v>
      </c>
      <c r="D132" s="20"/>
      <c r="E132" s="15">
        <f t="shared" si="45"/>
        <v>-3.2584308035090714E-3</v>
      </c>
      <c r="F132" s="15">
        <f t="shared" si="38"/>
        <v>2.6821671041365063</v>
      </c>
      <c r="G132" s="13">
        <f>(1+F132)/(1+MAX(F$2:F132))-1</f>
        <v>-0.17953124468456172</v>
      </c>
      <c r="H132" s="20"/>
      <c r="I132" s="15">
        <f t="shared" si="46"/>
        <v>0.11836535610763632</v>
      </c>
      <c r="J132" s="15">
        <f t="shared" si="39"/>
        <v>3.9177541678983063</v>
      </c>
      <c r="K132" s="13">
        <f>(1+J132)/(1+MAX(J$2:J132))-1</f>
        <v>0</v>
      </c>
      <c r="L132" s="20"/>
      <c r="M132" s="15">
        <f t="shared" si="47"/>
        <v>0.14071935804873492</v>
      </c>
      <c r="N132" s="15">
        <f t="shared" si="40"/>
        <v>1.7887893061824349</v>
      </c>
      <c r="O132" s="13">
        <f>(1+N132)/(1+MAX(N$2:N132))-1</f>
        <v>-4.242761113599991E-2</v>
      </c>
      <c r="P132" s="124"/>
      <c r="Q132" s="20">
        <f t="shared" si="41"/>
        <v>0</v>
      </c>
      <c r="R132" s="15">
        <f t="shared" si="48"/>
        <v>8.2004630775759813E-2</v>
      </c>
      <c r="S132" s="15">
        <f t="shared" si="42"/>
        <v>2.9747876103457491</v>
      </c>
      <c r="T132" s="15">
        <f>(1+S132)/(1+MAX(S$2:S132))-1</f>
        <v>-2.8780000000000028E-2</v>
      </c>
      <c r="U132" s="58">
        <f t="shared" si="43"/>
        <v>3974.7876103457475</v>
      </c>
      <c r="V132" s="137"/>
      <c r="W132" s="70"/>
      <c r="X132" s="70"/>
      <c r="Y132" s="70"/>
    </row>
    <row r="133" spans="1:25" s="27" customFormat="1" ht="15" thickBot="1" x14ac:dyDescent="0.35">
      <c r="A133" s="27" t="s">
        <v>664</v>
      </c>
      <c r="B133" s="63" t="str">
        <f t="shared" si="44"/>
        <v>2026-12</v>
      </c>
      <c r="C133" s="122">
        <v>46357</v>
      </c>
      <c r="D133" s="32"/>
      <c r="E133" s="25"/>
      <c r="F133" s="25"/>
      <c r="G133" s="26"/>
      <c r="H133" s="32"/>
      <c r="I133" s="25"/>
      <c r="J133" s="25"/>
      <c r="K133" s="26"/>
      <c r="L133" s="32"/>
      <c r="M133" s="25"/>
      <c r="N133" s="25"/>
      <c r="O133" s="26"/>
      <c r="P133" s="125"/>
      <c r="Q133" s="20">
        <f t="shared" si="41"/>
        <v>0</v>
      </c>
      <c r="R133" s="25">
        <f t="shared" si="48"/>
        <v>8.2004630775759813E-2</v>
      </c>
      <c r="S133" s="25">
        <f t="shared" si="42"/>
        <v>2.9747876103457491</v>
      </c>
      <c r="T133" s="25">
        <f>(1+S133)/(1+MAX(S$2:S133))-1</f>
        <v>-2.8780000000000028E-2</v>
      </c>
      <c r="U133" s="66">
        <f t="shared" si="43"/>
        <v>3974.7876103457475</v>
      </c>
      <c r="V133" s="138"/>
      <c r="W133" s="139"/>
      <c r="X133" s="139"/>
      <c r="Y133" s="139"/>
    </row>
    <row r="136" spans="1:25" x14ac:dyDescent="0.3">
      <c r="D136" s="92">
        <f>COUNTA(D$2:D$130)/12</f>
        <v>10.75</v>
      </c>
      <c r="E136" s="86" t="s">
        <v>83</v>
      </c>
      <c r="H136" s="92">
        <f>COUNTA(H$2:H$130)/12</f>
        <v>10.75</v>
      </c>
      <c r="I136" s="86" t="s">
        <v>83</v>
      </c>
      <c r="L136" s="92">
        <f>COUNTA(L$2:L$130)/12</f>
        <v>10.75</v>
      </c>
      <c r="M136" s="86" t="s">
        <v>83</v>
      </c>
      <c r="Q136" s="92">
        <f>COUNTA(Q$2:Q$130)/12</f>
        <v>10.75</v>
      </c>
      <c r="R136" s="86" t="s">
        <v>83</v>
      </c>
    </row>
    <row r="137" spans="1:25" x14ac:dyDescent="0.3">
      <c r="D137" s="100">
        <f>(1+F130)^(1/D136)-1</f>
        <v>0.12891382123680373</v>
      </c>
      <c r="E137" s="86" t="s">
        <v>15</v>
      </c>
      <c r="H137" s="100">
        <f>(1+J130)^(1/H136)-1</f>
        <v>0.15971266866545331</v>
      </c>
      <c r="I137" s="86" t="s">
        <v>15</v>
      </c>
      <c r="L137" s="100">
        <f>(1+N130)^(1/L136)-1</f>
        <v>0.10010469718247039</v>
      </c>
      <c r="M137" s="86" t="s">
        <v>15</v>
      </c>
      <c r="Q137" s="100">
        <f>(1+S130)^(1/Q136)-1</f>
        <v>0.13697295099221685</v>
      </c>
      <c r="R137" s="86" t="s">
        <v>15</v>
      </c>
    </row>
    <row r="138" spans="1:25" x14ac:dyDescent="0.3">
      <c r="C138" s="123" t="s">
        <v>83</v>
      </c>
      <c r="D138" s="100">
        <f>_xlfn.STDEV.S(D$2:D130)*SQRT(12)</f>
        <v>0.13903049199182302</v>
      </c>
      <c r="E138" s="86" t="s">
        <v>16</v>
      </c>
      <c r="H138" s="100">
        <f>_xlfn.STDEV.S(H$2:H130)*SQRT(12)</f>
        <v>0.14449406210138233</v>
      </c>
      <c r="I138" s="86" t="s">
        <v>16</v>
      </c>
      <c r="L138" s="100">
        <f>_xlfn.STDEV.S(L$2:L130)*SQRT(12)</f>
        <v>0.18992919419652027</v>
      </c>
      <c r="M138" s="86" t="s">
        <v>16</v>
      </c>
      <c r="Q138" s="100">
        <f>_xlfn.STDEV.S(Q$2:Q130)*SQRT(12)</f>
        <v>0.1055450330985464</v>
      </c>
      <c r="R138" s="86" t="s">
        <v>16</v>
      </c>
    </row>
    <row r="139" spans="1:25" x14ac:dyDescent="0.3">
      <c r="C139" s="123" t="s">
        <v>15</v>
      </c>
      <c r="D139" s="106">
        <f>AVERAGE(D$2:D130)/_xlfn.STDEV.S(D$2:D130)*SQRT(12)</f>
        <v>0.94448078278180647</v>
      </c>
      <c r="E139" s="86" t="s">
        <v>17</v>
      </c>
      <c r="H139" s="106">
        <f>AVERAGE(H$2:H130)/_xlfn.STDEV.S(H$2:H130)*SQRT(12)</f>
        <v>1.1031273293803017</v>
      </c>
      <c r="I139" s="86" t="s">
        <v>17</v>
      </c>
      <c r="L139" s="106">
        <f>AVERAGE(L$2:L130)/_xlfn.STDEV.S(L$2:L130)*SQRT(12)</f>
        <v>0.60076243709712895</v>
      </c>
      <c r="M139" s="86" t="s">
        <v>17</v>
      </c>
      <c r="Q139" s="106">
        <f>AVERAGE(Q$2:Q130)/_xlfn.STDEV.S(Q$2:Q130)*SQRT(12)</f>
        <v>1.2750382423275346</v>
      </c>
      <c r="R139" s="86" t="s">
        <v>17</v>
      </c>
    </row>
    <row r="140" spans="1:25" x14ac:dyDescent="0.3">
      <c r="C140" s="123" t="s">
        <v>16</v>
      </c>
      <c r="D140" s="110">
        <f>MIN(G$2:G130)</f>
        <v>-0.21250788643595508</v>
      </c>
      <c r="E140" s="86" t="s">
        <v>18</v>
      </c>
      <c r="H140" s="110">
        <f>MIN(K$2:K130)</f>
        <v>-0.20160421601199996</v>
      </c>
      <c r="I140" s="86" t="s">
        <v>18</v>
      </c>
      <c r="L140" s="110">
        <f>MIN(O$2:O130)</f>
        <v>-0.33876565031200001</v>
      </c>
      <c r="M140" s="86" t="s">
        <v>18</v>
      </c>
      <c r="Q140" s="110">
        <f>MIN(T$2:T130)</f>
        <v>-0.16491387760000009</v>
      </c>
      <c r="R140" s="86" t="s">
        <v>18</v>
      </c>
    </row>
    <row r="141" spans="1:25" x14ac:dyDescent="0.3">
      <c r="C141" s="123" t="s">
        <v>17</v>
      </c>
    </row>
    <row r="142" spans="1:25" x14ac:dyDescent="0.3">
      <c r="C142" s="123" t="s">
        <v>18</v>
      </c>
    </row>
  </sheetData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/>
  <dimension ref="A1:BB148"/>
  <sheetViews>
    <sheetView showGridLines="0" zoomScale="80" zoomScaleNormal="80" workbookViewId="0">
      <pane xSplit="3" ySplit="1" topLeftCell="D97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44140625" defaultRowHeight="14.4" outlineLevelRow="1" x14ac:dyDescent="0.3"/>
  <cols>
    <col min="1" max="1" width="11.44140625" style="81"/>
    <col min="2" max="2" width="10.44140625" style="69" bestFit="1" customWidth="1"/>
    <col min="3" max="3" width="10.44140625" style="70" customWidth="1"/>
    <col min="4" max="4" width="5.44140625" style="71" bestFit="1" customWidth="1"/>
    <col min="5" max="5" width="8.44140625" style="72" bestFit="1" customWidth="1"/>
    <col min="6" max="6" width="8.44140625" style="73" bestFit="1" customWidth="1"/>
    <col min="7" max="7" width="10.5546875" style="73" bestFit="1" customWidth="1"/>
    <col min="8" max="8" width="8.44140625" style="74" bestFit="1" customWidth="1"/>
    <col min="9" max="9" width="5.44140625" style="71" bestFit="1" customWidth="1"/>
    <col min="10" max="10" width="8.6640625" style="69" bestFit="1" customWidth="1"/>
    <col min="11" max="11" width="5.44140625" style="69" bestFit="1" customWidth="1"/>
    <col min="12" max="12" width="8.6640625" style="69" bestFit="1" customWidth="1"/>
    <col min="13" max="13" width="8.44140625" style="72" bestFit="1" customWidth="1"/>
    <col min="14" max="14" width="8.44140625" style="73" bestFit="1" customWidth="1"/>
    <col min="15" max="15" width="10.5546875" style="73" bestFit="1" customWidth="1"/>
    <col min="16" max="16" width="8.44140625" style="74" bestFit="1" customWidth="1"/>
    <col min="17" max="17" width="5.44140625" style="75" bestFit="1" customWidth="1"/>
    <col min="18" max="18" width="8.44140625" style="69" bestFit="1" customWidth="1"/>
    <col min="19" max="19" width="5.44140625" style="111" bestFit="1" customWidth="1"/>
    <col min="20" max="20" width="8.44140625" style="69" bestFit="1" customWidth="1"/>
    <col min="21" max="21" width="8.44140625" style="72" bestFit="1" customWidth="1"/>
    <col min="22" max="22" width="8.44140625" style="73" bestFit="1" customWidth="1"/>
    <col min="23" max="23" width="10.5546875" style="73" bestFit="1" customWidth="1"/>
    <col min="24" max="24" width="8.44140625" style="74" bestFit="1" customWidth="1"/>
    <col min="25" max="25" width="10.33203125" style="75" customWidth="1"/>
    <col min="26" max="26" width="8.44140625" style="69" bestFit="1" customWidth="1"/>
    <col min="27" max="27" width="10.33203125" style="111" customWidth="1"/>
    <col min="28" max="28" width="8.44140625" style="69" bestFit="1" customWidth="1"/>
    <col min="29" max="29" width="8.44140625" style="72" bestFit="1" customWidth="1"/>
    <col min="30" max="30" width="8.44140625" style="73" bestFit="1" customWidth="1"/>
    <col min="31" max="31" width="10.5546875" style="73" bestFit="1" customWidth="1"/>
    <col min="32" max="32" width="8.44140625" style="74" bestFit="1" customWidth="1"/>
    <col min="33" max="33" width="6.33203125" style="69" customWidth="1"/>
    <col min="34" max="34" width="9" style="76" bestFit="1" customWidth="1"/>
    <col min="35" max="35" width="8.44140625" style="73" bestFit="1" customWidth="1"/>
    <col min="36" max="36" width="10.5546875" style="73" bestFit="1" customWidth="1"/>
    <col min="37" max="37" width="8.44140625" style="73" bestFit="1" customWidth="1"/>
    <col min="38" max="38" width="8.6640625" style="77" bestFit="1" customWidth="1"/>
    <col min="39" max="39" width="10.33203125" style="78" bestFit="1" customWidth="1"/>
    <col min="40" max="40" width="4.5546875" style="71" bestFit="1" customWidth="1"/>
    <col min="41" max="41" width="10.33203125" style="79" customWidth="1"/>
    <col min="42" max="42" width="8.44140625" style="76" bestFit="1" customWidth="1"/>
    <col min="43" max="43" width="8.44140625" style="73" bestFit="1" customWidth="1"/>
    <col min="44" max="44" width="10.5546875" style="73" bestFit="1" customWidth="1"/>
    <col min="45" max="45" width="8.44140625" style="74" bestFit="1" customWidth="1"/>
    <col min="46" max="16384" width="11.44140625" style="81"/>
  </cols>
  <sheetData>
    <row r="1" spans="1:54" s="35" customFormat="1" ht="30" customHeight="1" thickBot="1" x14ac:dyDescent="0.35">
      <c r="A1" s="35" t="s">
        <v>665</v>
      </c>
      <c r="B1" s="36" t="s">
        <v>22</v>
      </c>
      <c r="C1" s="37" t="s">
        <v>23</v>
      </c>
      <c r="D1" s="38" t="s">
        <v>24</v>
      </c>
      <c r="E1" s="40"/>
      <c r="F1" s="41" t="s">
        <v>85</v>
      </c>
      <c r="G1" s="41" t="s">
        <v>84</v>
      </c>
      <c r="H1" s="42" t="s">
        <v>21</v>
      </c>
      <c r="I1" s="38" t="s">
        <v>25</v>
      </c>
      <c r="J1" s="43"/>
      <c r="K1" s="43"/>
      <c r="L1" s="43"/>
      <c r="M1" s="40"/>
      <c r="N1" s="41" t="s">
        <v>85</v>
      </c>
      <c r="O1" s="41" t="s">
        <v>84</v>
      </c>
      <c r="P1" s="42" t="s">
        <v>21</v>
      </c>
      <c r="Q1" s="38" t="s">
        <v>26</v>
      </c>
      <c r="R1" s="39"/>
      <c r="S1" s="39"/>
      <c r="T1" s="43"/>
      <c r="U1" s="40"/>
      <c r="V1" s="41" t="s">
        <v>85</v>
      </c>
      <c r="W1" s="41" t="s">
        <v>84</v>
      </c>
      <c r="X1" s="42" t="s">
        <v>21</v>
      </c>
      <c r="Y1" s="38" t="s">
        <v>27</v>
      </c>
      <c r="Z1" s="39"/>
      <c r="AA1" s="39"/>
      <c r="AB1" s="43"/>
      <c r="AC1" s="40"/>
      <c r="AD1" s="41" t="s">
        <v>85</v>
      </c>
      <c r="AE1" s="41" t="s">
        <v>84</v>
      </c>
      <c r="AF1" s="42" t="s">
        <v>21</v>
      </c>
      <c r="AG1" s="33"/>
      <c r="AH1" s="44" t="s">
        <v>28</v>
      </c>
      <c r="AI1" s="41" t="s">
        <v>85</v>
      </c>
      <c r="AJ1" s="41" t="s">
        <v>84</v>
      </c>
      <c r="AK1" s="41" t="s">
        <v>21</v>
      </c>
      <c r="AL1" s="45" t="s">
        <v>87</v>
      </c>
      <c r="AM1" s="34"/>
      <c r="AN1" s="46"/>
      <c r="AO1" s="47"/>
      <c r="AP1" s="44" t="s">
        <v>28</v>
      </c>
      <c r="AQ1" s="41" t="s">
        <v>85</v>
      </c>
      <c r="AR1" s="41" t="s">
        <v>84</v>
      </c>
      <c r="AS1" s="42" t="s">
        <v>21</v>
      </c>
    </row>
    <row r="2" spans="1:54" s="54" customFormat="1" outlineLevel="1" x14ac:dyDescent="0.3">
      <c r="A2" s="54" t="s">
        <v>663</v>
      </c>
      <c r="B2" s="48" t="str">
        <f>YEAR(C2)&amp;"-"&amp;MONTH(C2)</f>
        <v>2016-1</v>
      </c>
      <c r="C2" s="1">
        <v>42370</v>
      </c>
      <c r="D2" s="2" t="s">
        <v>29</v>
      </c>
      <c r="E2" s="4">
        <v>-6.9400000000000003E-2</v>
      </c>
      <c r="F2" s="5">
        <f>+E2</f>
        <v>-6.9400000000000003E-2</v>
      </c>
      <c r="G2" s="5">
        <f>+E2</f>
        <v>-6.9400000000000003E-2</v>
      </c>
      <c r="H2" s="3"/>
      <c r="I2" s="2" t="s">
        <v>33</v>
      </c>
      <c r="J2" s="6">
        <v>5.1000000000000004E-3</v>
      </c>
      <c r="K2" s="7" t="s">
        <v>144</v>
      </c>
      <c r="L2" s="6">
        <v>-5.21E-2</v>
      </c>
      <c r="M2" s="4">
        <f t="shared" ref="M2:M65" si="0">AVERAGE(J2,L2)</f>
        <v>-2.35E-2</v>
      </c>
      <c r="N2" s="5">
        <f>+M2</f>
        <v>-2.35E-2</v>
      </c>
      <c r="O2" s="5">
        <f>+M2</f>
        <v>-2.35E-2</v>
      </c>
      <c r="P2" s="3">
        <f>(1+O2)/(1+MAX(O$2:O2))-1</f>
        <v>0</v>
      </c>
      <c r="Q2" s="8" t="s">
        <v>31</v>
      </c>
      <c r="R2" s="6">
        <v>-0.1318</v>
      </c>
      <c r="S2" s="49" t="s">
        <v>622</v>
      </c>
      <c r="T2" s="6">
        <v>-0.1973</v>
      </c>
      <c r="U2" s="4">
        <f t="shared" ref="U2:U63" si="1">AVERAGE(R2,T2)</f>
        <v>-0.16455</v>
      </c>
      <c r="V2" s="5">
        <f>+U2</f>
        <v>-0.16455</v>
      </c>
      <c r="W2" s="5">
        <f>+U2</f>
        <v>-0.16455</v>
      </c>
      <c r="X2" s="3">
        <f>(1+W2)/(1+MAX(W$2:W2))-1</f>
        <v>0</v>
      </c>
      <c r="Y2" s="8" t="s">
        <v>34</v>
      </c>
      <c r="Z2" s="6">
        <v>-5.3499999999999999E-2</v>
      </c>
      <c r="AA2" s="50" t="s">
        <v>77</v>
      </c>
      <c r="AB2" s="6">
        <v>6.7000000000000004E-2</v>
      </c>
      <c r="AC2" s="4">
        <f t="shared" ref="AC2:AC65" si="2">AVERAGE(Z2,AB2)</f>
        <v>6.7500000000000025E-3</v>
      </c>
      <c r="AD2" s="5">
        <f>+AC2</f>
        <v>6.7500000000000025E-3</v>
      </c>
      <c r="AE2" s="5">
        <f>+AC2</f>
        <v>6.7500000000000025E-3</v>
      </c>
      <c r="AF2" s="3">
        <f>(1+AE2)/(1+MAX(AE$2:AE2))-1</f>
        <v>0</v>
      </c>
      <c r="AG2" s="9"/>
      <c r="AH2" s="10">
        <f t="shared" ref="AH2:AH33" si="3">(E2+2*M2+2*U2+2*AC2)/7</f>
        <v>-6.1714285714285715E-2</v>
      </c>
      <c r="AI2" s="5">
        <f>+AH2</f>
        <v>-6.1714285714285715E-2</v>
      </c>
      <c r="AJ2" s="5">
        <f>+AH2</f>
        <v>-6.1714285714285715E-2</v>
      </c>
      <c r="AK2" s="5">
        <f>(1+AJ2)/(1+MAX(AJ$2:AJ2))-1</f>
        <v>0</v>
      </c>
      <c r="AL2" s="51">
        <f>1000*(1+AH2)</f>
        <v>938.28571428571433</v>
      </c>
      <c r="AM2" s="52"/>
      <c r="AN2" s="2" t="s">
        <v>86</v>
      </c>
      <c r="AO2" s="53">
        <v>1940.24</v>
      </c>
      <c r="AP2" s="4"/>
      <c r="AQ2" s="5">
        <f>+AP2</f>
        <v>0</v>
      </c>
      <c r="AR2" s="5">
        <f>+AP2</f>
        <v>0</v>
      </c>
      <c r="AS2" s="3">
        <f>(1+AR2)/(1+MAX(AR$2:AR2))-1</f>
        <v>0</v>
      </c>
    </row>
    <row r="3" spans="1:54" s="61" customFormat="1" outlineLevel="1" x14ac:dyDescent="0.3">
      <c r="A3" s="61" t="s">
        <v>663</v>
      </c>
      <c r="B3" s="55" t="str">
        <f t="shared" ref="B3:B66" si="4">YEAR(C3)&amp;"-"&amp;MONTH(C3)</f>
        <v>2016-2</v>
      </c>
      <c r="C3" s="11">
        <v>42401</v>
      </c>
      <c r="D3" s="12" t="s">
        <v>29</v>
      </c>
      <c r="E3" s="14">
        <v>-1.4500000000000001E-2</v>
      </c>
      <c r="F3" s="15">
        <f t="shared" ref="F3:F13" si="5">+(1+E3)*(1+F2)-1</f>
        <v>-8.2893699999999959E-2</v>
      </c>
      <c r="G3" s="15">
        <f>+(1+E3)*(1+G2)-1</f>
        <v>-8.2893699999999959E-2</v>
      </c>
      <c r="H3" s="13"/>
      <c r="I3" s="12" t="s">
        <v>33</v>
      </c>
      <c r="J3" s="16">
        <v>4.3E-3</v>
      </c>
      <c r="K3" s="17" t="s">
        <v>144</v>
      </c>
      <c r="L3" s="16">
        <v>5.7000000000000002E-3</v>
      </c>
      <c r="M3" s="14">
        <f t="shared" si="0"/>
        <v>5.0000000000000001E-3</v>
      </c>
      <c r="N3" s="15">
        <f t="shared" ref="N3:N13" si="6">+(1+M3)*(1+N2)-1</f>
        <v>-1.8617500000000065E-2</v>
      </c>
      <c r="O3" s="15">
        <f>+(1+M3)*(1+O2)-1</f>
        <v>-1.8617500000000065E-2</v>
      </c>
      <c r="P3" s="13">
        <f>(1+O3)/(1+MAX(O$2:O3))-1</f>
        <v>0</v>
      </c>
      <c r="Q3" s="18" t="s">
        <v>31</v>
      </c>
      <c r="R3" s="16">
        <v>-5.7599999999999998E-2</v>
      </c>
      <c r="S3" s="56" t="s">
        <v>622</v>
      </c>
      <c r="T3" s="16">
        <v>1.83E-2</v>
      </c>
      <c r="U3" s="14">
        <f t="shared" si="1"/>
        <v>-1.9650000000000001E-2</v>
      </c>
      <c r="V3" s="15">
        <f t="shared" ref="V3:V13" si="7">+(1+U3)*(1+V2)-1</f>
        <v>-0.18096659249999991</v>
      </c>
      <c r="W3" s="15">
        <f>+(1+U3)*(1+W2)-1</f>
        <v>-0.18096659249999991</v>
      </c>
      <c r="X3" s="13">
        <f>(1+W3)/(1+MAX(W$2:W3))-1</f>
        <v>-1.9649999999999945E-2</v>
      </c>
      <c r="Y3" s="18" t="s">
        <v>34</v>
      </c>
      <c r="Z3" s="16">
        <v>-2.5899999999999999E-2</v>
      </c>
      <c r="AA3" s="57" t="s">
        <v>77</v>
      </c>
      <c r="AB3" s="16">
        <v>2.7000000000000001E-3</v>
      </c>
      <c r="AC3" s="14">
        <f t="shared" si="2"/>
        <v>-1.1599999999999999E-2</v>
      </c>
      <c r="AD3" s="15">
        <f t="shared" ref="AD3:AD13" si="8">+(1+AC3)*(1+AD2)-1</f>
        <v>-4.9282999999999966E-3</v>
      </c>
      <c r="AE3" s="15">
        <f>+(1+AC3)*(1+AE2)-1</f>
        <v>-4.9282999999999966E-3</v>
      </c>
      <c r="AF3" s="13">
        <f>(1+AE3)/(1+MAX(AE$2:AE3))-1</f>
        <v>-1.1600000000000055E-2</v>
      </c>
      <c r="AG3" s="19"/>
      <c r="AH3" s="20">
        <f t="shared" si="3"/>
        <v>-9.5714285714285727E-3</v>
      </c>
      <c r="AI3" s="15">
        <f t="shared" ref="AI3:AI13" si="9">+(1+AH3)*(1+AI2)-1</f>
        <v>-7.0695020408163223E-2</v>
      </c>
      <c r="AJ3" s="15">
        <f>+(1+AH3)*(1+AJ2)-1</f>
        <v>-7.0695020408163223E-2</v>
      </c>
      <c r="AK3" s="15">
        <f>(1+AJ3)/(1+MAX(AJ$2:AJ3))-1</f>
        <v>-9.5714285714285641E-3</v>
      </c>
      <c r="AL3" s="58">
        <f>AL2*(1+AH3)</f>
        <v>929.30497959183674</v>
      </c>
      <c r="AM3" s="59"/>
      <c r="AN3" s="12" t="s">
        <v>86</v>
      </c>
      <c r="AO3" s="60">
        <v>1932.23</v>
      </c>
      <c r="AP3" s="14">
        <f>AO3/AO2-1</f>
        <v>-4.1283552550199776E-3</v>
      </c>
      <c r="AQ3" s="15">
        <f t="shared" ref="AQ3:AQ13" si="10">+(1+AP3)*(1+AQ2)-1</f>
        <v>-4.1283552550199776E-3</v>
      </c>
      <c r="AR3" s="15">
        <f>+(1+AP3)*(1+AR2)-1</f>
        <v>-4.1283552550199776E-3</v>
      </c>
      <c r="AS3" s="13">
        <f>(1+AR3)/(1+MAX(AR$2:AR3))-1</f>
        <v>-4.1283552550199776E-3</v>
      </c>
    </row>
    <row r="4" spans="1:54" s="61" customFormat="1" outlineLevel="1" x14ac:dyDescent="0.3">
      <c r="A4" s="61" t="s">
        <v>663</v>
      </c>
      <c r="B4" s="55" t="str">
        <f t="shared" si="4"/>
        <v>2016-3</v>
      </c>
      <c r="C4" s="11">
        <v>42430</v>
      </c>
      <c r="D4" s="12" t="s">
        <v>29</v>
      </c>
      <c r="E4" s="14">
        <v>2.98E-2</v>
      </c>
      <c r="F4" s="15">
        <f t="shared" si="5"/>
        <v>-5.5563932259999893E-2</v>
      </c>
      <c r="G4" s="15">
        <f t="shared" ref="G4:G67" si="11">+(1+E4)*(1+G3)-1</f>
        <v>-5.5563932259999893E-2</v>
      </c>
      <c r="H4" s="13"/>
      <c r="I4" s="12" t="s">
        <v>33</v>
      </c>
      <c r="J4" s="16">
        <v>9.4000000000000004E-3</v>
      </c>
      <c r="K4" s="17" t="s">
        <v>54</v>
      </c>
      <c r="L4" s="16">
        <v>4.0599999999999997E-2</v>
      </c>
      <c r="M4" s="14">
        <f t="shared" si="0"/>
        <v>2.4999999999999998E-2</v>
      </c>
      <c r="N4" s="15">
        <f t="shared" si="6"/>
        <v>5.9170624999997923E-3</v>
      </c>
      <c r="O4" s="15">
        <f t="shared" ref="O4:O67" si="12">+(1+M4)*(1+O3)-1</f>
        <v>5.9170624999997923E-3</v>
      </c>
      <c r="P4" s="13">
        <f>(1+O4)/(1+MAX(O$2:O4))-1</f>
        <v>0</v>
      </c>
      <c r="Q4" s="18" t="s">
        <v>31</v>
      </c>
      <c r="R4" s="16">
        <v>3.5499999999999997E-2</v>
      </c>
      <c r="S4" s="56" t="s">
        <v>69</v>
      </c>
      <c r="T4" s="16">
        <v>-8.1799999999999998E-2</v>
      </c>
      <c r="U4" s="14">
        <f t="shared" si="1"/>
        <v>-2.315E-2</v>
      </c>
      <c r="V4" s="15">
        <f t="shared" si="7"/>
        <v>-0.19992721588362494</v>
      </c>
      <c r="W4" s="15">
        <f t="shared" ref="W4:W67" si="13">+(1+U4)*(1+W3)-1</f>
        <v>-0.19992721588362494</v>
      </c>
      <c r="X4" s="13">
        <f>(1+W4)/(1+MAX(W$2:W4))-1</f>
        <v>-4.2345102500000009E-2</v>
      </c>
      <c r="Y4" s="18" t="s">
        <v>615</v>
      </c>
      <c r="Z4" s="16">
        <v>4.6100000000000002E-2</v>
      </c>
      <c r="AA4" s="57" t="s">
        <v>77</v>
      </c>
      <c r="AB4" s="16">
        <v>6.7500000000000004E-2</v>
      </c>
      <c r="AC4" s="14">
        <f t="shared" si="2"/>
        <v>5.6800000000000003E-2</v>
      </c>
      <c r="AD4" s="15">
        <f t="shared" si="8"/>
        <v>5.1591772559999916E-2</v>
      </c>
      <c r="AE4" s="15">
        <f t="shared" ref="AE4:AE67" si="14">+(1+AC4)*(1+AE3)-1</f>
        <v>5.1591772559999916E-2</v>
      </c>
      <c r="AF4" s="13">
        <f>(1+AE4)/(1+MAX(AE$2:AE4))-1</f>
        <v>0</v>
      </c>
      <c r="AG4" s="19"/>
      <c r="AH4" s="20">
        <f t="shared" si="3"/>
        <v>2.1014285714285715E-2</v>
      </c>
      <c r="AI4" s="15">
        <f t="shared" si="9"/>
        <v>-5.1166340051311932E-2</v>
      </c>
      <c r="AJ4" s="15">
        <f t="shared" ref="AJ4:AJ67" si="15">+(1+AH4)*(1+AJ3)-1</f>
        <v>-5.1166340051311932E-2</v>
      </c>
      <c r="AK4" s="15">
        <f>(1+AJ4)/(1+MAX(AJ$2:AJ4))-1</f>
        <v>0</v>
      </c>
      <c r="AL4" s="58">
        <f t="shared" ref="AL4:AL67" si="16">AL3*(1+AH4)</f>
        <v>948.83365994868802</v>
      </c>
      <c r="AM4" s="59"/>
      <c r="AN4" s="12" t="s">
        <v>86</v>
      </c>
      <c r="AO4" s="60">
        <v>2059.7399999999998</v>
      </c>
      <c r="AP4" s="14">
        <f t="shared" ref="AP4:AP67" si="17">AO4/AO3-1</f>
        <v>6.5991108718941094E-2</v>
      </c>
      <c r="AQ4" s="15">
        <f t="shared" si="10"/>
        <v>6.1590318723456772E-2</v>
      </c>
      <c r="AR4" s="15">
        <f t="shared" ref="AR4:AR67" si="18">+(1+AP4)*(1+AR3)-1</f>
        <v>6.1590318723456772E-2</v>
      </c>
      <c r="AS4" s="13">
        <f>(1+AR4)/(1+MAX(AR$2:AR4))-1</f>
        <v>0</v>
      </c>
    </row>
    <row r="5" spans="1:54" s="61" customFormat="1" outlineLevel="1" x14ac:dyDescent="0.3">
      <c r="A5" s="61" t="s">
        <v>663</v>
      </c>
      <c r="B5" s="55" t="str">
        <f t="shared" si="4"/>
        <v>2016-4</v>
      </c>
      <c r="C5" s="11">
        <v>42461</v>
      </c>
      <c r="D5" s="12" t="s">
        <v>29</v>
      </c>
      <c r="E5" s="14">
        <v>-3.3700000000000001E-2</v>
      </c>
      <c r="F5" s="15">
        <f t="shared" si="5"/>
        <v>-8.7391427742837813E-2</v>
      </c>
      <c r="G5" s="15">
        <f t="shared" si="11"/>
        <v>-8.7391427742837813E-2</v>
      </c>
      <c r="H5" s="13"/>
      <c r="I5" s="12" t="s">
        <v>33</v>
      </c>
      <c r="J5" s="16">
        <v>-1.6199999999999999E-2</v>
      </c>
      <c r="K5" s="17" t="s">
        <v>54</v>
      </c>
      <c r="L5" s="16">
        <v>-2.5999999999999999E-2</v>
      </c>
      <c r="M5" s="14">
        <f t="shared" si="0"/>
        <v>-2.1100000000000001E-2</v>
      </c>
      <c r="N5" s="15">
        <f t="shared" si="6"/>
        <v>-1.5307787518750171E-2</v>
      </c>
      <c r="O5" s="15">
        <f t="shared" si="12"/>
        <v>-1.5307787518750171E-2</v>
      </c>
      <c r="P5" s="13">
        <f>(1+O5)/(1+MAX(O$2:O5))-1</f>
        <v>-2.1100000000000008E-2</v>
      </c>
      <c r="Q5" s="18" t="s">
        <v>31</v>
      </c>
      <c r="R5" s="16">
        <v>0.109</v>
      </c>
      <c r="S5" s="56" t="s">
        <v>42</v>
      </c>
      <c r="T5" s="16">
        <v>-4.7000000000000002E-3</v>
      </c>
      <c r="U5" s="14">
        <f t="shared" si="1"/>
        <v>5.2150000000000002E-2</v>
      </c>
      <c r="V5" s="15">
        <f t="shared" si="7"/>
        <v>-0.1582034201919561</v>
      </c>
      <c r="W5" s="15">
        <f t="shared" si="13"/>
        <v>-0.1582034201919561</v>
      </c>
      <c r="X5" s="13">
        <f>(1+W5)/(1+MAX(W$2:W5))-1</f>
        <v>0</v>
      </c>
      <c r="Y5" s="18" t="s">
        <v>615</v>
      </c>
      <c r="Z5" s="16">
        <v>9.3200000000000005E-2</v>
      </c>
      <c r="AA5" s="57" t="s">
        <v>77</v>
      </c>
      <c r="AB5" s="16">
        <v>-2.7099999999999999E-2</v>
      </c>
      <c r="AC5" s="14">
        <f t="shared" si="2"/>
        <v>3.3050000000000003E-2</v>
      </c>
      <c r="AD5" s="15">
        <f t="shared" si="8"/>
        <v>8.6346880643108026E-2</v>
      </c>
      <c r="AE5" s="15">
        <f t="shared" si="14"/>
        <v>8.6346880643108026E-2</v>
      </c>
      <c r="AF5" s="13">
        <f>(1+AE5)/(1+MAX(AE$2:AE5))-1</f>
        <v>0</v>
      </c>
      <c r="AG5" s="19"/>
      <c r="AH5" s="20">
        <f t="shared" si="3"/>
        <v>1.3500000000000002E-2</v>
      </c>
      <c r="AI5" s="15">
        <f t="shared" si="9"/>
        <v>-3.8357085642004574E-2</v>
      </c>
      <c r="AJ5" s="15">
        <f t="shared" si="15"/>
        <v>-3.8357085642004574E-2</v>
      </c>
      <c r="AK5" s="15">
        <f>(1+AJ5)/(1+MAX(AJ$2:AJ5))-1</f>
        <v>0</v>
      </c>
      <c r="AL5" s="58">
        <f t="shared" si="16"/>
        <v>961.64291435799532</v>
      </c>
      <c r="AM5" s="59"/>
      <c r="AN5" s="12" t="s">
        <v>86</v>
      </c>
      <c r="AO5" s="60">
        <v>2065.3000000000002</v>
      </c>
      <c r="AP5" s="14">
        <f t="shared" si="17"/>
        <v>2.69936982337593E-3</v>
      </c>
      <c r="AQ5" s="15">
        <f t="shared" si="10"/>
        <v>6.4455943594606824E-2</v>
      </c>
      <c r="AR5" s="15">
        <f t="shared" si="18"/>
        <v>6.4455943594606824E-2</v>
      </c>
      <c r="AS5" s="13">
        <f>(1+AR5)/(1+MAX(AR$2:AR5))-1</f>
        <v>0</v>
      </c>
      <c r="AT5" s="62"/>
    </row>
    <row r="6" spans="1:54" s="61" customFormat="1" outlineLevel="1" x14ac:dyDescent="0.3">
      <c r="A6" s="61" t="s">
        <v>663</v>
      </c>
      <c r="B6" s="55" t="str">
        <f t="shared" si="4"/>
        <v>2016-5</v>
      </c>
      <c r="C6" s="11">
        <v>42491</v>
      </c>
      <c r="D6" s="12" t="s">
        <v>35</v>
      </c>
      <c r="E6" s="14">
        <v>-4.3900000000000002E-2</v>
      </c>
      <c r="F6" s="15">
        <f t="shared" si="5"/>
        <v>-0.1274549440649273</v>
      </c>
      <c r="G6" s="15">
        <f t="shared" si="11"/>
        <v>-0.1274549440649273</v>
      </c>
      <c r="H6" s="13"/>
      <c r="I6" s="12" t="s">
        <v>33</v>
      </c>
      <c r="J6" s="16">
        <v>2.5600000000000001E-2</v>
      </c>
      <c r="K6" s="17" t="s">
        <v>54</v>
      </c>
      <c r="L6" s="16">
        <v>3.4000000000000002E-2</v>
      </c>
      <c r="M6" s="14">
        <f t="shared" si="0"/>
        <v>2.98E-2</v>
      </c>
      <c r="N6" s="15">
        <f t="shared" si="6"/>
        <v>1.4036040413191175E-2</v>
      </c>
      <c r="O6" s="15">
        <f t="shared" si="12"/>
        <v>1.4036040413191175E-2</v>
      </c>
      <c r="P6" s="13">
        <f>(1+O6)/(1+MAX(O$2:O6))-1</f>
        <v>0</v>
      </c>
      <c r="Q6" s="18" t="s">
        <v>42</v>
      </c>
      <c r="R6" s="16">
        <v>0.34289999999999998</v>
      </c>
      <c r="S6" s="56" t="s">
        <v>623</v>
      </c>
      <c r="T6" s="16">
        <v>-1.0699999999999999E-2</v>
      </c>
      <c r="U6" s="14">
        <f t="shared" si="1"/>
        <v>0.1661</v>
      </c>
      <c r="V6" s="15">
        <f t="shared" si="7"/>
        <v>-1.8381008285840106E-2</v>
      </c>
      <c r="W6" s="15">
        <f t="shared" si="13"/>
        <v>-1.8381008285840106E-2</v>
      </c>
      <c r="X6" s="13">
        <f>(1+W6)/(1+MAX(W$2:W6))-1</f>
        <v>0</v>
      </c>
      <c r="Y6" s="18" t="s">
        <v>615</v>
      </c>
      <c r="Z6" s="16">
        <v>3.73E-2</v>
      </c>
      <c r="AA6" s="57" t="s">
        <v>77</v>
      </c>
      <c r="AB6" s="16">
        <v>-8.1500000000000003E-2</v>
      </c>
      <c r="AC6" s="14">
        <f t="shared" si="2"/>
        <v>-2.2100000000000002E-2</v>
      </c>
      <c r="AD6" s="15">
        <f t="shared" si="8"/>
        <v>6.2338614580895291E-2</v>
      </c>
      <c r="AE6" s="15">
        <f t="shared" si="14"/>
        <v>6.2338614580895291E-2</v>
      </c>
      <c r="AF6" s="13">
        <f>(1+AE6)/(1+MAX(AE$2:AE6))-1</f>
        <v>-2.2100000000000009E-2</v>
      </c>
      <c r="AG6" s="19"/>
      <c r="AH6" s="20">
        <f t="shared" si="3"/>
        <v>4.3385714285714284E-2</v>
      </c>
      <c r="AI6" s="15">
        <f t="shared" si="9"/>
        <v>3.3644790852132012E-3</v>
      </c>
      <c r="AJ6" s="15">
        <f t="shared" si="15"/>
        <v>3.3644790852132012E-3</v>
      </c>
      <c r="AK6" s="15">
        <f>(1+AJ6)/(1+MAX(AJ$2:AJ6))-1</f>
        <v>0</v>
      </c>
      <c r="AL6" s="58">
        <f t="shared" si="16"/>
        <v>1003.364479085213</v>
      </c>
      <c r="AM6" s="59"/>
      <c r="AN6" s="12" t="s">
        <v>86</v>
      </c>
      <c r="AO6" s="60">
        <v>2096.96</v>
      </c>
      <c r="AP6" s="14">
        <f t="shared" si="17"/>
        <v>1.5329492083474561E-2</v>
      </c>
      <c r="AQ6" s="15">
        <f t="shared" si="10"/>
        <v>8.0773512555147864E-2</v>
      </c>
      <c r="AR6" s="15">
        <f t="shared" si="18"/>
        <v>8.0773512555147864E-2</v>
      </c>
      <c r="AS6" s="13">
        <f>(1+AR6)/(1+MAX(AR$2:AR6))-1</f>
        <v>0</v>
      </c>
      <c r="AT6" s="62"/>
      <c r="AY6" s="62"/>
      <c r="AZ6" s="62"/>
      <c r="BA6" s="62"/>
      <c r="BB6" s="62"/>
    </row>
    <row r="7" spans="1:54" s="61" customFormat="1" outlineLevel="1" x14ac:dyDescent="0.3">
      <c r="A7" s="61" t="s">
        <v>663</v>
      </c>
      <c r="B7" s="55" t="str">
        <f t="shared" si="4"/>
        <v>2016-6</v>
      </c>
      <c r="C7" s="11">
        <v>42522</v>
      </c>
      <c r="D7" s="12" t="s">
        <v>36</v>
      </c>
      <c r="E7" s="14">
        <v>7.1199999999999999E-2</v>
      </c>
      <c r="F7" s="15">
        <f t="shared" si="5"/>
        <v>-6.5329736082350154E-2</v>
      </c>
      <c r="G7" s="15">
        <f t="shared" si="11"/>
        <v>-6.5329736082350154E-2</v>
      </c>
      <c r="H7" s="13"/>
      <c r="I7" s="12" t="s">
        <v>33</v>
      </c>
      <c r="J7" s="16">
        <v>5.5500000000000001E-2</v>
      </c>
      <c r="K7" s="17" t="s">
        <v>54</v>
      </c>
      <c r="L7" s="16">
        <v>7.8200000000000006E-2</v>
      </c>
      <c r="M7" s="14">
        <f t="shared" si="0"/>
        <v>6.6850000000000007E-2</v>
      </c>
      <c r="N7" s="15">
        <f t="shared" si="6"/>
        <v>8.1824349714813005E-2</v>
      </c>
      <c r="O7" s="15">
        <f t="shared" si="12"/>
        <v>8.1824349714813005E-2</v>
      </c>
      <c r="P7" s="13">
        <f>(1+O7)/(1+MAX(O$2:O7))-1</f>
        <v>0</v>
      </c>
      <c r="Q7" s="18" t="s">
        <v>38</v>
      </c>
      <c r="R7" s="16">
        <v>0.21010000000000001</v>
      </c>
      <c r="S7" s="56" t="s">
        <v>42</v>
      </c>
      <c r="T7" s="16">
        <v>8.0000000000000002E-3</v>
      </c>
      <c r="U7" s="14">
        <f t="shared" si="1"/>
        <v>0.10905000000000001</v>
      </c>
      <c r="V7" s="15">
        <f t="shared" si="7"/>
        <v>8.8664542760589216E-2</v>
      </c>
      <c r="W7" s="15">
        <f t="shared" si="13"/>
        <v>8.8664542760589216E-2</v>
      </c>
      <c r="X7" s="13">
        <f>(1+W7)/(1+MAX(W$2:W7))-1</f>
        <v>0</v>
      </c>
      <c r="Y7" s="18" t="s">
        <v>615</v>
      </c>
      <c r="Z7" s="16">
        <v>0.11550000000000001</v>
      </c>
      <c r="AA7" s="57" t="s">
        <v>77</v>
      </c>
      <c r="AB7" s="16">
        <v>-0.13789999999999999</v>
      </c>
      <c r="AC7" s="14">
        <f t="shared" si="2"/>
        <v>-1.1199999999999995E-2</v>
      </c>
      <c r="AD7" s="15">
        <f t="shared" si="8"/>
        <v>5.0440422097589366E-2</v>
      </c>
      <c r="AE7" s="15">
        <f t="shared" si="14"/>
        <v>5.0440422097589366E-2</v>
      </c>
      <c r="AF7" s="13">
        <f>(1+AE7)/(1+MAX(AE$2:AE7))-1</f>
        <v>-3.305247999999994E-2</v>
      </c>
      <c r="AG7" s="19"/>
      <c r="AH7" s="20">
        <f t="shared" si="3"/>
        <v>5.7228571428571441E-2</v>
      </c>
      <c r="AI7" s="15">
        <f t="shared" si="9"/>
        <v>6.0785594845432556E-2</v>
      </c>
      <c r="AJ7" s="15">
        <f t="shared" si="15"/>
        <v>6.0785594845432556E-2</v>
      </c>
      <c r="AK7" s="15">
        <f>(1+AJ7)/(1+MAX(AJ$2:AJ7))-1</f>
        <v>0</v>
      </c>
      <c r="AL7" s="58">
        <f t="shared" si="16"/>
        <v>1060.7855948454326</v>
      </c>
      <c r="AM7" s="59"/>
      <c r="AN7" s="12" t="s">
        <v>86</v>
      </c>
      <c r="AO7" s="60">
        <v>2098.86</v>
      </c>
      <c r="AP7" s="14">
        <f t="shared" si="17"/>
        <v>9.0607355409733081E-4</v>
      </c>
      <c r="AQ7" s="15">
        <f t="shared" si="10"/>
        <v>8.1752772852842881E-2</v>
      </c>
      <c r="AR7" s="15">
        <f t="shared" si="18"/>
        <v>8.1752772852842881E-2</v>
      </c>
      <c r="AS7" s="13">
        <f>(1+AR7)/(1+MAX(AR$2:AR7))-1</f>
        <v>0</v>
      </c>
      <c r="AT7" s="62"/>
      <c r="AY7" s="62"/>
      <c r="AZ7" s="62"/>
      <c r="BA7" s="62"/>
      <c r="BB7" s="62"/>
    </row>
    <row r="8" spans="1:54" s="61" customFormat="1" outlineLevel="1" x14ac:dyDescent="0.3">
      <c r="A8" s="61" t="s">
        <v>663</v>
      </c>
      <c r="B8" s="55" t="str">
        <f t="shared" si="4"/>
        <v>2016-7</v>
      </c>
      <c r="C8" s="11">
        <v>42552</v>
      </c>
      <c r="D8" s="12" t="s">
        <v>36</v>
      </c>
      <c r="E8" s="14">
        <v>4.6699999999999998E-2</v>
      </c>
      <c r="F8" s="15">
        <f t="shared" si="5"/>
        <v>-2.16806347573959E-2</v>
      </c>
      <c r="G8" s="15">
        <f t="shared" si="11"/>
        <v>-2.16806347573959E-2</v>
      </c>
      <c r="H8" s="13"/>
      <c r="I8" s="12" t="s">
        <v>33</v>
      </c>
      <c r="J8" s="16">
        <v>-4.3E-3</v>
      </c>
      <c r="K8" s="17" t="s">
        <v>54</v>
      </c>
      <c r="L8" s="16">
        <v>-2.8E-3</v>
      </c>
      <c r="M8" s="14">
        <f t="shared" si="0"/>
        <v>-3.5500000000000002E-3</v>
      </c>
      <c r="N8" s="15">
        <f t="shared" si="6"/>
        <v>7.7983873273325344E-2</v>
      </c>
      <c r="O8" s="15">
        <f t="shared" si="12"/>
        <v>7.7983873273325344E-2</v>
      </c>
      <c r="P8" s="13">
        <f>(1+O8)/(1+MAX(O$2:O8))-1</f>
        <v>-3.5500000000000531E-3</v>
      </c>
      <c r="Q8" s="18" t="s">
        <v>38</v>
      </c>
      <c r="R8" s="16">
        <v>0.12920000000000001</v>
      </c>
      <c r="S8" s="56" t="s">
        <v>42</v>
      </c>
      <c r="T8" s="16">
        <v>0.21940000000000001</v>
      </c>
      <c r="U8" s="14">
        <f t="shared" si="1"/>
        <v>0.17430000000000001</v>
      </c>
      <c r="V8" s="15">
        <f t="shared" si="7"/>
        <v>0.27841877256376013</v>
      </c>
      <c r="W8" s="15">
        <f t="shared" si="13"/>
        <v>0.27841877256376013</v>
      </c>
      <c r="X8" s="13">
        <f>(1+W8)/(1+MAX(W$2:W8))-1</f>
        <v>0</v>
      </c>
      <c r="Y8" s="18" t="s">
        <v>615</v>
      </c>
      <c r="Z8" s="16">
        <v>0.14249999999999999</v>
      </c>
      <c r="AA8" s="57" t="s">
        <v>32</v>
      </c>
      <c r="AB8" s="16">
        <v>8.6400000000000005E-2</v>
      </c>
      <c r="AC8" s="14">
        <f t="shared" si="2"/>
        <v>0.11445</v>
      </c>
      <c r="AD8" s="15">
        <f t="shared" si="8"/>
        <v>0.17066332840665832</v>
      </c>
      <c r="AE8" s="15">
        <f t="shared" si="14"/>
        <v>0.17066332840665832</v>
      </c>
      <c r="AF8" s="13">
        <f>(1+AE8)/(1+MAX(AE$2:AE8))-1</f>
        <v>0</v>
      </c>
      <c r="AG8" s="19"/>
      <c r="AH8" s="20">
        <f t="shared" si="3"/>
        <v>8.8157142857142851E-2</v>
      </c>
      <c r="AI8" s="15">
        <f t="shared" si="9"/>
        <v>0.1543014220710206</v>
      </c>
      <c r="AJ8" s="15">
        <f t="shared" si="15"/>
        <v>0.1543014220710206</v>
      </c>
      <c r="AK8" s="15">
        <f>(1+AJ8)/(1+MAX(AJ$2:AJ8))-1</f>
        <v>0</v>
      </c>
      <c r="AL8" s="58">
        <f t="shared" si="16"/>
        <v>1154.3014220710206</v>
      </c>
      <c r="AM8" s="59"/>
      <c r="AN8" s="12" t="s">
        <v>86</v>
      </c>
      <c r="AO8" s="60">
        <v>2173.6</v>
      </c>
      <c r="AP8" s="14">
        <f t="shared" si="17"/>
        <v>3.5609807228685897E-2</v>
      </c>
      <c r="AQ8" s="15">
        <f t="shared" si="10"/>
        <v>0.12027378056322902</v>
      </c>
      <c r="AR8" s="15">
        <f t="shared" si="18"/>
        <v>0.12027378056322902</v>
      </c>
      <c r="AS8" s="13">
        <f>(1+AR8)/(1+MAX(AR$2:AR8))-1</f>
        <v>0</v>
      </c>
      <c r="AT8" s="62"/>
      <c r="AY8" s="62"/>
      <c r="AZ8" s="62"/>
      <c r="BA8" s="62"/>
      <c r="BB8" s="62"/>
    </row>
    <row r="9" spans="1:54" s="61" customFormat="1" outlineLevel="1" x14ac:dyDescent="0.3">
      <c r="A9" s="61" t="s">
        <v>663</v>
      </c>
      <c r="B9" s="55" t="str">
        <f t="shared" si="4"/>
        <v>2016-8</v>
      </c>
      <c r="C9" s="11">
        <v>42583</v>
      </c>
      <c r="D9" s="12" t="s">
        <v>36</v>
      </c>
      <c r="E9" s="14">
        <v>-4.36E-2</v>
      </c>
      <c r="F9" s="15">
        <f t="shared" si="5"/>
        <v>-6.4335359081973409E-2</v>
      </c>
      <c r="G9" s="15">
        <f t="shared" si="11"/>
        <v>-6.4335359081973409E-2</v>
      </c>
      <c r="H9" s="13"/>
      <c r="I9" s="12" t="s">
        <v>33</v>
      </c>
      <c r="J9" s="16">
        <v>-1.2E-2</v>
      </c>
      <c r="K9" s="17" t="s">
        <v>54</v>
      </c>
      <c r="L9" s="16">
        <v>-6.13E-2</v>
      </c>
      <c r="M9" s="14">
        <f t="shared" si="0"/>
        <v>-3.6650000000000002E-2</v>
      </c>
      <c r="N9" s="15">
        <f t="shared" si="6"/>
        <v>3.847576431785793E-2</v>
      </c>
      <c r="O9" s="15">
        <f t="shared" si="12"/>
        <v>3.847576431785793E-2</v>
      </c>
      <c r="P9" s="13">
        <f>(1+O9)/(1+MAX(O$2:O9))-1</f>
        <v>-4.0069892500000148E-2</v>
      </c>
      <c r="Q9" s="18" t="s">
        <v>38</v>
      </c>
      <c r="R9" s="16">
        <v>-0.1363</v>
      </c>
      <c r="S9" s="56" t="s">
        <v>42</v>
      </c>
      <c r="T9" s="16">
        <v>6.9599999999999995E-2</v>
      </c>
      <c r="U9" s="14">
        <f t="shared" si="1"/>
        <v>-3.3350000000000005E-2</v>
      </c>
      <c r="V9" s="15">
        <f t="shared" si="7"/>
        <v>0.23578350649875879</v>
      </c>
      <c r="W9" s="15">
        <f t="shared" si="13"/>
        <v>0.23578350649875879</v>
      </c>
      <c r="X9" s="13">
        <f>(1+W9)/(1+MAX(W$2:W9))-1</f>
        <v>-3.3349999999999991E-2</v>
      </c>
      <c r="Y9" s="18" t="s">
        <v>615</v>
      </c>
      <c r="Z9" s="16">
        <v>1.4999999999999999E-2</v>
      </c>
      <c r="AA9" s="57" t="s">
        <v>32</v>
      </c>
      <c r="AB9" s="16">
        <v>-4.7399999999999998E-2</v>
      </c>
      <c r="AC9" s="14">
        <f t="shared" si="2"/>
        <v>-1.6199999999999999E-2</v>
      </c>
      <c r="AD9" s="15">
        <f t="shared" si="8"/>
        <v>0.1516985824864705</v>
      </c>
      <c r="AE9" s="15">
        <f t="shared" si="14"/>
        <v>0.1516985824864705</v>
      </c>
      <c r="AF9" s="13">
        <f>(1+AE9)/(1+MAX(AE$2:AE9))-1</f>
        <v>-1.6199999999999992E-2</v>
      </c>
      <c r="AG9" s="19"/>
      <c r="AH9" s="20">
        <f t="shared" si="3"/>
        <v>-3.0857142857142861E-2</v>
      </c>
      <c r="AI9" s="15">
        <f t="shared" si="9"/>
        <v>0.11868297818997187</v>
      </c>
      <c r="AJ9" s="15">
        <f t="shared" si="15"/>
        <v>0.11868297818997187</v>
      </c>
      <c r="AK9" s="15">
        <f>(1+AJ9)/(1+MAX(AJ$2:AJ9))-1</f>
        <v>-3.0857142857142916E-2</v>
      </c>
      <c r="AL9" s="58">
        <f t="shared" si="16"/>
        <v>1118.6829781899719</v>
      </c>
      <c r="AM9" s="59"/>
      <c r="AN9" s="12" t="s">
        <v>86</v>
      </c>
      <c r="AO9" s="60">
        <v>2170.9499999999998</v>
      </c>
      <c r="AP9" s="14">
        <f t="shared" si="17"/>
        <v>-1.2191755612808164E-3</v>
      </c>
      <c r="AQ9" s="15">
        <f t="shared" si="10"/>
        <v>0.11890797014802268</v>
      </c>
      <c r="AR9" s="15">
        <f t="shared" si="18"/>
        <v>0.11890797014802268</v>
      </c>
      <c r="AS9" s="13">
        <f>(1+AR9)/(1+MAX(AR$2:AR9))-1</f>
        <v>-1.2191755612808164E-3</v>
      </c>
      <c r="AT9" s="62"/>
      <c r="AY9" s="62"/>
      <c r="AZ9" s="62"/>
      <c r="BA9" s="62"/>
      <c r="BB9" s="62"/>
    </row>
    <row r="10" spans="1:54" s="61" customFormat="1" outlineLevel="1" x14ac:dyDescent="0.3">
      <c r="A10" s="61" t="s">
        <v>663</v>
      </c>
      <c r="B10" s="55" t="str">
        <f t="shared" si="4"/>
        <v>2016-9</v>
      </c>
      <c r="C10" s="11">
        <v>42614</v>
      </c>
      <c r="D10" s="12" t="s">
        <v>36</v>
      </c>
      <c r="E10" s="14">
        <v>-2.41E-2</v>
      </c>
      <c r="F10" s="15">
        <f t="shared" si="5"/>
        <v>-8.6884876928097876E-2</v>
      </c>
      <c r="G10" s="15">
        <f t="shared" si="11"/>
        <v>-8.6884876928097876E-2</v>
      </c>
      <c r="H10" s="13"/>
      <c r="I10" s="12" t="s">
        <v>33</v>
      </c>
      <c r="J10" s="16">
        <v>-2.1299999999999999E-2</v>
      </c>
      <c r="K10" s="17" t="s">
        <v>54</v>
      </c>
      <c r="L10" s="16">
        <v>-2.3E-3</v>
      </c>
      <c r="M10" s="14">
        <f t="shared" si="0"/>
        <v>-1.18E-2</v>
      </c>
      <c r="N10" s="15">
        <f t="shared" si="6"/>
        <v>2.6221750298907276E-2</v>
      </c>
      <c r="O10" s="15">
        <f t="shared" si="12"/>
        <v>2.6221750298907276E-2</v>
      </c>
      <c r="P10" s="13">
        <f>(1+O10)/(1+MAX(O$2:O10))-1</f>
        <v>-5.139706776850006E-2</v>
      </c>
      <c r="Q10" s="18" t="s">
        <v>38</v>
      </c>
      <c r="R10" s="16">
        <v>2.1999999999999999E-2</v>
      </c>
      <c r="S10" s="56" t="s">
        <v>42</v>
      </c>
      <c r="T10" s="16">
        <v>0.1104</v>
      </c>
      <c r="U10" s="14">
        <f t="shared" si="1"/>
        <v>6.6199999999999995E-2</v>
      </c>
      <c r="V10" s="15">
        <f t="shared" si="7"/>
        <v>0.3175923746289766</v>
      </c>
      <c r="W10" s="15">
        <f t="shared" si="13"/>
        <v>0.3175923746289766</v>
      </c>
      <c r="X10" s="13">
        <f>(1+W10)/(1+MAX(W$2:W10))-1</f>
        <v>0</v>
      </c>
      <c r="Y10" s="18" t="s">
        <v>615</v>
      </c>
      <c r="Z10" s="16">
        <v>3.73E-2</v>
      </c>
      <c r="AA10" s="57" t="s">
        <v>39</v>
      </c>
      <c r="AB10" s="16">
        <v>2.58E-2</v>
      </c>
      <c r="AC10" s="14">
        <f t="shared" si="2"/>
        <v>3.1550000000000002E-2</v>
      </c>
      <c r="AD10" s="15">
        <f t="shared" si="8"/>
        <v>0.18803467276391861</v>
      </c>
      <c r="AE10" s="15">
        <f t="shared" si="14"/>
        <v>0.18803467276391861</v>
      </c>
      <c r="AF10" s="13">
        <f>(1+AE10)/(1+MAX(AE$2:AE10))-1</f>
        <v>0</v>
      </c>
      <c r="AG10" s="19"/>
      <c r="AH10" s="20">
        <f t="shared" si="3"/>
        <v>2.1114285714285714E-2</v>
      </c>
      <c r="AI10" s="15">
        <f t="shared" si="9"/>
        <v>0.14230317021518291</v>
      </c>
      <c r="AJ10" s="15">
        <f t="shared" si="15"/>
        <v>0.14230317021518291</v>
      </c>
      <c r="AK10" s="15">
        <f>(1+AJ10)/(1+MAX(AJ$2:AJ10))-1</f>
        <v>-1.0394383673469565E-2</v>
      </c>
      <c r="AL10" s="58">
        <f t="shared" si="16"/>
        <v>1142.3031702151829</v>
      </c>
      <c r="AM10" s="59"/>
      <c r="AN10" s="12" t="s">
        <v>86</v>
      </c>
      <c r="AO10" s="60">
        <v>2168.27</v>
      </c>
      <c r="AP10" s="14">
        <f t="shared" si="17"/>
        <v>-1.2344825997834263E-3</v>
      </c>
      <c r="AQ10" s="15">
        <f t="shared" si="10"/>
        <v>0.11752669772811597</v>
      </c>
      <c r="AR10" s="15">
        <f t="shared" si="18"/>
        <v>0.11752669772811597</v>
      </c>
      <c r="AS10" s="13">
        <f>(1+AR10)/(1+MAX(AR$2:AR10))-1</f>
        <v>-2.4521531100477612E-3</v>
      </c>
      <c r="AT10" s="62"/>
      <c r="AY10" s="62"/>
    </row>
    <row r="11" spans="1:54" s="61" customFormat="1" outlineLevel="1" x14ac:dyDescent="0.3">
      <c r="A11" s="61" t="s">
        <v>663</v>
      </c>
      <c r="B11" s="55" t="str">
        <f t="shared" si="4"/>
        <v>2016-10</v>
      </c>
      <c r="C11" s="11">
        <v>42644</v>
      </c>
      <c r="D11" s="12" t="s">
        <v>36</v>
      </c>
      <c r="E11" s="14">
        <v>-3.73E-2</v>
      </c>
      <c r="F11" s="15">
        <f t="shared" si="5"/>
        <v>-0.12094407101867988</v>
      </c>
      <c r="G11" s="15">
        <f t="shared" si="11"/>
        <v>-0.12094407101867988</v>
      </c>
      <c r="H11" s="13"/>
      <c r="I11" s="12" t="s">
        <v>33</v>
      </c>
      <c r="J11" s="16">
        <v>1.35E-2</v>
      </c>
      <c r="K11" s="17" t="s">
        <v>54</v>
      </c>
      <c r="L11" s="16">
        <v>3.0599999999999999E-2</v>
      </c>
      <c r="M11" s="14">
        <f t="shared" si="0"/>
        <v>2.205E-2</v>
      </c>
      <c r="N11" s="15">
        <f t="shared" si="6"/>
        <v>4.8849939892998018E-2</v>
      </c>
      <c r="O11" s="15">
        <f t="shared" si="12"/>
        <v>4.8849939892998018E-2</v>
      </c>
      <c r="P11" s="13">
        <f>(1+O11)/(1+MAX(O$2:O11))-1</f>
        <v>-3.0480373112795611E-2</v>
      </c>
      <c r="Q11" s="18" t="s">
        <v>38</v>
      </c>
      <c r="R11" s="16">
        <v>-3.7100000000000001E-2</v>
      </c>
      <c r="S11" s="56" t="s">
        <v>42</v>
      </c>
      <c r="T11" s="16">
        <v>6.0699999999999997E-2</v>
      </c>
      <c r="U11" s="14">
        <f t="shared" si="1"/>
        <v>1.1799999999999998E-2</v>
      </c>
      <c r="V11" s="15">
        <f t="shared" si="7"/>
        <v>0.3331399646495985</v>
      </c>
      <c r="W11" s="15">
        <f t="shared" si="13"/>
        <v>0.3331399646495985</v>
      </c>
      <c r="X11" s="13">
        <f>(1+W11)/(1+MAX(W$2:W11))-1</f>
        <v>0</v>
      </c>
      <c r="Y11" s="18" t="s">
        <v>615</v>
      </c>
      <c r="Z11" s="16">
        <v>-3.3000000000000002E-2</v>
      </c>
      <c r="AA11" s="57" t="s">
        <v>39</v>
      </c>
      <c r="AB11" s="16">
        <v>0.13070000000000001</v>
      </c>
      <c r="AC11" s="14">
        <f t="shared" si="2"/>
        <v>4.8850000000000005E-2</v>
      </c>
      <c r="AD11" s="15">
        <f t="shared" si="8"/>
        <v>0.24607016652843616</v>
      </c>
      <c r="AE11" s="15">
        <f t="shared" si="14"/>
        <v>0.24607016652843616</v>
      </c>
      <c r="AF11" s="13">
        <f>(1+AE11)/(1+MAX(AE$2:AE11))-1</f>
        <v>0</v>
      </c>
      <c r="AG11" s="21"/>
      <c r="AH11" s="20">
        <f t="shared" si="3"/>
        <v>1.83E-2</v>
      </c>
      <c r="AI11" s="15">
        <f t="shared" si="9"/>
        <v>0.1632073182301208</v>
      </c>
      <c r="AJ11" s="15">
        <f t="shared" si="15"/>
        <v>0.1632073182301208</v>
      </c>
      <c r="AK11" s="15">
        <f>(1+AJ11)/(1+MAX(AJ$2:AJ11))-1</f>
        <v>0</v>
      </c>
      <c r="AL11" s="58">
        <f t="shared" si="16"/>
        <v>1163.2073182301208</v>
      </c>
      <c r="AM11" s="59"/>
      <c r="AN11" s="12" t="s">
        <v>86</v>
      </c>
      <c r="AO11" s="60">
        <v>2126.15</v>
      </c>
      <c r="AP11" s="14">
        <f t="shared" si="17"/>
        <v>-1.9425625037472249E-2</v>
      </c>
      <c r="AQ11" s="15">
        <f t="shared" si="10"/>
        <v>9.5818043128685026E-2</v>
      </c>
      <c r="AR11" s="15">
        <f t="shared" si="18"/>
        <v>9.5818043128685026E-2</v>
      </c>
      <c r="AS11" s="13">
        <f>(1+AR11)/(1+MAX(AR$2:AR11))-1</f>
        <v>-2.18301435406697E-2</v>
      </c>
      <c r="AT11" s="62"/>
    </row>
    <row r="12" spans="1:54" s="61" customFormat="1" outlineLevel="1" x14ac:dyDescent="0.3">
      <c r="A12" s="61" t="s">
        <v>663</v>
      </c>
      <c r="B12" s="55" t="str">
        <f t="shared" si="4"/>
        <v>2016-11</v>
      </c>
      <c r="C12" s="11">
        <v>42675</v>
      </c>
      <c r="D12" s="12" t="s">
        <v>35</v>
      </c>
      <c r="E12" s="14">
        <v>-5.4600000000000003E-2</v>
      </c>
      <c r="F12" s="15">
        <f t="shared" si="5"/>
        <v>-0.16894052474105992</v>
      </c>
      <c r="G12" s="15">
        <f t="shared" si="11"/>
        <v>-0.16894052474105992</v>
      </c>
      <c r="H12" s="13"/>
      <c r="I12" s="12" t="s">
        <v>51</v>
      </c>
      <c r="J12" s="16">
        <v>3.3300000000000003E-2</v>
      </c>
      <c r="K12" s="17" t="s">
        <v>54</v>
      </c>
      <c r="L12" s="16">
        <v>-2.4400000000000002E-2</v>
      </c>
      <c r="M12" s="14">
        <f t="shared" si="0"/>
        <v>4.4500000000000008E-3</v>
      </c>
      <c r="N12" s="15">
        <f t="shared" si="6"/>
        <v>5.3517322125521849E-2</v>
      </c>
      <c r="O12" s="15">
        <f t="shared" si="12"/>
        <v>5.3517322125521849E-2</v>
      </c>
      <c r="P12" s="13">
        <f>(1+O12)/(1+MAX(O$2:O12))-1</f>
        <v>-2.6166010773147619E-2</v>
      </c>
      <c r="Q12" s="18" t="s">
        <v>624</v>
      </c>
      <c r="R12" s="16">
        <v>0.2525</v>
      </c>
      <c r="S12" s="56" t="s">
        <v>42</v>
      </c>
      <c r="T12" s="16">
        <v>0.33860000000000001</v>
      </c>
      <c r="U12" s="14">
        <f t="shared" si="1"/>
        <v>0.29554999999999998</v>
      </c>
      <c r="V12" s="15">
        <f t="shared" si="7"/>
        <v>0.72714948120178735</v>
      </c>
      <c r="W12" s="15">
        <f t="shared" si="13"/>
        <v>0.72714948120178735</v>
      </c>
      <c r="X12" s="13">
        <f>(1+W12)/(1+MAX(W$2:W12))-1</f>
        <v>0</v>
      </c>
      <c r="Y12" s="18" t="s">
        <v>615</v>
      </c>
      <c r="Z12" s="16">
        <v>-6.9599999999999995E-2</v>
      </c>
      <c r="AA12" s="57" t="s">
        <v>43</v>
      </c>
      <c r="AB12" s="16">
        <v>0.1079</v>
      </c>
      <c r="AC12" s="14">
        <f t="shared" si="2"/>
        <v>1.915E-2</v>
      </c>
      <c r="AD12" s="15">
        <f t="shared" si="8"/>
        <v>0.26993241021745562</v>
      </c>
      <c r="AE12" s="15">
        <f t="shared" si="14"/>
        <v>0.26993241021745562</v>
      </c>
      <c r="AF12" s="13">
        <f>(1+AE12)/(1+MAX(AE$2:AE12))-1</f>
        <v>0</v>
      </c>
      <c r="AG12" s="21"/>
      <c r="AH12" s="20">
        <f t="shared" si="3"/>
        <v>8.3385714285714285E-2</v>
      </c>
      <c r="AI12" s="15">
        <f t="shared" si="9"/>
        <v>0.26020219132310962</v>
      </c>
      <c r="AJ12" s="15">
        <f t="shared" si="15"/>
        <v>0.26020219132310962</v>
      </c>
      <c r="AK12" s="15">
        <f>(1+AJ12)/(1+MAX(AJ$2:AJ12))-1</f>
        <v>0</v>
      </c>
      <c r="AL12" s="58">
        <f t="shared" si="16"/>
        <v>1260.2021913231097</v>
      </c>
      <c r="AM12" s="59"/>
      <c r="AN12" s="12" t="s">
        <v>86</v>
      </c>
      <c r="AO12" s="60">
        <v>2198.81</v>
      </c>
      <c r="AP12" s="14">
        <f t="shared" si="17"/>
        <v>3.4174446769983158E-2</v>
      </c>
      <c r="AQ12" s="15">
        <f t="shared" si="10"/>
        <v>0.13326701851317346</v>
      </c>
      <c r="AR12" s="15">
        <f t="shared" si="18"/>
        <v>0.13326701851317346</v>
      </c>
      <c r="AS12" s="13">
        <f>(1+AR12)/(1+MAX(AR$2:AR12))-1</f>
        <v>0</v>
      </c>
      <c r="AT12" s="62"/>
    </row>
    <row r="13" spans="1:54" s="27" customFormat="1" ht="15" thickBot="1" x14ac:dyDescent="0.35">
      <c r="A13" s="27" t="s">
        <v>663</v>
      </c>
      <c r="B13" s="63" t="str">
        <f t="shared" si="4"/>
        <v>2016-12</v>
      </c>
      <c r="C13" s="22">
        <v>42705</v>
      </c>
      <c r="D13" s="23" t="s">
        <v>40</v>
      </c>
      <c r="E13" s="24">
        <v>3.5999999999999997E-2</v>
      </c>
      <c r="F13" s="25">
        <f t="shared" si="5"/>
        <v>-0.13902238363173802</v>
      </c>
      <c r="G13" s="25">
        <f t="shared" si="11"/>
        <v>-0.13902238363173802</v>
      </c>
      <c r="H13" s="26">
        <f>(1+G13)/(1+MAX(G$2:G13))-1</f>
        <v>-0.11994217128191431</v>
      </c>
      <c r="I13" s="23" t="s">
        <v>41</v>
      </c>
      <c r="J13" s="144">
        <v>2.4299999999999999E-2</v>
      </c>
      <c r="K13" s="28" t="s">
        <v>44</v>
      </c>
      <c r="L13" s="144">
        <v>4.4699999999999997E-2</v>
      </c>
      <c r="M13" s="24">
        <f t="shared" si="0"/>
        <v>3.4499999999999996E-2</v>
      </c>
      <c r="N13" s="25">
        <f t="shared" si="6"/>
        <v>8.9863669738852403E-2</v>
      </c>
      <c r="O13" s="25">
        <f t="shared" si="12"/>
        <v>8.9863669738852403E-2</v>
      </c>
      <c r="P13" s="26">
        <f>(1+O13)/(1+MAX(O$2:O13))-1</f>
        <v>0</v>
      </c>
      <c r="Q13" s="29" t="s">
        <v>624</v>
      </c>
      <c r="R13" s="64">
        <v>-0.1081</v>
      </c>
      <c r="S13" s="65" t="s">
        <v>42</v>
      </c>
      <c r="T13" s="30">
        <v>0.16569999999999999</v>
      </c>
      <c r="U13" s="24">
        <f t="shared" si="1"/>
        <v>2.8799999999999992E-2</v>
      </c>
      <c r="V13" s="25">
        <f t="shared" si="7"/>
        <v>0.77689138626039878</v>
      </c>
      <c r="W13" s="25">
        <f t="shared" si="13"/>
        <v>0.77689138626039878</v>
      </c>
      <c r="X13" s="26">
        <f>(1+W13)/(1+MAX(W$2:W13))-1</f>
        <v>0</v>
      </c>
      <c r="Y13" s="29" t="s">
        <v>616</v>
      </c>
      <c r="Z13" s="30">
        <v>0.12559999999999999</v>
      </c>
      <c r="AA13" s="65" t="s">
        <v>43</v>
      </c>
      <c r="AB13" s="30">
        <v>0.12609999999999999</v>
      </c>
      <c r="AC13" s="24">
        <f t="shared" si="2"/>
        <v>0.12584999999999999</v>
      </c>
      <c r="AD13" s="25">
        <f t="shared" si="8"/>
        <v>0.42975340404332241</v>
      </c>
      <c r="AE13" s="25">
        <f t="shared" si="14"/>
        <v>0.42975340404332241</v>
      </c>
      <c r="AF13" s="26">
        <f>(1+AE13)/(1+MAX(AE$2:AE13))-1</f>
        <v>0</v>
      </c>
      <c r="AG13" s="31"/>
      <c r="AH13" s="32">
        <f t="shared" si="3"/>
        <v>5.9185714285714279E-2</v>
      </c>
      <c r="AI13" s="25">
        <f t="shared" si="9"/>
        <v>0.33478815816099017</v>
      </c>
      <c r="AJ13" s="25">
        <f t="shared" si="15"/>
        <v>0.33478815816099017</v>
      </c>
      <c r="AK13" s="25">
        <f>(1+AJ13)/(1+MAX(AJ$2:AJ13))-1</f>
        <v>0</v>
      </c>
      <c r="AL13" s="66">
        <f t="shared" si="16"/>
        <v>1334.7881581609902</v>
      </c>
      <c r="AM13" s="22"/>
      <c r="AN13" s="23" t="s">
        <v>86</v>
      </c>
      <c r="AO13" s="67">
        <v>2238.83</v>
      </c>
      <c r="AP13" s="24">
        <f t="shared" si="17"/>
        <v>1.8200754044233047E-2</v>
      </c>
      <c r="AQ13" s="25">
        <f t="shared" si="10"/>
        <v>0.15389333278357298</v>
      </c>
      <c r="AR13" s="25">
        <f t="shared" si="18"/>
        <v>0.15389333278357298</v>
      </c>
      <c r="AS13" s="26">
        <f>(1+AR13)/(1+MAX(AR$2:AR13))-1</f>
        <v>0</v>
      </c>
      <c r="AT13" s="68"/>
    </row>
    <row r="14" spans="1:54" s="54" customFormat="1" outlineLevel="1" x14ac:dyDescent="0.3">
      <c r="A14" s="54" t="s">
        <v>663</v>
      </c>
      <c r="B14" s="48" t="str">
        <f t="shared" si="4"/>
        <v>2017-1</v>
      </c>
      <c r="C14" s="1">
        <v>42736</v>
      </c>
      <c r="D14" s="2" t="s">
        <v>40</v>
      </c>
      <c r="E14" s="4">
        <v>-9.7000000000000003E-3</v>
      </c>
      <c r="F14" s="5">
        <f>+E14</f>
        <v>-9.7000000000000003E-3</v>
      </c>
      <c r="G14" s="5">
        <f t="shared" si="11"/>
        <v>-0.14737386651051021</v>
      </c>
      <c r="H14" s="3">
        <f>(1+G14)/(1+MAX(G$2:G14))-1</f>
        <v>-0.12847873222047979</v>
      </c>
      <c r="I14" s="2" t="s">
        <v>41</v>
      </c>
      <c r="J14" s="6">
        <v>-4.4200000000000003E-2</v>
      </c>
      <c r="K14" s="7" t="s">
        <v>44</v>
      </c>
      <c r="L14" s="6">
        <v>-9.9000000000000008E-3</v>
      </c>
      <c r="M14" s="4">
        <f t="shared" si="0"/>
        <v>-2.7050000000000001E-2</v>
      </c>
      <c r="N14" s="5">
        <f>+M14</f>
        <v>-2.7050000000000001E-2</v>
      </c>
      <c r="O14" s="5">
        <f t="shared" si="12"/>
        <v>6.038285747241634E-2</v>
      </c>
      <c r="P14" s="3">
        <f>(1+O14)/(1+MAX(O$2:O14))-1</f>
        <v>-2.7050000000000129E-2</v>
      </c>
      <c r="Q14" s="8" t="s">
        <v>42</v>
      </c>
      <c r="R14" s="6">
        <v>1.01E-2</v>
      </c>
      <c r="S14" s="49" t="s">
        <v>625</v>
      </c>
      <c r="T14" s="6">
        <v>-4.1399999999999999E-2</v>
      </c>
      <c r="U14" s="4">
        <f t="shared" si="1"/>
        <v>-1.5650000000000001E-2</v>
      </c>
      <c r="V14" s="5">
        <f>+U14</f>
        <v>-1.5650000000000001E-2</v>
      </c>
      <c r="W14" s="5">
        <f t="shared" si="13"/>
        <v>0.74908303606542348</v>
      </c>
      <c r="X14" s="3">
        <f>(1+W14)/(1+MAX(W$2:W14))-1</f>
        <v>-1.5650000000000053E-2</v>
      </c>
      <c r="Y14" s="8" t="s">
        <v>616</v>
      </c>
      <c r="Z14" s="6">
        <v>0.1278</v>
      </c>
      <c r="AA14" s="50" t="s">
        <v>43</v>
      </c>
      <c r="AB14" s="6">
        <v>0.1318</v>
      </c>
      <c r="AC14" s="4">
        <f t="shared" si="2"/>
        <v>0.1298</v>
      </c>
      <c r="AD14" s="5">
        <f>+AC14</f>
        <v>0.1298</v>
      </c>
      <c r="AE14" s="5">
        <f t="shared" si="14"/>
        <v>0.61533539588814556</v>
      </c>
      <c r="AF14" s="3">
        <f>(1+AE14)/(1+MAX(AE$2:AE14))-1</f>
        <v>0</v>
      </c>
      <c r="AG14" s="9"/>
      <c r="AH14" s="10">
        <f t="shared" si="3"/>
        <v>2.35E-2</v>
      </c>
      <c r="AI14" s="5">
        <f>+AH14</f>
        <v>2.35E-2</v>
      </c>
      <c r="AJ14" s="5">
        <f t="shared" si="15"/>
        <v>0.36615567987777364</v>
      </c>
      <c r="AK14" s="5">
        <f>(1+AJ14)/(1+MAX(AJ$2:AJ14))-1</f>
        <v>0</v>
      </c>
      <c r="AL14" s="51">
        <f t="shared" si="16"/>
        <v>1366.1556798777735</v>
      </c>
      <c r="AM14" s="52"/>
      <c r="AN14" s="2" t="s">
        <v>86</v>
      </c>
      <c r="AO14" s="53">
        <v>2278.87</v>
      </c>
      <c r="AP14" s="4">
        <f t="shared" si="17"/>
        <v>1.7884341374735824E-2</v>
      </c>
      <c r="AQ14" s="5">
        <f>+AP14</f>
        <v>1.7884341374735824E-2</v>
      </c>
      <c r="AR14" s="5">
        <f t="shared" si="18"/>
        <v>0.174529955057106</v>
      </c>
      <c r="AS14" s="3">
        <f>(1+AR14)/(1+MAX(AR$2:AR14))-1</f>
        <v>0</v>
      </c>
    </row>
    <row r="15" spans="1:54" s="61" customFormat="1" outlineLevel="1" x14ac:dyDescent="0.3">
      <c r="A15" s="61" t="s">
        <v>663</v>
      </c>
      <c r="B15" s="55" t="str">
        <f t="shared" si="4"/>
        <v>2017-2</v>
      </c>
      <c r="C15" s="11">
        <v>42767</v>
      </c>
      <c r="D15" s="12" t="s">
        <v>40</v>
      </c>
      <c r="E15" s="14">
        <v>3.1300000000000001E-2</v>
      </c>
      <c r="F15" s="15">
        <f t="shared" ref="F15:F25" si="19">+(1+E15)*(1+F14)-1</f>
        <v>2.1296390000000054E-2</v>
      </c>
      <c r="G15" s="15">
        <f t="shared" si="11"/>
        <v>-0.12068666853228904</v>
      </c>
      <c r="H15" s="13">
        <f>(1+G15)/(1+MAX(G$2:G15))-1</f>
        <v>-0.10120011653898064</v>
      </c>
      <c r="I15" s="12" t="s">
        <v>44</v>
      </c>
      <c r="J15" s="16">
        <v>6.5100000000000005E-2</v>
      </c>
      <c r="K15" s="17" t="s">
        <v>141</v>
      </c>
      <c r="L15" s="16">
        <v>5.1299999999999998E-2</v>
      </c>
      <c r="M15" s="14">
        <f t="shared" si="0"/>
        <v>5.8200000000000002E-2</v>
      </c>
      <c r="N15" s="15">
        <f t="shared" ref="N15:N25" si="20">+(1+M15)*(1+N14)-1</f>
        <v>2.9575689999999932E-2</v>
      </c>
      <c r="O15" s="15">
        <f t="shared" si="12"/>
        <v>0.12209713977731096</v>
      </c>
      <c r="P15" s="13">
        <f>(1+O15)/(1+MAX(O$2:O15))-1</f>
        <v>0</v>
      </c>
      <c r="Q15" s="18" t="s">
        <v>45</v>
      </c>
      <c r="R15" s="16">
        <v>-1.6400000000000001E-2</v>
      </c>
      <c r="S15" s="56" t="s">
        <v>42</v>
      </c>
      <c r="T15" s="16">
        <v>-5.8400000000000001E-2</v>
      </c>
      <c r="U15" s="14">
        <f t="shared" si="1"/>
        <v>-3.7400000000000003E-2</v>
      </c>
      <c r="V15" s="15">
        <f t="shared" ref="V15:V25" si="21">+(1+U15)*(1+V14)-1</f>
        <v>-5.2464690000000092E-2</v>
      </c>
      <c r="W15" s="15">
        <f t="shared" si="13"/>
        <v>0.68366733051657658</v>
      </c>
      <c r="X15" s="13">
        <f>(1+W15)/(1+MAX(W$2:W15))-1</f>
        <v>-5.2464690000000092E-2</v>
      </c>
      <c r="Y15" s="18" t="s">
        <v>616</v>
      </c>
      <c r="Z15" s="16">
        <v>0.18140000000000001</v>
      </c>
      <c r="AA15" s="57" t="s">
        <v>43</v>
      </c>
      <c r="AB15" s="16">
        <v>0.18079999999999999</v>
      </c>
      <c r="AC15" s="14">
        <f t="shared" si="2"/>
        <v>0.18109999999999998</v>
      </c>
      <c r="AD15" s="15">
        <f t="shared" ref="AD15:AD25" si="22">+(1+AC15)*(1+AD14)-1</f>
        <v>0.3344067799999999</v>
      </c>
      <c r="AE15" s="15">
        <f t="shared" si="14"/>
        <v>0.90787263608348878</v>
      </c>
      <c r="AF15" s="13">
        <f>(1+AE15)/(1+MAX(AE$2:AE15))-1</f>
        <v>0</v>
      </c>
      <c r="AG15" s="19"/>
      <c r="AH15" s="20">
        <f t="shared" si="3"/>
        <v>6.2157142857142848E-2</v>
      </c>
      <c r="AI15" s="15">
        <f t="shared" ref="AI15:AI25" si="23">+(1+AH15)*(1+AI14)-1</f>
        <v>8.7117835714285663E-2</v>
      </c>
      <c r="AJ15" s="15">
        <f t="shared" si="15"/>
        <v>0.45107201363703342</v>
      </c>
      <c r="AK15" s="15">
        <f>(1+AJ15)/(1+MAX(AJ$2:AJ15))-1</f>
        <v>0</v>
      </c>
      <c r="AL15" s="58">
        <f t="shared" si="16"/>
        <v>1451.0720136370333</v>
      </c>
      <c r="AM15" s="59"/>
      <c r="AN15" s="12" t="s">
        <v>86</v>
      </c>
      <c r="AO15" s="60">
        <v>2363.64</v>
      </c>
      <c r="AP15" s="14">
        <f t="shared" si="17"/>
        <v>3.7198260541408734E-2</v>
      </c>
      <c r="AQ15" s="15">
        <f t="shared" ref="AQ15:AQ25" si="24">+(1+AP15)*(1+AQ14)-1</f>
        <v>5.5747868306213366E-2</v>
      </c>
      <c r="AR15" s="15">
        <f t="shared" si="18"/>
        <v>0.21822042633900929</v>
      </c>
      <c r="AS15" s="13">
        <f>(1+AR15)/(1+MAX(AR$2:AR15))-1</f>
        <v>0</v>
      </c>
    </row>
    <row r="16" spans="1:54" s="61" customFormat="1" outlineLevel="1" x14ac:dyDescent="0.3">
      <c r="A16" s="61" t="s">
        <v>663</v>
      </c>
      <c r="B16" s="55" t="str">
        <f t="shared" si="4"/>
        <v>2017-3</v>
      </c>
      <c r="C16" s="11">
        <v>42795</v>
      </c>
      <c r="D16" s="12" t="s">
        <v>40</v>
      </c>
      <c r="E16" s="14">
        <v>-9.4000000000000004E-3</v>
      </c>
      <c r="F16" s="15">
        <f t="shared" si="19"/>
        <v>1.169620393400006E-2</v>
      </c>
      <c r="G16" s="15">
        <f t="shared" si="11"/>
        <v>-0.12895221384808553</v>
      </c>
      <c r="H16" s="13">
        <f>(1+G16)/(1+MAX(G$2:G16))-1</f>
        <v>-0.10964883544351423</v>
      </c>
      <c r="I16" s="12" t="s">
        <v>44</v>
      </c>
      <c r="J16" s="16">
        <v>-3.8899999999999997E-2</v>
      </c>
      <c r="K16" s="17" t="s">
        <v>141</v>
      </c>
      <c r="L16" s="16">
        <v>-1.72E-2</v>
      </c>
      <c r="M16" s="14">
        <f t="shared" si="0"/>
        <v>-2.8049999999999999E-2</v>
      </c>
      <c r="N16" s="15">
        <f t="shared" si="20"/>
        <v>6.9609189549990624E-4</v>
      </c>
      <c r="O16" s="15">
        <f t="shared" si="12"/>
        <v>9.0622315006557264E-2</v>
      </c>
      <c r="P16" s="13">
        <f>(1+O16)/(1+MAX(O$2:O16))-1</f>
        <v>-2.805000000000013E-2</v>
      </c>
      <c r="Q16" s="18" t="s">
        <v>626</v>
      </c>
      <c r="R16" s="16">
        <v>-5.0599999999999999E-2</v>
      </c>
      <c r="S16" s="56" t="s">
        <v>42</v>
      </c>
      <c r="T16" s="16">
        <v>6.3100000000000003E-2</v>
      </c>
      <c r="U16" s="14">
        <f t="shared" si="1"/>
        <v>6.2500000000000021E-3</v>
      </c>
      <c r="V16" s="15">
        <f t="shared" si="21"/>
        <v>-4.6542594312499963E-2</v>
      </c>
      <c r="W16" s="15">
        <f t="shared" si="13"/>
        <v>0.69419025133230527</v>
      </c>
      <c r="X16" s="13">
        <f>(1+W16)/(1+MAX(W$2:W16))-1</f>
        <v>-4.6542594312499963E-2</v>
      </c>
      <c r="Y16" s="18" t="s">
        <v>616</v>
      </c>
      <c r="Z16" s="16">
        <v>-6.9999999999999999E-4</v>
      </c>
      <c r="AA16" s="57" t="s">
        <v>43</v>
      </c>
      <c r="AB16" s="16">
        <v>-6.9999999999999999E-4</v>
      </c>
      <c r="AC16" s="14">
        <f t="shared" si="2"/>
        <v>-6.9999999999999999E-4</v>
      </c>
      <c r="AD16" s="15">
        <f t="shared" si="22"/>
        <v>0.33347269525399992</v>
      </c>
      <c r="AE16" s="15">
        <f t="shared" si="14"/>
        <v>0.90653712523823038</v>
      </c>
      <c r="AF16" s="13">
        <f>(1+AE16)/(1+MAX(AE$2:AE16))-1</f>
        <v>-7.0000000000003393E-4</v>
      </c>
      <c r="AG16" s="19"/>
      <c r="AH16" s="20">
        <f t="shared" si="3"/>
        <v>-7.7714285714285706E-3</v>
      </c>
      <c r="AI16" s="15">
        <f t="shared" si="23"/>
        <v>7.8669377105306193E-2</v>
      </c>
      <c r="AJ16" s="15">
        <f t="shared" si="15"/>
        <v>0.43979511113105429</v>
      </c>
      <c r="AK16" s="15">
        <f>(1+AJ16)/(1+MAX(AJ$2:AJ16))-1</f>
        <v>-7.7714285714285403E-3</v>
      </c>
      <c r="AL16" s="58">
        <f t="shared" si="16"/>
        <v>1439.795111131054</v>
      </c>
      <c r="AM16" s="59"/>
      <c r="AN16" s="12" t="s">
        <v>86</v>
      </c>
      <c r="AO16" s="60">
        <v>2362.7199999999998</v>
      </c>
      <c r="AP16" s="14">
        <f t="shared" si="17"/>
        <v>-3.8923017041514463E-4</v>
      </c>
      <c r="AQ16" s="15">
        <f t="shared" si="24"/>
        <v>5.5336939383517025E-2</v>
      </c>
      <c r="AR16" s="15">
        <f t="shared" si="18"/>
        <v>0.21774625819486215</v>
      </c>
      <c r="AS16" s="13">
        <f>(1+AR16)/(1+MAX(AR$2:AR16))-1</f>
        <v>-3.8923017041514463E-4</v>
      </c>
    </row>
    <row r="17" spans="1:54" s="61" customFormat="1" outlineLevel="1" x14ac:dyDescent="0.3">
      <c r="A17" s="61" t="s">
        <v>663</v>
      </c>
      <c r="B17" s="55" t="str">
        <f t="shared" si="4"/>
        <v>2017-4</v>
      </c>
      <c r="C17" s="11">
        <v>42826</v>
      </c>
      <c r="D17" s="12" t="s">
        <v>40</v>
      </c>
      <c r="E17" s="14">
        <v>-5.0000000000000001E-3</v>
      </c>
      <c r="F17" s="15">
        <f t="shared" si="19"/>
        <v>6.6377229143299576E-3</v>
      </c>
      <c r="G17" s="15">
        <f t="shared" si="11"/>
        <v>-0.13330745277884515</v>
      </c>
      <c r="H17" s="13">
        <f>(1+G17)/(1+MAX(G$2:G17))-1</f>
        <v>-0.11410059126629679</v>
      </c>
      <c r="I17" s="12" t="s">
        <v>44</v>
      </c>
      <c r="J17" s="16">
        <v>-2.46E-2</v>
      </c>
      <c r="K17" s="17" t="s">
        <v>51</v>
      </c>
      <c r="L17" s="16">
        <v>3.3999999999999998E-3</v>
      </c>
      <c r="M17" s="14">
        <f t="shared" si="0"/>
        <v>-1.06E-2</v>
      </c>
      <c r="N17" s="15">
        <f t="shared" si="20"/>
        <v>-9.9112866785924236E-3</v>
      </c>
      <c r="O17" s="15">
        <f t="shared" si="12"/>
        <v>7.9061718467487774E-2</v>
      </c>
      <c r="P17" s="13">
        <f>(1+O17)/(1+MAX(O$2:O17))-1</f>
        <v>-3.8352670000000089E-2</v>
      </c>
      <c r="Q17" s="18" t="s">
        <v>45</v>
      </c>
      <c r="R17" s="16">
        <v>-5.8200000000000002E-2</v>
      </c>
      <c r="S17" s="56" t="s">
        <v>42</v>
      </c>
      <c r="T17" s="16">
        <v>-5.8099999999999999E-2</v>
      </c>
      <c r="U17" s="14">
        <f t="shared" si="1"/>
        <v>-5.815E-2</v>
      </c>
      <c r="V17" s="15">
        <f t="shared" si="21"/>
        <v>-0.10198614245322812</v>
      </c>
      <c r="W17" s="15">
        <f t="shared" si="13"/>
        <v>0.59567308821733156</v>
      </c>
      <c r="X17" s="13">
        <f>(1+W17)/(1+MAX(W$2:W17))-1</f>
        <v>-0.10198614245322823</v>
      </c>
      <c r="Y17" s="18" t="s">
        <v>616</v>
      </c>
      <c r="Z17" s="16">
        <v>3.6299999999999999E-2</v>
      </c>
      <c r="AA17" s="57" t="s">
        <v>43</v>
      </c>
      <c r="AB17" s="16">
        <v>3.6299999999999999E-2</v>
      </c>
      <c r="AC17" s="14">
        <f t="shared" si="2"/>
        <v>3.6299999999999999E-2</v>
      </c>
      <c r="AD17" s="15">
        <f t="shared" si="22"/>
        <v>0.3818777540917202</v>
      </c>
      <c r="AE17" s="15">
        <f t="shared" si="14"/>
        <v>0.97574442288437813</v>
      </c>
      <c r="AF17" s="13">
        <f>(1+AE17)/(1+MAX(AE$2:AE17))-1</f>
        <v>0</v>
      </c>
      <c r="AG17" s="19"/>
      <c r="AH17" s="20">
        <f t="shared" si="3"/>
        <v>-9.9857142857142887E-3</v>
      </c>
      <c r="AI17" s="15">
        <f t="shared" si="23"/>
        <v>6.7898092896783169E-2</v>
      </c>
      <c r="AJ17" s="15">
        <f t="shared" si="15"/>
        <v>0.42541772852133142</v>
      </c>
      <c r="AK17" s="15">
        <f>(1+AJ17)/(1+MAX(AJ$2:AJ17))-1</f>
        <v>-1.7679539591836657E-2</v>
      </c>
      <c r="AL17" s="58">
        <f t="shared" si="16"/>
        <v>1425.4177285213311</v>
      </c>
      <c r="AM17" s="59"/>
      <c r="AN17" s="12" t="s">
        <v>86</v>
      </c>
      <c r="AO17" s="60">
        <v>2384.1999999999998</v>
      </c>
      <c r="AP17" s="14">
        <f t="shared" si="17"/>
        <v>9.0912169025529899E-3</v>
      </c>
      <c r="AQ17" s="15">
        <f t="shared" si="24"/>
        <v>6.4931236404728976E-2</v>
      </c>
      <c r="AR17" s="15">
        <f t="shared" si="18"/>
        <v>0.22881705356038395</v>
      </c>
      <c r="AS17" s="13">
        <f>(1+AR17)/(1+MAX(AR$2:AR17))-1</f>
        <v>0</v>
      </c>
      <c r="AT17" s="62"/>
    </row>
    <row r="18" spans="1:54" s="61" customFormat="1" outlineLevel="1" x14ac:dyDescent="0.3">
      <c r="A18" s="61" t="s">
        <v>663</v>
      </c>
      <c r="B18" s="55" t="str">
        <f t="shared" si="4"/>
        <v>2017-5</v>
      </c>
      <c r="C18" s="11">
        <v>42856</v>
      </c>
      <c r="D18" s="12" t="s">
        <v>29</v>
      </c>
      <c r="E18" s="14">
        <v>1.04E-2</v>
      </c>
      <c r="F18" s="15">
        <f t="shared" si="19"/>
        <v>1.7106755232638937E-2</v>
      </c>
      <c r="G18" s="15">
        <f t="shared" si="11"/>
        <v>-0.1242938502877452</v>
      </c>
      <c r="H18" s="13">
        <f>(1+G18)/(1+MAX(G$2:G18))-1</f>
        <v>-0.10488723741546624</v>
      </c>
      <c r="I18" s="12" t="s">
        <v>44</v>
      </c>
      <c r="J18" s="16">
        <v>-3.9100000000000003E-2</v>
      </c>
      <c r="K18" s="17" t="s">
        <v>51</v>
      </c>
      <c r="L18" s="16">
        <v>1.09E-2</v>
      </c>
      <c r="M18" s="14">
        <f t="shared" si="0"/>
        <v>-1.4100000000000001E-2</v>
      </c>
      <c r="N18" s="15">
        <f t="shared" si="20"/>
        <v>-2.3871537536424237E-2</v>
      </c>
      <c r="O18" s="15">
        <f t="shared" si="12"/>
        <v>6.3846948237096246E-2</v>
      </c>
      <c r="P18" s="13">
        <f>(1+O18)/(1+MAX(O$2:O18))-1</f>
        <v>-5.1911897353000058E-2</v>
      </c>
      <c r="Q18" s="18" t="s">
        <v>45</v>
      </c>
      <c r="R18" s="16">
        <v>8.14E-2</v>
      </c>
      <c r="S18" s="56" t="s">
        <v>42</v>
      </c>
      <c r="T18" s="16">
        <v>0.3473</v>
      </c>
      <c r="U18" s="14">
        <f t="shared" si="1"/>
        <v>0.21434999999999998</v>
      </c>
      <c r="V18" s="15">
        <f t="shared" si="21"/>
        <v>9.0503127911922387E-2</v>
      </c>
      <c r="W18" s="15">
        <f t="shared" si="13"/>
        <v>0.93770561467671665</v>
      </c>
      <c r="X18" s="13">
        <f>(1+W18)/(1+MAX(W$2:W18))-1</f>
        <v>0</v>
      </c>
      <c r="Y18" s="18" t="s">
        <v>616</v>
      </c>
      <c r="Z18" s="16">
        <v>-1.15E-2</v>
      </c>
      <c r="AA18" s="57" t="s">
        <v>43</v>
      </c>
      <c r="AB18" s="16">
        <v>-1.11E-2</v>
      </c>
      <c r="AC18" s="14">
        <f t="shared" si="2"/>
        <v>-1.1300000000000001E-2</v>
      </c>
      <c r="AD18" s="15">
        <f t="shared" si="22"/>
        <v>0.36626253547048382</v>
      </c>
      <c r="AE18" s="15">
        <f t="shared" si="14"/>
        <v>0.95341851090578467</v>
      </c>
      <c r="AF18" s="13">
        <f>(1+AE18)/(1+MAX(AE$2:AE18))-1</f>
        <v>-1.1299999999999977E-2</v>
      </c>
      <c r="AG18" s="19"/>
      <c r="AH18" s="20">
        <f t="shared" si="3"/>
        <v>5.5471428571428567E-2</v>
      </c>
      <c r="AI18" s="15">
        <f t="shared" si="23"/>
        <v>0.12713592567847187</v>
      </c>
      <c r="AJ18" s="15">
        <f t="shared" si="15"/>
        <v>0.50448768623345042</v>
      </c>
      <c r="AK18" s="15">
        <f>(1+AJ18)/(1+MAX(AJ$2:AJ18))-1</f>
        <v>0</v>
      </c>
      <c r="AL18" s="58">
        <f t="shared" si="16"/>
        <v>1504.4876862334502</v>
      </c>
      <c r="AM18" s="59"/>
      <c r="AN18" s="12" t="s">
        <v>86</v>
      </c>
      <c r="AO18" s="60">
        <v>2411.8000000000002</v>
      </c>
      <c r="AP18" s="14">
        <f t="shared" si="17"/>
        <v>1.1576210049492719E-2</v>
      </c>
      <c r="AQ18" s="15">
        <f t="shared" si="24"/>
        <v>7.7259104085616093E-2</v>
      </c>
      <c r="AR18" s="15">
        <f t="shared" si="18"/>
        <v>0.2430420978847978</v>
      </c>
      <c r="AS18" s="13">
        <f>(1+AR18)/(1+MAX(AR$2:AR18))-1</f>
        <v>0</v>
      </c>
      <c r="AT18" s="62"/>
      <c r="AY18" s="62"/>
      <c r="AZ18" s="62"/>
      <c r="BA18" s="62"/>
      <c r="BB18" s="62"/>
    </row>
    <row r="19" spans="1:54" s="61" customFormat="1" outlineLevel="1" x14ac:dyDescent="0.3">
      <c r="A19" s="61" t="s">
        <v>663</v>
      </c>
      <c r="B19" s="55" t="str">
        <f t="shared" si="4"/>
        <v>2017-6</v>
      </c>
      <c r="C19" s="11">
        <v>42887</v>
      </c>
      <c r="D19" s="12" t="s">
        <v>29</v>
      </c>
      <c r="E19" s="14">
        <v>-4.6199999999999998E-2</v>
      </c>
      <c r="F19" s="15">
        <f t="shared" si="19"/>
        <v>-2.9883576859109029E-2</v>
      </c>
      <c r="G19" s="15">
        <f t="shared" si="11"/>
        <v>-0.16475147440445137</v>
      </c>
      <c r="H19" s="13">
        <f>(1+G19)/(1+MAX(G$2:G19))-1</f>
        <v>-0.1462414470468717</v>
      </c>
      <c r="I19" s="12" t="s">
        <v>44</v>
      </c>
      <c r="J19" s="16">
        <v>0.04</v>
      </c>
      <c r="K19" s="17" t="s">
        <v>51</v>
      </c>
      <c r="L19" s="16">
        <v>-5.0999999999999997E-2</v>
      </c>
      <c r="M19" s="14">
        <f t="shared" si="0"/>
        <v>-5.4999999999999979E-3</v>
      </c>
      <c r="N19" s="15">
        <f t="shared" si="20"/>
        <v>-2.9240244079973832E-2</v>
      </c>
      <c r="O19" s="15">
        <f t="shared" si="12"/>
        <v>5.7995790021792226E-2</v>
      </c>
      <c r="P19" s="13">
        <f>(1+O19)/(1+MAX(O$2:O19))-1</f>
        <v>-5.7126381917558589E-2</v>
      </c>
      <c r="Q19" s="18" t="s">
        <v>45</v>
      </c>
      <c r="R19" s="16">
        <v>-5.2499999999999998E-2</v>
      </c>
      <c r="S19" s="56" t="s">
        <v>42</v>
      </c>
      <c r="T19" s="16">
        <v>-2.2200000000000001E-2</v>
      </c>
      <c r="U19" s="14">
        <f t="shared" si="1"/>
        <v>-3.7350000000000001E-2</v>
      </c>
      <c r="V19" s="15">
        <f t="shared" si="21"/>
        <v>4.9772836084412075E-2</v>
      </c>
      <c r="W19" s="15">
        <f t="shared" si="13"/>
        <v>0.86533230996854127</v>
      </c>
      <c r="X19" s="13">
        <f>(1+W19)/(1+MAX(W$2:W19))-1</f>
        <v>-3.7349999999999994E-2</v>
      </c>
      <c r="Y19" s="18" t="s">
        <v>616</v>
      </c>
      <c r="Z19" s="16">
        <v>-0.1386</v>
      </c>
      <c r="AA19" s="57" t="s">
        <v>43</v>
      </c>
      <c r="AB19" s="16">
        <v>-0.14019999999999999</v>
      </c>
      <c r="AC19" s="14">
        <f t="shared" si="2"/>
        <v>-0.1394</v>
      </c>
      <c r="AD19" s="15">
        <f t="shared" si="22"/>
        <v>0.17580553802589849</v>
      </c>
      <c r="AE19" s="15">
        <f t="shared" si="14"/>
        <v>0.68111197048551841</v>
      </c>
      <c r="AF19" s="13">
        <f>(1+AE19)/(1+MAX(AE$2:AE19))-1</f>
        <v>-0.14912477999999996</v>
      </c>
      <c r="AG19" s="19"/>
      <c r="AH19" s="20">
        <f t="shared" si="3"/>
        <v>-5.8671428571428562E-2</v>
      </c>
      <c r="AI19" s="15">
        <f t="shared" si="23"/>
        <v>6.1005250724736282E-2</v>
      </c>
      <c r="AJ19" s="15">
        <f t="shared" si="15"/>
        <v>0.41621724441401065</v>
      </c>
      <c r="AK19" s="15">
        <f>(1+AJ19)/(1+MAX(AJ$2:AJ19))-1</f>
        <v>-5.8671428571428597E-2</v>
      </c>
      <c r="AL19" s="58">
        <f t="shared" si="16"/>
        <v>1416.2172444140103</v>
      </c>
      <c r="AM19" s="59"/>
      <c r="AN19" s="12" t="s">
        <v>86</v>
      </c>
      <c r="AO19" s="60">
        <v>2423.41</v>
      </c>
      <c r="AP19" s="14">
        <f t="shared" si="17"/>
        <v>4.8138319927024664E-3</v>
      </c>
      <c r="AQ19" s="15">
        <f t="shared" si="24"/>
        <v>8.2444848425293538E-2</v>
      </c>
      <c r="AR19" s="15">
        <f t="shared" si="18"/>
        <v>0.24902589370387163</v>
      </c>
      <c r="AS19" s="13">
        <f>(1+AR19)/(1+MAX(AR$2:AR19))-1</f>
        <v>0</v>
      </c>
      <c r="AT19" s="62"/>
      <c r="AY19" s="62"/>
      <c r="AZ19" s="62"/>
      <c r="BA19" s="62"/>
      <c r="BB19" s="62"/>
    </row>
    <row r="20" spans="1:54" s="61" customFormat="1" outlineLevel="1" x14ac:dyDescent="0.3">
      <c r="A20" s="61" t="s">
        <v>663</v>
      </c>
      <c r="B20" s="55" t="str">
        <f t="shared" si="4"/>
        <v>2017-7</v>
      </c>
      <c r="C20" s="11">
        <v>42917</v>
      </c>
      <c r="D20" s="12" t="s">
        <v>29</v>
      </c>
      <c r="E20" s="14">
        <v>1.35E-2</v>
      </c>
      <c r="F20" s="15">
        <f t="shared" si="19"/>
        <v>-1.6787005146706946E-2</v>
      </c>
      <c r="G20" s="15">
        <f t="shared" si="11"/>
        <v>-0.1534756193089114</v>
      </c>
      <c r="H20" s="13">
        <f>(1+G20)/(1+MAX(G$2:G20))-1</f>
        <v>-0.13471570658200449</v>
      </c>
      <c r="I20" s="12" t="s">
        <v>44</v>
      </c>
      <c r="J20" s="16">
        <v>-9.4000000000000004E-3</v>
      </c>
      <c r="K20" s="17" t="s">
        <v>51</v>
      </c>
      <c r="L20" s="16">
        <v>1.7399999999999999E-2</v>
      </c>
      <c r="M20" s="14">
        <f t="shared" si="0"/>
        <v>3.9999999999999992E-3</v>
      </c>
      <c r="N20" s="15">
        <f t="shared" si="20"/>
        <v>-2.5357205056293686E-2</v>
      </c>
      <c r="O20" s="15">
        <f t="shared" si="12"/>
        <v>6.2227773181879442E-2</v>
      </c>
      <c r="P20" s="13">
        <f>(1+O20)/(1+MAX(O$2:O20))-1</f>
        <v>-5.335488744522876E-2</v>
      </c>
      <c r="Q20" s="18" t="s">
        <v>45</v>
      </c>
      <c r="R20" s="16">
        <v>-8.2799999999999999E-2</v>
      </c>
      <c r="S20" s="56" t="s">
        <v>42</v>
      </c>
      <c r="T20" s="16">
        <v>9.4899999999999998E-2</v>
      </c>
      <c r="U20" s="14">
        <f t="shared" si="1"/>
        <v>6.0499999999999998E-3</v>
      </c>
      <c r="V20" s="15">
        <f t="shared" si="21"/>
        <v>5.6123961742722939E-2</v>
      </c>
      <c r="W20" s="15">
        <f t="shared" si="13"/>
        <v>0.87661757044385125</v>
      </c>
      <c r="X20" s="13">
        <f>(1+W20)/(1+MAX(W$2:W20))-1</f>
        <v>-3.1525967499999807E-2</v>
      </c>
      <c r="Y20" s="18" t="s">
        <v>616</v>
      </c>
      <c r="Z20" s="16">
        <v>0.14710000000000001</v>
      </c>
      <c r="AA20" s="57" t="s">
        <v>43</v>
      </c>
      <c r="AB20" s="16">
        <v>0.14799999999999999</v>
      </c>
      <c r="AC20" s="14">
        <f t="shared" si="2"/>
        <v>0.14755000000000001</v>
      </c>
      <c r="AD20" s="15">
        <f t="shared" si="22"/>
        <v>0.34929564516161982</v>
      </c>
      <c r="AE20" s="15">
        <f t="shared" si="14"/>
        <v>0.92916004173065669</v>
      </c>
      <c r="AF20" s="13">
        <f>(1+AE20)/(1+MAX(AE$2:AE20))-1</f>
        <v>-2.3578141288999932E-2</v>
      </c>
      <c r="AG20" s="19"/>
      <c r="AH20" s="20">
        <f t="shared" si="3"/>
        <v>4.6957142857142864E-2</v>
      </c>
      <c r="AI20" s="15">
        <f t="shared" si="23"/>
        <v>0.11082702585519644</v>
      </c>
      <c r="AJ20" s="15">
        <f t="shared" si="15"/>
        <v>0.48271875987670865</v>
      </c>
      <c r="AK20" s="15">
        <f>(1+AJ20)/(1+MAX(AJ$2:AJ20))-1</f>
        <v>-1.4469328367346934E-2</v>
      </c>
      <c r="AL20" s="58">
        <f t="shared" si="16"/>
        <v>1482.7187598767084</v>
      </c>
      <c r="AM20" s="59"/>
      <c r="AN20" s="12" t="s">
        <v>86</v>
      </c>
      <c r="AO20" s="60">
        <v>2470.3000000000002</v>
      </c>
      <c r="AP20" s="14">
        <f t="shared" si="17"/>
        <v>1.9348768883515444E-2</v>
      </c>
      <c r="AQ20" s="15">
        <f t="shared" si="24"/>
        <v>0.10338882362662649</v>
      </c>
      <c r="AR20" s="15">
        <f t="shared" si="18"/>
        <v>0.27319300705067406</v>
      </c>
      <c r="AS20" s="13">
        <f>(1+AR20)/(1+MAX(AR$2:AR20))-1</f>
        <v>0</v>
      </c>
      <c r="AT20" s="62"/>
      <c r="AY20" s="62"/>
      <c r="AZ20" s="62"/>
      <c r="BA20" s="62"/>
      <c r="BB20" s="62"/>
    </row>
    <row r="21" spans="1:54" s="61" customFormat="1" outlineLevel="1" x14ac:dyDescent="0.3">
      <c r="A21" s="61" t="s">
        <v>663</v>
      </c>
      <c r="B21" s="55" t="str">
        <f t="shared" si="4"/>
        <v>2017-8</v>
      </c>
      <c r="C21" s="11">
        <v>42948</v>
      </c>
      <c r="D21" s="12" t="s">
        <v>29</v>
      </c>
      <c r="E21" s="14">
        <v>8.2000000000000007E-3</v>
      </c>
      <c r="F21" s="15">
        <f t="shared" si="19"/>
        <v>-8.7246585889099171E-3</v>
      </c>
      <c r="G21" s="15">
        <f t="shared" si="11"/>
        <v>-0.14653411938724448</v>
      </c>
      <c r="H21" s="13">
        <f>(1+G21)/(1+MAX(G$2:G21))-1</f>
        <v>-0.12762037537597692</v>
      </c>
      <c r="I21" s="12" t="s">
        <v>44</v>
      </c>
      <c r="J21" s="16">
        <v>-2.76E-2</v>
      </c>
      <c r="K21" s="17" t="s">
        <v>51</v>
      </c>
      <c r="L21" s="16">
        <v>1.66E-2</v>
      </c>
      <c r="M21" s="14">
        <f t="shared" si="0"/>
        <v>-5.4999999999999997E-3</v>
      </c>
      <c r="N21" s="15">
        <f t="shared" si="20"/>
        <v>-3.0717740428484075E-2</v>
      </c>
      <c r="O21" s="15">
        <f t="shared" si="12"/>
        <v>5.6385520429379055E-2</v>
      </c>
      <c r="P21" s="13">
        <f>(1+O21)/(1+MAX(O$2:O21))-1</f>
        <v>-5.8561435564280062E-2</v>
      </c>
      <c r="Q21" s="18" t="s">
        <v>45</v>
      </c>
      <c r="R21" s="16">
        <v>0.1229</v>
      </c>
      <c r="S21" s="56" t="s">
        <v>42</v>
      </c>
      <c r="T21" s="16">
        <v>3.0700000000000002E-2</v>
      </c>
      <c r="U21" s="14">
        <f t="shared" si="1"/>
        <v>7.6799999999999993E-2</v>
      </c>
      <c r="V21" s="15">
        <f t="shared" si="21"/>
        <v>0.137234282004564</v>
      </c>
      <c r="W21" s="15">
        <f t="shared" si="13"/>
        <v>1.0207417998539392</v>
      </c>
      <c r="X21" s="13">
        <f>(1+W21)/(1+MAX(W$2:W21))-1</f>
        <v>0</v>
      </c>
      <c r="Y21" s="18" t="s">
        <v>616</v>
      </c>
      <c r="Z21" s="16">
        <v>1.04E-2</v>
      </c>
      <c r="AA21" s="57" t="s">
        <v>43</v>
      </c>
      <c r="AB21" s="16">
        <v>8.6999999999999994E-3</v>
      </c>
      <c r="AC21" s="14">
        <f t="shared" si="2"/>
        <v>9.5499999999999995E-3</v>
      </c>
      <c r="AD21" s="15">
        <f t="shared" si="22"/>
        <v>0.36218141857291331</v>
      </c>
      <c r="AE21" s="15">
        <f t="shared" si="14"/>
        <v>0.94758352012918445</v>
      </c>
      <c r="AF21" s="13">
        <f>(1+AE21)/(1+MAX(AE$2:AE21))-1</f>
        <v>-1.4253312538309859E-2</v>
      </c>
      <c r="AG21" s="19"/>
      <c r="AH21" s="20">
        <f t="shared" si="3"/>
        <v>2.4271428571428572E-2</v>
      </c>
      <c r="AI21" s="15">
        <f t="shared" si="23"/>
        <v>0.13778838466845311</v>
      </c>
      <c r="AJ21" s="15">
        <f t="shared" si="15"/>
        <v>0.51870646234857332</v>
      </c>
      <c r="AK21" s="15">
        <f>(1+AJ21)/(1+MAX(AJ$2:AJ21))-1</f>
        <v>0</v>
      </c>
      <c r="AL21" s="58">
        <f t="shared" si="16"/>
        <v>1518.706462348573</v>
      </c>
      <c r="AM21" s="59"/>
      <c r="AN21" s="12" t="s">
        <v>86</v>
      </c>
      <c r="AO21" s="60">
        <v>2471.65</v>
      </c>
      <c r="AP21" s="14">
        <f t="shared" si="17"/>
        <v>5.4649232886694321E-4</v>
      </c>
      <c r="AQ21" s="15">
        <f t="shared" si="24"/>
        <v>0.10399181715449601</v>
      </c>
      <c r="AR21" s="15">
        <f t="shared" si="18"/>
        <v>0.27388879726219439</v>
      </c>
      <c r="AS21" s="13">
        <f>(1+AR21)/(1+MAX(AR$2:AR21))-1</f>
        <v>0</v>
      </c>
      <c r="AT21" s="62"/>
      <c r="AY21" s="62"/>
      <c r="AZ21" s="62"/>
      <c r="BA21" s="62"/>
      <c r="BB21" s="62"/>
    </row>
    <row r="22" spans="1:54" s="61" customFormat="1" outlineLevel="1" x14ac:dyDescent="0.3">
      <c r="A22" s="61" t="s">
        <v>663</v>
      </c>
      <c r="B22" s="55" t="str">
        <f t="shared" si="4"/>
        <v>2017-9</v>
      </c>
      <c r="C22" s="11">
        <v>42979</v>
      </c>
      <c r="D22" s="12" t="s">
        <v>29</v>
      </c>
      <c r="E22" s="14">
        <v>6.4999999999999997E-3</v>
      </c>
      <c r="F22" s="15">
        <f t="shared" si="19"/>
        <v>-2.2813688697378431E-3</v>
      </c>
      <c r="G22" s="15">
        <f t="shared" si="11"/>
        <v>-0.14098659116326162</v>
      </c>
      <c r="H22" s="13">
        <f>(1+G22)/(1+MAX(G$2:G22))-1</f>
        <v>-0.12194990781592074</v>
      </c>
      <c r="I22" s="12" t="s">
        <v>44</v>
      </c>
      <c r="J22" s="16">
        <v>6.13E-2</v>
      </c>
      <c r="K22" s="17" t="s">
        <v>51</v>
      </c>
      <c r="L22" s="16">
        <v>1.77E-2</v>
      </c>
      <c r="M22" s="14">
        <f t="shared" si="0"/>
        <v>3.95E-2</v>
      </c>
      <c r="N22" s="15">
        <f t="shared" si="20"/>
        <v>7.5689088245909364E-3</v>
      </c>
      <c r="O22" s="15">
        <f t="shared" si="12"/>
        <v>9.8112748486339552E-2</v>
      </c>
      <c r="P22" s="13">
        <f>(1+O22)/(1+MAX(O$2:O22))-1</f>
        <v>-2.1374612269069004E-2</v>
      </c>
      <c r="Q22" s="18" t="s">
        <v>47</v>
      </c>
      <c r="R22" s="16">
        <v>0.2697</v>
      </c>
      <c r="S22" s="56" t="s">
        <v>42</v>
      </c>
      <c r="T22" s="16">
        <v>6.5100000000000005E-2</v>
      </c>
      <c r="U22" s="14">
        <f t="shared" si="1"/>
        <v>0.16739999999999999</v>
      </c>
      <c r="V22" s="15">
        <f t="shared" si="21"/>
        <v>0.32760730081212808</v>
      </c>
      <c r="W22" s="15">
        <f t="shared" si="13"/>
        <v>1.3590139771494885</v>
      </c>
      <c r="X22" s="13">
        <f>(1+W22)/(1+MAX(W$2:W22))-1</f>
        <v>0</v>
      </c>
      <c r="Y22" s="18" t="s">
        <v>46</v>
      </c>
      <c r="Z22" s="16">
        <v>8.0799999999999997E-2</v>
      </c>
      <c r="AA22" s="57" t="s">
        <v>616</v>
      </c>
      <c r="AB22" s="16">
        <v>0.12559999999999999</v>
      </c>
      <c r="AC22" s="14">
        <f t="shared" si="2"/>
        <v>0.10319999999999999</v>
      </c>
      <c r="AD22" s="15">
        <f t="shared" si="22"/>
        <v>0.50275854096963801</v>
      </c>
      <c r="AE22" s="15">
        <f t="shared" si="14"/>
        <v>1.1485741394065161</v>
      </c>
      <c r="AF22" s="13">
        <f>(1+AE22)/(1+MAX(AE$2:AE22))-1</f>
        <v>0</v>
      </c>
      <c r="AG22" s="19"/>
      <c r="AH22" s="20">
        <f t="shared" si="3"/>
        <v>8.952857142857143E-2</v>
      </c>
      <c r="AI22" s="15">
        <f t="shared" si="23"/>
        <v>0.23965295333584158</v>
      </c>
      <c r="AJ22" s="15">
        <f t="shared" si="15"/>
        <v>0.65467408234198055</v>
      </c>
      <c r="AK22" s="15">
        <f>(1+AJ22)/(1+MAX(AJ$2:AJ22))-1</f>
        <v>0</v>
      </c>
      <c r="AL22" s="58">
        <f t="shared" si="16"/>
        <v>1654.6740823419802</v>
      </c>
      <c r="AM22" s="59"/>
      <c r="AN22" s="12" t="s">
        <v>86</v>
      </c>
      <c r="AO22" s="60">
        <v>2519.36</v>
      </c>
      <c r="AP22" s="14">
        <f t="shared" si="17"/>
        <v>1.9302894827342154E-2</v>
      </c>
      <c r="AQ22" s="15">
        <f t="shared" si="24"/>
        <v>0.12530205509127557</v>
      </c>
      <c r="AR22" s="15">
        <f t="shared" si="18"/>
        <v>0.29847853873747598</v>
      </c>
      <c r="AS22" s="13">
        <f>(1+AR22)/(1+MAX(AR$2:AR22))-1</f>
        <v>0</v>
      </c>
      <c r="AT22" s="62"/>
      <c r="AY22" s="62"/>
    </row>
    <row r="23" spans="1:54" s="61" customFormat="1" outlineLevel="1" x14ac:dyDescent="0.3">
      <c r="A23" s="61" t="s">
        <v>663</v>
      </c>
      <c r="B23" s="55" t="str">
        <f t="shared" si="4"/>
        <v>2017-10</v>
      </c>
      <c r="C23" s="11">
        <v>43009</v>
      </c>
      <c r="D23" s="12" t="s">
        <v>70</v>
      </c>
      <c r="E23" s="14">
        <v>1.5800000000000002E-2</v>
      </c>
      <c r="F23" s="15">
        <f t="shared" si="19"/>
        <v>1.3482585502120337E-2</v>
      </c>
      <c r="G23" s="15">
        <f t="shared" si="11"/>
        <v>-0.12741417930364107</v>
      </c>
      <c r="H23" s="13">
        <f>(1+G23)/(1+MAX(G$2:G23))-1</f>
        <v>-0.10807671635941229</v>
      </c>
      <c r="I23" s="12" t="s">
        <v>44</v>
      </c>
      <c r="J23" s="16">
        <v>0.04</v>
      </c>
      <c r="K23" s="17" t="s">
        <v>51</v>
      </c>
      <c r="L23" s="16">
        <v>7.6899999999999996E-2</v>
      </c>
      <c r="M23" s="14">
        <f t="shared" si="0"/>
        <v>5.8450000000000002E-2</v>
      </c>
      <c r="N23" s="15">
        <f t="shared" si="20"/>
        <v>6.646131154538848E-2</v>
      </c>
      <c r="O23" s="15">
        <f t="shared" si="12"/>
        <v>0.16229743863536616</v>
      </c>
      <c r="P23" s="13">
        <f>(1+O23)/(1+MAX(O$2:O23))-1</f>
        <v>0</v>
      </c>
      <c r="Q23" s="18" t="s">
        <v>47</v>
      </c>
      <c r="R23" s="16">
        <v>-0.1358</v>
      </c>
      <c r="S23" s="56" t="s">
        <v>42</v>
      </c>
      <c r="T23" s="16">
        <v>0.16969999999999999</v>
      </c>
      <c r="U23" s="14">
        <f t="shared" si="1"/>
        <v>1.6949999999999993E-2</v>
      </c>
      <c r="V23" s="15">
        <f t="shared" si="21"/>
        <v>0.35011024456089368</v>
      </c>
      <c r="W23" s="15">
        <f t="shared" si="13"/>
        <v>1.3989992640621725</v>
      </c>
      <c r="X23" s="13">
        <f>(1+W23)/(1+MAX(W$2:W23))-1</f>
        <v>0</v>
      </c>
      <c r="Y23" s="18" t="s">
        <v>46</v>
      </c>
      <c r="Z23" s="16">
        <v>0.14610000000000001</v>
      </c>
      <c r="AA23" s="57" t="s">
        <v>37</v>
      </c>
      <c r="AB23" s="16">
        <v>-9.1999999999999998E-3</v>
      </c>
      <c r="AC23" s="14">
        <f t="shared" si="2"/>
        <v>6.8450000000000011E-2</v>
      </c>
      <c r="AD23" s="15">
        <f t="shared" si="22"/>
        <v>0.60562236309900963</v>
      </c>
      <c r="AE23" s="15">
        <f t="shared" si="14"/>
        <v>1.2956440392488919</v>
      </c>
      <c r="AF23" s="13">
        <f>(1+AE23)/(1+MAX(AE$2:AE23))-1</f>
        <v>0</v>
      </c>
      <c r="AG23" s="21"/>
      <c r="AH23" s="20">
        <f t="shared" si="3"/>
        <v>4.3357142857142858E-2</v>
      </c>
      <c r="AI23" s="15">
        <f t="shared" si="23"/>
        <v>0.2934007635269027</v>
      </c>
      <c r="AJ23" s="15">
        <f t="shared" si="15"/>
        <v>0.72641602291209351</v>
      </c>
      <c r="AK23" s="15">
        <f>(1+AJ23)/(1+MAX(AJ$2:AJ23))-1</f>
        <v>0</v>
      </c>
      <c r="AL23" s="58">
        <f t="shared" si="16"/>
        <v>1726.4160229120932</v>
      </c>
      <c r="AM23" s="59"/>
      <c r="AN23" s="12" t="s">
        <v>86</v>
      </c>
      <c r="AO23" s="60">
        <v>2575.2600000000002</v>
      </c>
      <c r="AP23" s="14">
        <f t="shared" si="17"/>
        <v>2.2188174774546043E-2</v>
      </c>
      <c r="AQ23" s="15">
        <f t="shared" si="24"/>
        <v>0.15027045376379666</v>
      </c>
      <c r="AR23" s="15">
        <f t="shared" si="18"/>
        <v>0.32728940749598023</v>
      </c>
      <c r="AS23" s="13">
        <f>(1+AR23)/(1+MAX(AR$2:AR23))-1</f>
        <v>0</v>
      </c>
      <c r="AT23" s="62"/>
    </row>
    <row r="24" spans="1:54" s="61" customFormat="1" outlineLevel="1" x14ac:dyDescent="0.3">
      <c r="A24" s="61" t="s">
        <v>663</v>
      </c>
      <c r="B24" s="55" t="str">
        <f t="shared" si="4"/>
        <v>2017-11</v>
      </c>
      <c r="C24" s="11">
        <v>43040</v>
      </c>
      <c r="D24" s="12" t="s">
        <v>29</v>
      </c>
      <c r="E24" s="14">
        <v>2.5999999999999999E-3</v>
      </c>
      <c r="F24" s="15">
        <f t="shared" si="19"/>
        <v>1.6117640224425855E-2</v>
      </c>
      <c r="G24" s="15">
        <f t="shared" si="11"/>
        <v>-0.12514545616983064</v>
      </c>
      <c r="H24" s="13">
        <f>(1+G24)/(1+MAX(G$2:G24))-1</f>
        <v>-0.10575771582194682</v>
      </c>
      <c r="I24" s="12" t="s">
        <v>44</v>
      </c>
      <c r="J24" s="16">
        <v>1.72E-2</v>
      </c>
      <c r="K24" s="17" t="s">
        <v>51</v>
      </c>
      <c r="L24" s="16">
        <v>-2.8999999999999998E-3</v>
      </c>
      <c r="M24" s="14">
        <f t="shared" si="0"/>
        <v>7.1500000000000001E-3</v>
      </c>
      <c r="N24" s="15">
        <f t="shared" si="20"/>
        <v>7.4086509922937971E-2</v>
      </c>
      <c r="O24" s="15">
        <f t="shared" si="12"/>
        <v>0.17060786532160899</v>
      </c>
      <c r="P24" s="13">
        <f>(1+O24)/(1+MAX(O$2:O24))-1</f>
        <v>0</v>
      </c>
      <c r="Q24" s="18" t="s">
        <v>47</v>
      </c>
      <c r="R24" s="16">
        <v>-2.3800000000000002E-2</v>
      </c>
      <c r="S24" s="56" t="s">
        <v>42</v>
      </c>
      <c r="T24" s="16">
        <v>-4.5199999999999997E-2</v>
      </c>
      <c r="U24" s="14">
        <f t="shared" si="1"/>
        <v>-3.4500000000000003E-2</v>
      </c>
      <c r="V24" s="15">
        <f t="shared" si="21"/>
        <v>0.3035314411235428</v>
      </c>
      <c r="W24" s="15">
        <f t="shared" si="13"/>
        <v>1.3162337894520277</v>
      </c>
      <c r="X24" s="13">
        <f>(1+W24)/(1+MAX(W$2:W24))-1</f>
        <v>-3.4499999999999864E-2</v>
      </c>
      <c r="Y24" s="18" t="s">
        <v>46</v>
      </c>
      <c r="Z24" s="16">
        <v>2.2499999999999999E-2</v>
      </c>
      <c r="AA24" s="57" t="s">
        <v>37</v>
      </c>
      <c r="AB24" s="16">
        <v>0.31840000000000002</v>
      </c>
      <c r="AC24" s="14">
        <f t="shared" si="2"/>
        <v>0.17045000000000002</v>
      </c>
      <c r="AD24" s="15">
        <f t="shared" si="22"/>
        <v>0.8793006948892359</v>
      </c>
      <c r="AE24" s="15">
        <f t="shared" si="14"/>
        <v>1.6869365657388657</v>
      </c>
      <c r="AF24" s="13">
        <f>(1+AE24)/(1+MAX(AE$2:AE24))-1</f>
        <v>0</v>
      </c>
      <c r="AG24" s="21"/>
      <c r="AH24" s="20">
        <f t="shared" si="3"/>
        <v>4.1257142857142867E-2</v>
      </c>
      <c r="AI24" s="15">
        <f t="shared" si="23"/>
        <v>0.34676278359926971</v>
      </c>
      <c r="AJ24" s="15">
        <f t="shared" si="15"/>
        <v>0.7976430154002383</v>
      </c>
      <c r="AK24" s="15">
        <f>(1+AJ24)/(1+MAX(AJ$2:AJ24))-1</f>
        <v>0</v>
      </c>
      <c r="AL24" s="58">
        <f t="shared" si="16"/>
        <v>1797.643015400238</v>
      </c>
      <c r="AM24" s="59"/>
      <c r="AN24" s="12" t="s">
        <v>86</v>
      </c>
      <c r="AO24" s="60">
        <v>2647.58</v>
      </c>
      <c r="AP24" s="14">
        <f t="shared" si="17"/>
        <v>2.8082601368405458E-2</v>
      </c>
      <c r="AQ24" s="15">
        <f t="shared" si="24"/>
        <v>0.18257304038270017</v>
      </c>
      <c r="AR24" s="15">
        <f t="shared" si="18"/>
        <v>0.36456314682719682</v>
      </c>
      <c r="AS24" s="13">
        <f>(1+AR24)/(1+MAX(AR$2:AR24))-1</f>
        <v>0</v>
      </c>
      <c r="AT24" s="62"/>
    </row>
    <row r="25" spans="1:54" s="27" customFormat="1" ht="15" thickBot="1" x14ac:dyDescent="0.35">
      <c r="A25" s="27" t="s">
        <v>663</v>
      </c>
      <c r="B25" s="63" t="str">
        <f t="shared" si="4"/>
        <v>2017-12</v>
      </c>
      <c r="C25" s="22">
        <v>43070</v>
      </c>
      <c r="D25" s="23" t="s">
        <v>29</v>
      </c>
      <c r="E25" s="24">
        <v>-1.5E-3</v>
      </c>
      <c r="F25" s="25">
        <f t="shared" si="19"/>
        <v>1.459346376408921E-2</v>
      </c>
      <c r="G25" s="25">
        <f t="shared" si="11"/>
        <v>-0.1264577379855758</v>
      </c>
      <c r="H25" s="26">
        <f>(1+G25)/(1+MAX(G$2:G25))-1</f>
        <v>-0.10709907924821382</v>
      </c>
      <c r="I25" s="23" t="s">
        <v>44</v>
      </c>
      <c r="J25" s="144">
        <v>1.12E-2</v>
      </c>
      <c r="K25" s="28" t="s">
        <v>51</v>
      </c>
      <c r="L25" s="144">
        <v>-2.0999999999999999E-3</v>
      </c>
      <c r="M25" s="24">
        <f t="shared" si="0"/>
        <v>4.5500000000000002E-3</v>
      </c>
      <c r="N25" s="25">
        <f t="shared" si="20"/>
        <v>7.8973603543087467E-2</v>
      </c>
      <c r="O25" s="25">
        <f t="shared" si="12"/>
        <v>0.17593413110882228</v>
      </c>
      <c r="P25" s="26">
        <f>(1+O25)/(1+MAX(O$2:O25))-1</f>
        <v>0</v>
      </c>
      <c r="Q25" s="29" t="s">
        <v>47</v>
      </c>
      <c r="R25" s="64">
        <v>-0.17069999999999999</v>
      </c>
      <c r="S25" s="65" t="s">
        <v>42</v>
      </c>
      <c r="T25" s="30">
        <v>-4.3200000000000002E-2</v>
      </c>
      <c r="U25" s="24">
        <f t="shared" si="1"/>
        <v>-0.10694999999999999</v>
      </c>
      <c r="V25" s="25">
        <f t="shared" si="21"/>
        <v>0.16411875349537985</v>
      </c>
      <c r="W25" s="25">
        <f t="shared" si="13"/>
        <v>1.0685125856701334</v>
      </c>
      <c r="X25" s="26">
        <f>(1+W25)/(1+MAX(W$2:W25))-1</f>
        <v>-0.13776022499999985</v>
      </c>
      <c r="Y25" s="29" t="s">
        <v>46</v>
      </c>
      <c r="Z25" s="30">
        <v>1.3599999999999999E-2</v>
      </c>
      <c r="AA25" s="65" t="s">
        <v>37</v>
      </c>
      <c r="AB25" s="30">
        <v>2.9600000000000001E-2</v>
      </c>
      <c r="AC25" s="24">
        <f t="shared" si="2"/>
        <v>2.1600000000000001E-2</v>
      </c>
      <c r="AD25" s="25">
        <f t="shared" si="22"/>
        <v>0.91989358989884362</v>
      </c>
      <c r="AE25" s="25">
        <f t="shared" si="14"/>
        <v>1.7449743955588253</v>
      </c>
      <c r="AF25" s="26">
        <f>(1+AE25)/(1+MAX(AE$2:AE25))-1</f>
        <v>0</v>
      </c>
      <c r="AG25" s="31"/>
      <c r="AH25" s="32">
        <f t="shared" si="3"/>
        <v>-2.3299999999999994E-2</v>
      </c>
      <c r="AI25" s="25">
        <f t="shared" si="23"/>
        <v>0.31538321074140674</v>
      </c>
      <c r="AJ25" s="25">
        <f t="shared" si="15"/>
        <v>0.75575793314141282</v>
      </c>
      <c r="AK25" s="25">
        <f>(1+AJ25)/(1+MAX(AJ$2:AJ25))-1</f>
        <v>-2.3299999999999987E-2</v>
      </c>
      <c r="AL25" s="66">
        <f t="shared" si="16"/>
        <v>1755.7579331414124</v>
      </c>
      <c r="AM25" s="22"/>
      <c r="AN25" s="23" t="s">
        <v>86</v>
      </c>
      <c r="AO25" s="67">
        <v>2673.61</v>
      </c>
      <c r="AP25" s="24">
        <f t="shared" si="17"/>
        <v>9.8316198188534987E-3</v>
      </c>
      <c r="AQ25" s="25">
        <f t="shared" si="24"/>
        <v>0.19419964892376851</v>
      </c>
      <c r="AR25" s="25">
        <f t="shared" si="18"/>
        <v>0.37797901290562019</v>
      </c>
      <c r="AS25" s="26">
        <f>(1+AR25)/(1+MAX(AR$2:AR25))-1</f>
        <v>0</v>
      </c>
      <c r="AT25" s="68"/>
    </row>
    <row r="26" spans="1:54" s="54" customFormat="1" outlineLevel="1" x14ac:dyDescent="0.3">
      <c r="A26" s="54" t="s">
        <v>663</v>
      </c>
      <c r="B26" s="48" t="str">
        <f t="shared" si="4"/>
        <v>2018-1</v>
      </c>
      <c r="C26" s="1">
        <v>43101</v>
      </c>
      <c r="D26" s="2" t="s">
        <v>29</v>
      </c>
      <c r="E26" s="4">
        <v>4.6600000000000003E-2</v>
      </c>
      <c r="F26" s="5">
        <f>+E26</f>
        <v>4.6600000000000003E-2</v>
      </c>
      <c r="G26" s="5">
        <f t="shared" si="11"/>
        <v>-8.5750668575703681E-2</v>
      </c>
      <c r="H26" s="3">
        <f>(1+G26)/(1+MAX(G$2:G26))-1</f>
        <v>-6.5489896341180631E-2</v>
      </c>
      <c r="I26" s="2" t="s">
        <v>44</v>
      </c>
      <c r="J26" s="6">
        <v>2.5399999999999999E-2</v>
      </c>
      <c r="K26" s="7" t="s">
        <v>51</v>
      </c>
      <c r="L26" s="6">
        <v>0.03</v>
      </c>
      <c r="M26" s="4">
        <f t="shared" si="0"/>
        <v>2.7699999999999999E-2</v>
      </c>
      <c r="N26" s="5">
        <f>+M26</f>
        <v>2.7699999999999999E-2</v>
      </c>
      <c r="O26" s="5">
        <f t="shared" si="12"/>
        <v>0.20850750654053662</v>
      </c>
      <c r="P26" s="3">
        <f>(1+O26)/(1+MAX(O$2:O26))-1</f>
        <v>0</v>
      </c>
      <c r="Q26" s="8" t="s">
        <v>48</v>
      </c>
      <c r="R26" s="6">
        <v>0.13469999999999999</v>
      </c>
      <c r="S26" s="49" t="s">
        <v>93</v>
      </c>
      <c r="T26" s="6">
        <v>0.1104</v>
      </c>
      <c r="U26" s="4">
        <f t="shared" si="1"/>
        <v>0.12254999999999999</v>
      </c>
      <c r="V26" s="5">
        <f>+U26</f>
        <v>0.12254999999999999</v>
      </c>
      <c r="W26" s="5">
        <f t="shared" si="13"/>
        <v>1.322008803044008</v>
      </c>
      <c r="X26" s="3">
        <f>(1+W26)/(1+MAX(W$2:W26))-1</f>
        <v>-3.209274057375E-2</v>
      </c>
      <c r="Y26" s="8" t="s">
        <v>46</v>
      </c>
      <c r="Z26" s="6">
        <v>0.1086</v>
      </c>
      <c r="AA26" s="50" t="s">
        <v>37</v>
      </c>
      <c r="AB26" s="6">
        <v>-8.2100000000000006E-2</v>
      </c>
      <c r="AC26" s="4">
        <f t="shared" si="2"/>
        <v>1.3249999999999998E-2</v>
      </c>
      <c r="AD26" s="5">
        <f>+AC26</f>
        <v>1.3249999999999998E-2</v>
      </c>
      <c r="AE26" s="5">
        <f t="shared" si="14"/>
        <v>1.7813453062999796</v>
      </c>
      <c r="AF26" s="3">
        <f>(1+AE26)/(1+MAX(AE$2:AE26))-1</f>
        <v>0</v>
      </c>
      <c r="AG26" s="9"/>
      <c r="AH26" s="10">
        <f t="shared" si="3"/>
        <v>5.3371428571428563E-2</v>
      </c>
      <c r="AI26" s="5">
        <f>+AH26</f>
        <v>5.3371428571428563E-2</v>
      </c>
      <c r="AJ26" s="5">
        <f t="shared" si="15"/>
        <v>0.84946524225878894</v>
      </c>
      <c r="AK26" s="5">
        <f>(1+AJ26)/(1+MAX(AJ$2:AJ26))-1</f>
        <v>0</v>
      </c>
      <c r="AL26" s="51">
        <f t="shared" si="16"/>
        <v>1849.4652422587885</v>
      </c>
      <c r="AM26" s="52"/>
      <c r="AN26" s="2" t="s">
        <v>86</v>
      </c>
      <c r="AO26" s="53">
        <v>2823.81</v>
      </c>
      <c r="AP26" s="4">
        <f t="shared" si="17"/>
        <v>5.6178724645703726E-2</v>
      </c>
      <c r="AQ26" s="5">
        <f>+AP26</f>
        <v>5.6178724645703726E-2</v>
      </c>
      <c r="AR26" s="5">
        <f t="shared" si="18"/>
        <v>0.45539211643920363</v>
      </c>
      <c r="AS26" s="3">
        <f>(1+AR26)/(1+MAX(AR$2:AR26))-1</f>
        <v>0</v>
      </c>
    </row>
    <row r="27" spans="1:54" s="61" customFormat="1" outlineLevel="1" x14ac:dyDescent="0.3">
      <c r="A27" s="61" t="s">
        <v>663</v>
      </c>
      <c r="B27" s="55" t="str">
        <f t="shared" si="4"/>
        <v>2018-2</v>
      </c>
      <c r="C27" s="11">
        <v>43132</v>
      </c>
      <c r="D27" s="12" t="s">
        <v>29</v>
      </c>
      <c r="E27" s="14">
        <v>1.5E-3</v>
      </c>
      <c r="F27" s="15">
        <f t="shared" ref="F27:F37" si="25">+(1+E27)*(1+F26)-1</f>
        <v>4.8169899999999988E-2</v>
      </c>
      <c r="G27" s="15">
        <f t="shared" si="11"/>
        <v>-8.4379294578567188E-2</v>
      </c>
      <c r="H27" s="13">
        <f>(1+G27)/(1+MAX(G$2:G27))-1</f>
        <v>-6.4088131185692343E-2</v>
      </c>
      <c r="I27" s="12" t="s">
        <v>44</v>
      </c>
      <c r="J27" s="16">
        <v>-1.4999999999999999E-2</v>
      </c>
      <c r="K27" s="17" t="s">
        <v>51</v>
      </c>
      <c r="L27" s="16">
        <v>1.0500000000000001E-2</v>
      </c>
      <c r="M27" s="14">
        <f t="shared" si="0"/>
        <v>-2.2499999999999994E-3</v>
      </c>
      <c r="N27" s="15">
        <f t="shared" ref="N27:N37" si="26">+(1+M27)*(1+N26)-1</f>
        <v>2.5387675000000165E-2</v>
      </c>
      <c r="O27" s="15">
        <f t="shared" si="12"/>
        <v>0.20578836465082051</v>
      </c>
      <c r="P27" s="13">
        <f>(1+O27)/(1+MAX(O$2:O27))-1</f>
        <v>-2.2499999999999742E-3</v>
      </c>
      <c r="Q27" s="18" t="s">
        <v>48</v>
      </c>
      <c r="R27" s="16">
        <v>1.67E-2</v>
      </c>
      <c r="S27" s="56" t="s">
        <v>42</v>
      </c>
      <c r="T27" s="16">
        <v>-4.0000000000000002E-4</v>
      </c>
      <c r="U27" s="14">
        <f t="shared" si="1"/>
        <v>8.1499999999999993E-3</v>
      </c>
      <c r="V27" s="15">
        <f t="shared" ref="V27:V37" si="27">+(1+U27)*(1+V26)-1</f>
        <v>0.1316987825</v>
      </c>
      <c r="W27" s="15">
        <f t="shared" si="13"/>
        <v>1.3409331747888169</v>
      </c>
      <c r="X27" s="13">
        <f>(1+W27)/(1+MAX(W$2:W27))-1</f>
        <v>-2.4204296409426007E-2</v>
      </c>
      <c r="Y27" s="18" t="s">
        <v>617</v>
      </c>
      <c r="Z27" s="16">
        <v>1.5900000000000001E-2</v>
      </c>
      <c r="AA27" s="57" t="s">
        <v>37</v>
      </c>
      <c r="AB27" s="16">
        <v>9.7799999999999998E-2</v>
      </c>
      <c r="AC27" s="14">
        <f t="shared" si="2"/>
        <v>5.6849999999999998E-2</v>
      </c>
      <c r="AD27" s="15">
        <f t="shared" ref="AD27:AD37" si="28">+(1+AC27)*(1+AD26)-1</f>
        <v>7.0853262500000014E-2</v>
      </c>
      <c r="AE27" s="15">
        <f t="shared" si="14"/>
        <v>1.9394647869631334</v>
      </c>
      <c r="AF27" s="13">
        <f>(1+AE27)/(1+MAX(AE$2:AE27))-1</f>
        <v>0</v>
      </c>
      <c r="AG27" s="19"/>
      <c r="AH27" s="20">
        <f t="shared" si="3"/>
        <v>1.8142857142857145E-2</v>
      </c>
      <c r="AI27" s="15">
        <f t="shared" ref="AI27:AI37" si="29">+(1+AH27)*(1+AI26)-1</f>
        <v>7.2482595918367476E-2</v>
      </c>
      <c r="AJ27" s="15">
        <f t="shared" si="15"/>
        <v>0.88301982593976991</v>
      </c>
      <c r="AK27" s="15">
        <f>(1+AJ27)/(1+MAX(AJ$2:AJ27))-1</f>
        <v>0</v>
      </c>
      <c r="AL27" s="58">
        <f t="shared" si="16"/>
        <v>1883.0198259397696</v>
      </c>
      <c r="AM27" s="59"/>
      <c r="AN27" s="12" t="s">
        <v>86</v>
      </c>
      <c r="AO27" s="60">
        <v>2713.83</v>
      </c>
      <c r="AP27" s="14">
        <f t="shared" si="17"/>
        <v>-3.8947379604151844E-2</v>
      </c>
      <c r="AQ27" s="15">
        <f t="shared" ref="AQ27:AQ37" si="30">+(1+AP27)*(1+AQ26)-1</f>
        <v>1.504333092709853E-2</v>
      </c>
      <c r="AR27" s="15">
        <f t="shared" si="18"/>
        <v>0.3987084072073559</v>
      </c>
      <c r="AS27" s="13">
        <f>(1+AR27)/(1+MAX(AR$2:AR27))-1</f>
        <v>-3.8947379604151955E-2</v>
      </c>
    </row>
    <row r="28" spans="1:54" s="61" customFormat="1" outlineLevel="1" x14ac:dyDescent="0.3">
      <c r="A28" s="61" t="s">
        <v>663</v>
      </c>
      <c r="B28" s="55" t="str">
        <f t="shared" si="4"/>
        <v>2018-3</v>
      </c>
      <c r="C28" s="11">
        <v>43160</v>
      </c>
      <c r="D28" s="12" t="s">
        <v>29</v>
      </c>
      <c r="E28" s="14">
        <v>-4.7E-2</v>
      </c>
      <c r="F28" s="15">
        <f t="shared" si="25"/>
        <v>-1.0940853000001027E-3</v>
      </c>
      <c r="G28" s="15">
        <f t="shared" si="11"/>
        <v>-0.12741346773337459</v>
      </c>
      <c r="H28" s="13">
        <f>(1+G28)/(1+MAX(G$2:G28))-1</f>
        <v>-0.10807598901996485</v>
      </c>
      <c r="I28" s="12" t="s">
        <v>44</v>
      </c>
      <c r="J28" s="16">
        <v>-4.7800000000000002E-2</v>
      </c>
      <c r="K28" s="17" t="s">
        <v>51</v>
      </c>
      <c r="L28" s="16">
        <v>-4.36E-2</v>
      </c>
      <c r="M28" s="14">
        <f t="shared" si="0"/>
        <v>-4.5700000000000005E-2</v>
      </c>
      <c r="N28" s="15">
        <f t="shared" si="26"/>
        <v>-2.1472541747499796E-2</v>
      </c>
      <c r="O28" s="15">
        <f t="shared" si="12"/>
        <v>0.15068383638627814</v>
      </c>
      <c r="P28" s="13">
        <f>(1+O28)/(1+MAX(O$2:O28))-1</f>
        <v>-4.7847174999999798E-2</v>
      </c>
      <c r="Q28" s="18" t="s">
        <v>48</v>
      </c>
      <c r="R28" s="16">
        <v>-4.9599999999999998E-2</v>
      </c>
      <c r="S28" s="56" t="s">
        <v>42</v>
      </c>
      <c r="T28" s="16">
        <v>-4.9200000000000001E-2</v>
      </c>
      <c r="U28" s="14">
        <f t="shared" si="1"/>
        <v>-4.9399999999999999E-2</v>
      </c>
      <c r="V28" s="15">
        <f t="shared" si="27"/>
        <v>7.5792862644499914E-2</v>
      </c>
      <c r="W28" s="15">
        <f t="shared" si="13"/>
        <v>1.2252910759542495</v>
      </c>
      <c r="X28" s="13">
        <f>(1+W28)/(1+MAX(W$2:W28))-1</f>
        <v>-7.2408604166800283E-2</v>
      </c>
      <c r="Y28" s="18" t="s">
        <v>617</v>
      </c>
      <c r="Z28" s="16">
        <v>2.0299999999999999E-2</v>
      </c>
      <c r="AA28" s="57" t="s">
        <v>37</v>
      </c>
      <c r="AB28" s="16">
        <v>0.1613</v>
      </c>
      <c r="AC28" s="14">
        <f t="shared" si="2"/>
        <v>9.0799999999999992E-2</v>
      </c>
      <c r="AD28" s="15">
        <f t="shared" si="28"/>
        <v>0.16808673873500002</v>
      </c>
      <c r="AE28" s="15">
        <f t="shared" si="14"/>
        <v>2.2063681896193859</v>
      </c>
      <c r="AF28" s="13">
        <f>(1+AE28)/(1+MAX(AE$2:AE28))-1</f>
        <v>0</v>
      </c>
      <c r="AG28" s="19"/>
      <c r="AH28" s="20">
        <f t="shared" si="3"/>
        <v>-7.9428571428571491E-3</v>
      </c>
      <c r="AI28" s="15">
        <f t="shared" si="29"/>
        <v>6.396401987078737E-2</v>
      </c>
      <c r="AJ28" s="15">
        <f t="shared" si="15"/>
        <v>0.86806326846516257</v>
      </c>
      <c r="AK28" s="15">
        <f>(1+AJ28)/(1+MAX(AJ$2:AJ28))-1</f>
        <v>-7.9428571428571404E-3</v>
      </c>
      <c r="AL28" s="58">
        <f t="shared" si="16"/>
        <v>1868.0632684651623</v>
      </c>
      <c r="AM28" s="59"/>
      <c r="AN28" s="12" t="s">
        <v>86</v>
      </c>
      <c r="AO28" s="60">
        <v>2640.87</v>
      </c>
      <c r="AP28" s="14">
        <f t="shared" si="17"/>
        <v>-2.6884513768364315E-2</v>
      </c>
      <c r="AQ28" s="15">
        <f t="shared" si="30"/>
        <v>-1.2245615478697403E-2</v>
      </c>
      <c r="AR28" s="15">
        <f t="shared" si="18"/>
        <v>0.36110481177586284</v>
      </c>
      <c r="AS28" s="13">
        <f>(1+AR28)/(1+MAX(AR$2:AR28))-1</f>
        <v>-6.4784812009306636E-2</v>
      </c>
    </row>
    <row r="29" spans="1:54" s="61" customFormat="1" outlineLevel="1" x14ac:dyDescent="0.3">
      <c r="A29" s="61" t="s">
        <v>663</v>
      </c>
      <c r="B29" s="55" t="str">
        <f t="shared" si="4"/>
        <v>2018-4</v>
      </c>
      <c r="C29" s="11">
        <v>43191</v>
      </c>
      <c r="D29" s="12" t="s">
        <v>29</v>
      </c>
      <c r="E29" s="14">
        <v>2.06E-2</v>
      </c>
      <c r="F29" s="15">
        <f t="shared" si="25"/>
        <v>1.9483376542819952E-2</v>
      </c>
      <c r="G29" s="15">
        <f t="shared" si="11"/>
        <v>-0.10943818516868209</v>
      </c>
      <c r="H29" s="13">
        <f>(1+G29)/(1+MAX(G$2:G29))-1</f>
        <v>-8.9702354393776162E-2</v>
      </c>
      <c r="I29" s="12" t="s">
        <v>44</v>
      </c>
      <c r="J29" s="16">
        <v>1.0999999999999999E-2</v>
      </c>
      <c r="K29" s="17" t="s">
        <v>51</v>
      </c>
      <c r="L29" s="16">
        <v>1.61E-2</v>
      </c>
      <c r="M29" s="14">
        <f t="shared" si="0"/>
        <v>1.355E-2</v>
      </c>
      <c r="N29" s="15">
        <f t="shared" si="26"/>
        <v>-8.2134946881784465E-3</v>
      </c>
      <c r="O29" s="15">
        <f t="shared" si="12"/>
        <v>0.16627560236931216</v>
      </c>
      <c r="P29" s="13">
        <f>(1+O29)/(1+MAX(O$2:O29))-1</f>
        <v>-3.4945504221249868E-2</v>
      </c>
      <c r="Q29" s="18" t="s">
        <v>48</v>
      </c>
      <c r="R29" s="16">
        <v>1.03E-2</v>
      </c>
      <c r="S29" s="56" t="s">
        <v>42</v>
      </c>
      <c r="T29" s="16">
        <v>-1.3899999999999999E-2</v>
      </c>
      <c r="U29" s="14">
        <f t="shared" si="1"/>
        <v>-1.7999999999999995E-3</v>
      </c>
      <c r="V29" s="15">
        <f t="shared" si="27"/>
        <v>7.3856435491739703E-2</v>
      </c>
      <c r="W29" s="15">
        <f t="shared" si="13"/>
        <v>1.2212855520175316</v>
      </c>
      <c r="X29" s="13">
        <f>(1+W29)/(1+MAX(W$2:W29))-1</f>
        <v>-7.4078268679300119E-2</v>
      </c>
      <c r="Y29" s="18" t="s">
        <v>617</v>
      </c>
      <c r="Z29" s="16">
        <v>0.1212</v>
      </c>
      <c r="AA29" s="57" t="s">
        <v>49</v>
      </c>
      <c r="AB29" s="16">
        <v>-0.1946</v>
      </c>
      <c r="AC29" s="14">
        <f t="shared" si="2"/>
        <v>-3.6699999999999997E-2</v>
      </c>
      <c r="AD29" s="15">
        <f t="shared" si="28"/>
        <v>0.12521795542342562</v>
      </c>
      <c r="AE29" s="15">
        <f t="shared" si="14"/>
        <v>2.0886944770603546</v>
      </c>
      <c r="AF29" s="13">
        <f>(1+AE29)/(1+MAX(AE$2:AE29))-1</f>
        <v>-3.6699999999999955E-2</v>
      </c>
      <c r="AG29" s="19"/>
      <c r="AH29" s="20">
        <f t="shared" si="3"/>
        <v>-4.1857142857142848E-3</v>
      </c>
      <c r="AI29" s="15">
        <f t="shared" si="29"/>
        <v>5.9510570473328306E-2</v>
      </c>
      <c r="AJ29" s="15">
        <f t="shared" si="15"/>
        <v>0.86024408935572994</v>
      </c>
      <c r="AK29" s="15">
        <f>(1+AJ29)/(1+MAX(AJ$2:AJ29))-1</f>
        <v>-1.209532489795917E-2</v>
      </c>
      <c r="AL29" s="58">
        <f t="shared" si="16"/>
        <v>1860.2440893557296</v>
      </c>
      <c r="AM29" s="59"/>
      <c r="AN29" s="12" t="s">
        <v>86</v>
      </c>
      <c r="AO29" s="60">
        <v>2648.05</v>
      </c>
      <c r="AP29" s="14">
        <f t="shared" si="17"/>
        <v>2.718801001185378E-3</v>
      </c>
      <c r="AQ29" s="15">
        <f t="shared" si="30"/>
        <v>-9.5601078691356367E-3</v>
      </c>
      <c r="AR29" s="15">
        <f t="shared" si="18"/>
        <v>0.36480538490083725</v>
      </c>
      <c r="AS29" s="13">
        <f>(1+AR29)/(1+MAX(AR$2:AR29))-1</f>
        <v>-6.2242148019873822E-2</v>
      </c>
      <c r="AT29" s="62"/>
    </row>
    <row r="30" spans="1:54" s="61" customFormat="1" outlineLevel="1" x14ac:dyDescent="0.3">
      <c r="A30" s="61" t="s">
        <v>663</v>
      </c>
      <c r="B30" s="55" t="str">
        <f t="shared" si="4"/>
        <v>2018-5</v>
      </c>
      <c r="C30" s="11">
        <v>43221</v>
      </c>
      <c r="D30" s="12" t="s">
        <v>29</v>
      </c>
      <c r="E30" s="14">
        <v>9.8000000000000004E-2</v>
      </c>
      <c r="F30" s="15">
        <f t="shared" si="25"/>
        <v>0.1193927474440164</v>
      </c>
      <c r="G30" s="15">
        <f t="shared" si="11"/>
        <v>-2.2163127315212861E-2</v>
      </c>
      <c r="H30" s="13">
        <f>(1+G30)/(1+MAX(G$2:G30))-1</f>
        <v>-4.931851243661356E-4</v>
      </c>
      <c r="I30" s="12" t="s">
        <v>44</v>
      </c>
      <c r="J30" s="16">
        <v>2.8799999999999999E-2</v>
      </c>
      <c r="K30" s="17" t="s">
        <v>51</v>
      </c>
      <c r="L30" s="16">
        <v>0.1095</v>
      </c>
      <c r="M30" s="14">
        <f t="shared" si="0"/>
        <v>6.9150000000000003E-2</v>
      </c>
      <c r="N30" s="15">
        <f t="shared" si="26"/>
        <v>6.0368542154134008E-2</v>
      </c>
      <c r="O30" s="15">
        <f t="shared" si="12"/>
        <v>0.2469235602731501</v>
      </c>
      <c r="P30" s="13">
        <f>(1+O30)/(1+MAX(O$2:O30))-1</f>
        <v>0</v>
      </c>
      <c r="Q30" s="18" t="s">
        <v>48</v>
      </c>
      <c r="R30" s="16">
        <v>0.3805</v>
      </c>
      <c r="S30" s="56" t="s">
        <v>622</v>
      </c>
      <c r="T30" s="16">
        <v>0.16919999999999999</v>
      </c>
      <c r="U30" s="14">
        <f t="shared" si="1"/>
        <v>0.27484999999999998</v>
      </c>
      <c r="V30" s="15">
        <f t="shared" si="27"/>
        <v>0.36900587678664443</v>
      </c>
      <c r="W30" s="15">
        <f t="shared" si="13"/>
        <v>1.8318058859895503</v>
      </c>
      <c r="X30" s="13">
        <f>(1+W30)/(1+MAX(W$2:W30))-1</f>
        <v>0</v>
      </c>
      <c r="Y30" s="18" t="s">
        <v>617</v>
      </c>
      <c r="Z30" s="16">
        <v>0.13</v>
      </c>
      <c r="AA30" s="57" t="s">
        <v>49</v>
      </c>
      <c r="AB30" s="16">
        <v>0.17219999999999999</v>
      </c>
      <c r="AC30" s="14">
        <f t="shared" si="2"/>
        <v>0.15110000000000001</v>
      </c>
      <c r="AD30" s="15">
        <f t="shared" si="28"/>
        <v>0.29523838848790529</v>
      </c>
      <c r="AE30" s="15">
        <f t="shared" si="14"/>
        <v>2.5553962125441743</v>
      </c>
      <c r="AF30" s="13">
        <f>(1+AE30)/(1+MAX(AE$2:AE30))-1</f>
        <v>0</v>
      </c>
      <c r="AG30" s="19"/>
      <c r="AH30" s="20">
        <f t="shared" si="3"/>
        <v>0.15545714285714288</v>
      </c>
      <c r="AI30" s="15">
        <f t="shared" si="29"/>
        <v>0.22421905658605357</v>
      </c>
      <c r="AJ30" s="15">
        <f t="shared" si="15"/>
        <v>1.1494323205038595</v>
      </c>
      <c r="AK30" s="15">
        <f>(1+AJ30)/(1+MAX(AJ$2:AJ30))-1</f>
        <v>0</v>
      </c>
      <c r="AL30" s="58">
        <f t="shared" si="16"/>
        <v>2149.432320503859</v>
      </c>
      <c r="AM30" s="59"/>
      <c r="AN30" s="12" t="s">
        <v>86</v>
      </c>
      <c r="AO30" s="60">
        <v>2705.27</v>
      </c>
      <c r="AP30" s="14">
        <f t="shared" si="17"/>
        <v>2.1608353316591389E-2</v>
      </c>
      <c r="AQ30" s="15">
        <f t="shared" si="30"/>
        <v>1.1841667258874811E-2</v>
      </c>
      <c r="AR30" s="15">
        <f t="shared" si="18"/>
        <v>0.39429658186616101</v>
      </c>
      <c r="AS30" s="13">
        <f>(1+AR30)/(1+MAX(AR$2:AR30))-1</f>
        <v>-4.1978745028879438E-2</v>
      </c>
      <c r="AT30" s="62"/>
      <c r="AY30" s="62"/>
      <c r="AZ30" s="62"/>
      <c r="BA30" s="62"/>
      <c r="BB30" s="62"/>
    </row>
    <row r="31" spans="1:54" s="61" customFormat="1" outlineLevel="1" x14ac:dyDescent="0.3">
      <c r="A31" s="61" t="s">
        <v>663</v>
      </c>
      <c r="B31" s="55" t="str">
        <f t="shared" si="4"/>
        <v>2018-6</v>
      </c>
      <c r="C31" s="11">
        <v>43252</v>
      </c>
      <c r="D31" s="12" t="s">
        <v>50</v>
      </c>
      <c r="E31" s="14">
        <v>-1.06E-2</v>
      </c>
      <c r="F31" s="15">
        <f t="shared" si="25"/>
        <v>0.10752718432110986</v>
      </c>
      <c r="G31" s="15">
        <f t="shared" si="11"/>
        <v>-3.2528198165671651E-2</v>
      </c>
      <c r="H31" s="13">
        <f>(1+G31)/(1+MAX(G$2:G31))-1</f>
        <v>-1.1087957362047929E-2</v>
      </c>
      <c r="I31" s="12" t="s">
        <v>51</v>
      </c>
      <c r="J31" s="16">
        <v>6.4000000000000003E-3</v>
      </c>
      <c r="K31" s="17" t="s">
        <v>144</v>
      </c>
      <c r="L31" s="16">
        <v>4.5499999999999999E-2</v>
      </c>
      <c r="M31" s="14">
        <f t="shared" si="0"/>
        <v>2.5950000000000001E-2</v>
      </c>
      <c r="N31" s="15">
        <f t="shared" si="26"/>
        <v>8.788510582303366E-2</v>
      </c>
      <c r="O31" s="15">
        <f t="shared" si="12"/>
        <v>0.2792812266622382</v>
      </c>
      <c r="P31" s="13">
        <f>(1+O31)/(1+MAX(O$2:O31))-1</f>
        <v>0</v>
      </c>
      <c r="Q31" s="18" t="s">
        <v>48</v>
      </c>
      <c r="R31" s="16">
        <v>0.04</v>
      </c>
      <c r="S31" s="56" t="s">
        <v>622</v>
      </c>
      <c r="T31" s="16">
        <v>0.12330000000000001</v>
      </c>
      <c r="U31" s="14">
        <f t="shared" si="1"/>
        <v>8.165E-2</v>
      </c>
      <c r="V31" s="15">
        <f t="shared" si="27"/>
        <v>0.48078520662627389</v>
      </c>
      <c r="W31" s="15">
        <f t="shared" si="13"/>
        <v>2.0630228365805969</v>
      </c>
      <c r="X31" s="13">
        <f>(1+W31)/(1+MAX(W$2:W31))-1</f>
        <v>0</v>
      </c>
      <c r="Y31" s="18" t="s">
        <v>617</v>
      </c>
      <c r="Z31" s="16">
        <v>-0.12470000000000001</v>
      </c>
      <c r="AA31" s="57" t="s">
        <v>49</v>
      </c>
      <c r="AB31" s="16">
        <v>0.67159999999999997</v>
      </c>
      <c r="AC31" s="14">
        <f t="shared" si="2"/>
        <v>0.27344999999999997</v>
      </c>
      <c r="AD31" s="15">
        <f t="shared" si="28"/>
        <v>0.64942132581992285</v>
      </c>
      <c r="AE31" s="15">
        <f t="shared" si="14"/>
        <v>3.5276193068643789</v>
      </c>
      <c r="AF31" s="13">
        <f>(1+AE31)/(1+MAX(AE$2:AE31))-1</f>
        <v>0</v>
      </c>
      <c r="AG31" s="19"/>
      <c r="AH31" s="20">
        <f t="shared" si="3"/>
        <v>0.10735714285714285</v>
      </c>
      <c r="AI31" s="15">
        <f t="shared" si="29"/>
        <v>0.35564771673239925</v>
      </c>
      <c r="AJ31" s="15">
        <f t="shared" si="15"/>
        <v>1.3801892331979526</v>
      </c>
      <c r="AK31" s="15">
        <f>(1+AJ31)/(1+MAX(AJ$2:AJ31))-1</f>
        <v>0</v>
      </c>
      <c r="AL31" s="58">
        <f t="shared" si="16"/>
        <v>2380.189233197952</v>
      </c>
      <c r="AM31" s="59"/>
      <c r="AN31" s="12" t="s">
        <v>86</v>
      </c>
      <c r="AO31" s="60">
        <v>2718.37</v>
      </c>
      <c r="AP31" s="14">
        <f t="shared" si="17"/>
        <v>4.8424002040461378E-3</v>
      </c>
      <c r="AQ31" s="15">
        <f t="shared" si="30"/>
        <v>1.6741409554871467E-2</v>
      </c>
      <c r="AR31" s="15">
        <f t="shared" si="18"/>
        <v>0.40104832391869061</v>
      </c>
      <c r="AS31" s="13">
        <f>(1+AR31)/(1+MAX(AR$2:AR31))-1</f>
        <v>-3.7339622708326803E-2</v>
      </c>
      <c r="AT31" s="62"/>
      <c r="AY31" s="62"/>
      <c r="AZ31" s="62"/>
      <c r="BA31" s="62"/>
      <c r="BB31" s="62"/>
    </row>
    <row r="32" spans="1:54" s="61" customFormat="1" outlineLevel="1" x14ac:dyDescent="0.3">
      <c r="A32" s="61" t="s">
        <v>663</v>
      </c>
      <c r="B32" s="55" t="str">
        <f t="shared" si="4"/>
        <v>2018-7</v>
      </c>
      <c r="C32" s="11">
        <v>43282</v>
      </c>
      <c r="D32" s="12" t="s">
        <v>29</v>
      </c>
      <c r="E32" s="14">
        <v>1.5299999999999999E-2</v>
      </c>
      <c r="F32" s="15">
        <f t="shared" si="25"/>
        <v>0.12447235024122305</v>
      </c>
      <c r="G32" s="15">
        <f t="shared" si="11"/>
        <v>-1.7725879597606298E-2</v>
      </c>
      <c r="H32" s="13">
        <f>(1+G32)/(1+MAX(G$2:G32))-1</f>
        <v>0</v>
      </c>
      <c r="I32" s="12" t="s">
        <v>51</v>
      </c>
      <c r="J32" s="16">
        <v>8.3000000000000001E-3</v>
      </c>
      <c r="K32" s="17" t="s">
        <v>144</v>
      </c>
      <c r="L32" s="16">
        <v>5.4999999999999997E-3</v>
      </c>
      <c r="M32" s="14">
        <f t="shared" si="0"/>
        <v>6.8999999999999999E-3</v>
      </c>
      <c r="N32" s="15">
        <f t="shared" si="26"/>
        <v>9.5391513053212584E-2</v>
      </c>
      <c r="O32" s="15">
        <f t="shared" si="12"/>
        <v>0.28810826712620763</v>
      </c>
      <c r="P32" s="13">
        <f>(1+O32)/(1+MAX(O$2:O32))-1</f>
        <v>0</v>
      </c>
      <c r="Q32" s="18" t="s">
        <v>48</v>
      </c>
      <c r="R32" s="16">
        <v>2.9499999999999998E-2</v>
      </c>
      <c r="S32" s="56" t="s">
        <v>622</v>
      </c>
      <c r="T32" s="16">
        <v>-0.14849999999999999</v>
      </c>
      <c r="U32" s="14">
        <f t="shared" si="1"/>
        <v>-5.9499999999999997E-2</v>
      </c>
      <c r="V32" s="15">
        <f t="shared" si="27"/>
        <v>0.39267848683201056</v>
      </c>
      <c r="W32" s="15">
        <f t="shared" si="13"/>
        <v>1.8807729778040514</v>
      </c>
      <c r="X32" s="13">
        <f>(1+W32)/(1+MAX(W$2:W32))-1</f>
        <v>-5.9499999999999997E-2</v>
      </c>
      <c r="Y32" s="18" t="s">
        <v>617</v>
      </c>
      <c r="Z32" s="16">
        <v>7.4700000000000003E-2</v>
      </c>
      <c r="AA32" s="57" t="s">
        <v>49</v>
      </c>
      <c r="AB32" s="16">
        <v>-0.2467</v>
      </c>
      <c r="AC32" s="14">
        <f t="shared" si="2"/>
        <v>-8.5999999999999993E-2</v>
      </c>
      <c r="AD32" s="15">
        <f t="shared" si="28"/>
        <v>0.50757109179940962</v>
      </c>
      <c r="AE32" s="15">
        <f t="shared" si="14"/>
        <v>3.1382440464740426</v>
      </c>
      <c r="AF32" s="13">
        <f>(1+AE32)/(1+MAX(AE$2:AE32))-1</f>
        <v>-8.5999999999999965E-2</v>
      </c>
      <c r="AG32" s="19"/>
      <c r="AH32" s="20">
        <f t="shared" si="3"/>
        <v>-3.7414285714285712E-2</v>
      </c>
      <c r="AI32" s="15">
        <f t="shared" si="29"/>
        <v>0.30492712573065428</v>
      </c>
      <c r="AJ32" s="15">
        <f t="shared" si="15"/>
        <v>1.2911361531730177</v>
      </c>
      <c r="AK32" s="15">
        <f>(1+AJ32)/(1+MAX(AJ$2:AJ32))-1</f>
        <v>-3.7414285714285733E-2</v>
      </c>
      <c r="AL32" s="58">
        <f t="shared" si="16"/>
        <v>2291.1361531730172</v>
      </c>
      <c r="AM32" s="59"/>
      <c r="AN32" s="12" t="s">
        <v>86</v>
      </c>
      <c r="AO32" s="60">
        <v>2816.29</v>
      </c>
      <c r="AP32" s="14">
        <f t="shared" si="17"/>
        <v>3.6021586465418753E-2</v>
      </c>
      <c r="AQ32" s="15">
        <f t="shared" si="30"/>
        <v>5.336604815212409E-2</v>
      </c>
      <c r="AR32" s="15">
        <f t="shared" si="18"/>
        <v>0.45151630726095782</v>
      </c>
      <c r="AS32" s="13">
        <f>(1+AR32)/(1+MAX(AR$2:AR32))-1</f>
        <v>-2.6630686908820644E-3</v>
      </c>
      <c r="AT32" s="62"/>
      <c r="AY32" s="62"/>
      <c r="AZ32" s="62"/>
      <c r="BA32" s="62"/>
      <c r="BB32" s="62"/>
    </row>
    <row r="33" spans="1:54" s="61" customFormat="1" outlineLevel="1" x14ac:dyDescent="0.3">
      <c r="A33" s="61" t="s">
        <v>663</v>
      </c>
      <c r="B33" s="55" t="str">
        <f t="shared" si="4"/>
        <v>2018-8</v>
      </c>
      <c r="C33" s="11">
        <v>43313</v>
      </c>
      <c r="D33" s="12" t="s">
        <v>29</v>
      </c>
      <c r="E33" s="14">
        <v>6.1699999999999998E-2</v>
      </c>
      <c r="F33" s="15">
        <f t="shared" si="25"/>
        <v>0.19385229425110651</v>
      </c>
      <c r="G33" s="15">
        <f t="shared" si="11"/>
        <v>4.2880433631221404E-2</v>
      </c>
      <c r="H33" s="13">
        <f>(1+G33)/(1+MAX(G$2:G33))-1</f>
        <v>0</v>
      </c>
      <c r="I33" s="12" t="s">
        <v>51</v>
      </c>
      <c r="J33" s="16">
        <v>6.9900000000000004E-2</v>
      </c>
      <c r="K33" s="17" t="s">
        <v>144</v>
      </c>
      <c r="L33" s="16">
        <v>5.4899999999999997E-2</v>
      </c>
      <c r="M33" s="14">
        <f t="shared" si="0"/>
        <v>6.2399999999999997E-2</v>
      </c>
      <c r="N33" s="15">
        <f t="shared" si="26"/>
        <v>0.16374394346773302</v>
      </c>
      <c r="O33" s="15">
        <f t="shared" si="12"/>
        <v>0.36848622299488309</v>
      </c>
      <c r="P33" s="13">
        <f>(1+O33)/(1+MAX(O$2:O33))-1</f>
        <v>0</v>
      </c>
      <c r="Q33" s="18" t="s">
        <v>48</v>
      </c>
      <c r="R33" s="16">
        <v>8.7599999999999997E-2</v>
      </c>
      <c r="S33" s="56" t="s">
        <v>622</v>
      </c>
      <c r="T33" s="16">
        <v>9.3600000000000003E-2</v>
      </c>
      <c r="U33" s="14">
        <f t="shared" si="1"/>
        <v>9.06E-2</v>
      </c>
      <c r="V33" s="15">
        <f t="shared" si="27"/>
        <v>0.51885515773899082</v>
      </c>
      <c r="W33" s="15">
        <f t="shared" si="13"/>
        <v>2.1417710095930986</v>
      </c>
      <c r="X33" s="13">
        <f>(1+W33)/(1+MAX(W$2:W33))-1</f>
        <v>0</v>
      </c>
      <c r="Y33" s="18" t="s">
        <v>617</v>
      </c>
      <c r="Z33" s="16">
        <v>3.2199999999999999E-2</v>
      </c>
      <c r="AA33" s="57" t="s">
        <v>49</v>
      </c>
      <c r="AB33" s="16">
        <v>0.14899999999999999</v>
      </c>
      <c r="AC33" s="14">
        <f t="shared" si="2"/>
        <v>9.06E-2</v>
      </c>
      <c r="AD33" s="15">
        <f t="shared" si="28"/>
        <v>0.6441570327164361</v>
      </c>
      <c r="AE33" s="15">
        <f t="shared" si="14"/>
        <v>3.5131689570845905</v>
      </c>
      <c r="AF33" s="13">
        <f>(1+AE33)/(1+MAX(AE$2:AE33))-1</f>
        <v>-3.1915999999999611E-3</v>
      </c>
      <c r="AG33" s="19"/>
      <c r="AH33" s="20">
        <f t="shared" si="3"/>
        <v>7.8414285714285728E-2</v>
      </c>
      <c r="AI33" s="15">
        <f t="shared" si="29"/>
        <v>0.40725205420401944</v>
      </c>
      <c r="AJ33" s="15">
        <f t="shared" si="15"/>
        <v>1.4707939580982563</v>
      </c>
      <c r="AK33" s="15">
        <f>(1+AJ33)/(1+MAX(AJ$2:AJ33))-1</f>
        <v>0</v>
      </c>
      <c r="AL33" s="58">
        <f t="shared" si="16"/>
        <v>2470.7939580982556</v>
      </c>
      <c r="AM33" s="59"/>
      <c r="AN33" s="12" t="s">
        <v>86</v>
      </c>
      <c r="AO33" s="60">
        <v>2901.52</v>
      </c>
      <c r="AP33" s="14">
        <f t="shared" si="17"/>
        <v>3.0263218631604083E-2</v>
      </c>
      <c r="AQ33" s="15">
        <f t="shared" si="30"/>
        <v>8.5244295166460704E-2</v>
      </c>
      <c r="AR33" s="15">
        <f t="shared" si="18"/>
        <v>0.49544386261493489</v>
      </c>
      <c r="AS33" s="13">
        <f>(1+AR33)/(1+MAX(AR$2:AR33))-1</f>
        <v>0</v>
      </c>
      <c r="AT33" s="62"/>
      <c r="AY33" s="62"/>
      <c r="AZ33" s="62"/>
      <c r="BA33" s="62"/>
      <c r="BB33" s="62"/>
    </row>
    <row r="34" spans="1:54" s="61" customFormat="1" outlineLevel="1" x14ac:dyDescent="0.3">
      <c r="A34" s="61" t="s">
        <v>663</v>
      </c>
      <c r="B34" s="55" t="str">
        <f t="shared" si="4"/>
        <v>2018-9</v>
      </c>
      <c r="C34" s="11">
        <v>43344</v>
      </c>
      <c r="D34" s="12" t="s">
        <v>29</v>
      </c>
      <c r="E34" s="14">
        <v>-5.0000000000000001E-4</v>
      </c>
      <c r="F34" s="15">
        <f t="shared" si="25"/>
        <v>0.19325536810398103</v>
      </c>
      <c r="G34" s="15">
        <f t="shared" si="11"/>
        <v>4.2358993414405743E-2</v>
      </c>
      <c r="H34" s="13">
        <f>(1+G34)/(1+MAX(G$2:G34))-1</f>
        <v>-5.0000000000005596E-4</v>
      </c>
      <c r="I34" s="12" t="s">
        <v>51</v>
      </c>
      <c r="J34" s="16">
        <v>2.2000000000000001E-3</v>
      </c>
      <c r="K34" s="17" t="s">
        <v>144</v>
      </c>
      <c r="L34" s="16">
        <v>7.7000000000000002E-3</v>
      </c>
      <c r="M34" s="14">
        <f t="shared" si="0"/>
        <v>4.9500000000000004E-3</v>
      </c>
      <c r="N34" s="15">
        <f t="shared" si="26"/>
        <v>0.16950447598789831</v>
      </c>
      <c r="O34" s="15">
        <f t="shared" si="12"/>
        <v>0.37526022979870777</v>
      </c>
      <c r="P34" s="13">
        <f>(1+O34)/(1+MAX(O$2:O34))-1</f>
        <v>0</v>
      </c>
      <c r="Q34" s="18" t="s">
        <v>48</v>
      </c>
      <c r="R34" s="16">
        <v>1.46E-2</v>
      </c>
      <c r="S34" s="56" t="s">
        <v>622</v>
      </c>
      <c r="T34" s="16">
        <v>1.9900000000000001E-2</v>
      </c>
      <c r="U34" s="14">
        <f t="shared" si="1"/>
        <v>1.7250000000000001E-2</v>
      </c>
      <c r="V34" s="15">
        <f t="shared" si="27"/>
        <v>0.54505540920998841</v>
      </c>
      <c r="W34" s="15">
        <f t="shared" si="13"/>
        <v>2.1959665595085793</v>
      </c>
      <c r="X34" s="13">
        <f>(1+W34)/(1+MAX(W$2:W34))-1</f>
        <v>0</v>
      </c>
      <c r="Y34" s="18" t="s">
        <v>617</v>
      </c>
      <c r="Z34" s="16">
        <v>-0.1883</v>
      </c>
      <c r="AA34" s="57" t="s">
        <v>49</v>
      </c>
      <c r="AB34" s="16">
        <v>-4.6100000000000002E-2</v>
      </c>
      <c r="AC34" s="14">
        <f t="shared" si="2"/>
        <v>-0.1172</v>
      </c>
      <c r="AD34" s="15">
        <f t="shared" si="28"/>
        <v>0.45146182848206973</v>
      </c>
      <c r="AE34" s="15">
        <f t="shared" si="14"/>
        <v>2.9842255553142767</v>
      </c>
      <c r="AF34" s="13">
        <f>(1+AE34)/(1+MAX(AE$2:AE34))-1</f>
        <v>-0.1200175444799999</v>
      </c>
      <c r="AG34" s="19"/>
      <c r="AH34" s="20">
        <f t="shared" ref="AH34:AH65" si="31">(E34+2*M34+2*U34+2*AC34)/7</f>
        <v>-2.7214285714285715E-2</v>
      </c>
      <c r="AI34" s="15">
        <f t="shared" si="29"/>
        <v>0.36895469472889575</v>
      </c>
      <c r="AJ34" s="15">
        <f t="shared" si="15"/>
        <v>1.4035530653814394</v>
      </c>
      <c r="AK34" s="15">
        <f>(1+AJ34)/(1+MAX(AJ$2:AJ34))-1</f>
        <v>-2.7214285714285746E-2</v>
      </c>
      <c r="AL34" s="58">
        <f t="shared" si="16"/>
        <v>2403.553065381439</v>
      </c>
      <c r="AM34" s="59"/>
      <c r="AN34" s="12" t="s">
        <v>86</v>
      </c>
      <c r="AO34" s="60">
        <v>2913.98</v>
      </c>
      <c r="AP34" s="14">
        <f t="shared" si="17"/>
        <v>4.2943009181395375E-3</v>
      </c>
      <c r="AQ34" s="15">
        <f t="shared" si="30"/>
        <v>8.9904660739599684E-2</v>
      </c>
      <c r="AR34" s="15">
        <f t="shared" si="18"/>
        <v>0.50186574856718824</v>
      </c>
      <c r="AS34" s="13">
        <f>(1+AR34)/(1+MAX(AR$2:AR34))-1</f>
        <v>0</v>
      </c>
      <c r="AT34" s="62"/>
      <c r="AY34" s="62"/>
    </row>
    <row r="35" spans="1:54" s="61" customFormat="1" outlineLevel="1" x14ac:dyDescent="0.3">
      <c r="A35" s="61" t="s">
        <v>663</v>
      </c>
      <c r="B35" s="55" t="str">
        <f t="shared" si="4"/>
        <v>2018-10</v>
      </c>
      <c r="C35" s="11">
        <v>43374</v>
      </c>
      <c r="D35" s="12" t="s">
        <v>29</v>
      </c>
      <c r="E35" s="14">
        <v>-6.25E-2</v>
      </c>
      <c r="F35" s="15">
        <f t="shared" si="25"/>
        <v>0.11867690759748228</v>
      </c>
      <c r="G35" s="15">
        <f t="shared" si="11"/>
        <v>-2.2788443673994574E-2</v>
      </c>
      <c r="H35" s="13">
        <f>(1+G35)/(1+MAX(G$2:G35))-1</f>
        <v>-6.2968750000000018E-2</v>
      </c>
      <c r="I35" s="12" t="s">
        <v>51</v>
      </c>
      <c r="J35" s="16">
        <v>-5.6500000000000002E-2</v>
      </c>
      <c r="K35" s="17" t="s">
        <v>144</v>
      </c>
      <c r="L35" s="16">
        <v>-7.7899999999999997E-2</v>
      </c>
      <c r="M35" s="14">
        <f t="shared" si="0"/>
        <v>-6.7199999999999996E-2</v>
      </c>
      <c r="N35" s="15">
        <f t="shared" si="26"/>
        <v>9.0913775201511449E-2</v>
      </c>
      <c r="O35" s="15">
        <f t="shared" si="12"/>
        <v>0.28284274235623452</v>
      </c>
      <c r="P35" s="13">
        <f>(1+O35)/(1+MAX(O$2:O35))-1</f>
        <v>-6.7200000000000037E-2</v>
      </c>
      <c r="Q35" s="18" t="s">
        <v>52</v>
      </c>
      <c r="R35" s="16">
        <v>-0.39539999999999997</v>
      </c>
      <c r="S35" s="56" t="s">
        <v>622</v>
      </c>
      <c r="T35" s="16">
        <v>-0.17269999999999999</v>
      </c>
      <c r="U35" s="14">
        <f t="shared" si="1"/>
        <v>-0.28404999999999997</v>
      </c>
      <c r="V35" s="15">
        <f t="shared" si="27"/>
        <v>0.10618242022389124</v>
      </c>
      <c r="W35" s="15">
        <f t="shared" si="13"/>
        <v>1.2881522582801677</v>
      </c>
      <c r="X35" s="13">
        <f>(1+W35)/(1+MAX(W$2:W35))-1</f>
        <v>-0.28404999999999991</v>
      </c>
      <c r="Y35" s="18" t="s">
        <v>617</v>
      </c>
      <c r="Z35" s="16">
        <v>7.6799999999999993E-2</v>
      </c>
      <c r="AA35" s="57" t="s">
        <v>49</v>
      </c>
      <c r="AB35" s="16">
        <v>-0.32019999999999998</v>
      </c>
      <c r="AC35" s="14">
        <f t="shared" si="2"/>
        <v>-0.1217</v>
      </c>
      <c r="AD35" s="15">
        <f t="shared" si="28"/>
        <v>0.27481892395580187</v>
      </c>
      <c r="AE35" s="15">
        <f t="shared" si="14"/>
        <v>2.499345305232529</v>
      </c>
      <c r="AF35" s="13">
        <f>(1+AE35)/(1+MAX(AE$2:AE35))-1</f>
        <v>-0.22711140931678397</v>
      </c>
      <c r="AG35" s="21"/>
      <c r="AH35" s="20">
        <f t="shared" si="31"/>
        <v>-0.14405714285714286</v>
      </c>
      <c r="AI35" s="15">
        <f t="shared" si="29"/>
        <v>0.17174699270537874</v>
      </c>
      <c r="AJ35" s="15">
        <f t="shared" si="15"/>
        <v>1.0573040780770615</v>
      </c>
      <c r="AK35" s="15">
        <f>(1+AJ35)/(1+MAX(AJ$2:AJ35))-1</f>
        <v>-0.16735101632653071</v>
      </c>
      <c r="AL35" s="58">
        <f t="shared" si="16"/>
        <v>2057.3040780770611</v>
      </c>
      <c r="AM35" s="59"/>
      <c r="AN35" s="12" t="s">
        <v>86</v>
      </c>
      <c r="AO35" s="60">
        <v>2711.74</v>
      </c>
      <c r="AP35" s="14">
        <f t="shared" si="17"/>
        <v>-6.9403358979814644E-2</v>
      </c>
      <c r="AQ35" s="15">
        <f t="shared" si="30"/>
        <v>1.4261616316516124E-2</v>
      </c>
      <c r="AR35" s="15">
        <f t="shared" si="18"/>
        <v>0.39763122087989156</v>
      </c>
      <c r="AS35" s="13">
        <f>(1+AR35)/(1+MAX(AR$2:AR35))-1</f>
        <v>-6.9403358979814644E-2</v>
      </c>
      <c r="AT35" s="62"/>
    </row>
    <row r="36" spans="1:54" s="61" customFormat="1" outlineLevel="1" x14ac:dyDescent="0.3">
      <c r="A36" s="61" t="s">
        <v>663</v>
      </c>
      <c r="B36" s="55" t="str">
        <f t="shared" si="4"/>
        <v>2018-11</v>
      </c>
      <c r="C36" s="11">
        <v>43405</v>
      </c>
      <c r="D36" s="12" t="s">
        <v>29</v>
      </c>
      <c r="E36" s="14">
        <v>-6.7000000000000002E-3</v>
      </c>
      <c r="F36" s="15">
        <f t="shared" si="25"/>
        <v>0.11118177231657911</v>
      </c>
      <c r="G36" s="15">
        <f t="shared" si="11"/>
        <v>-2.933576110137881E-2</v>
      </c>
      <c r="H36" s="13">
        <f>(1+G36)/(1+MAX(G$2:G36))-1</f>
        <v>-6.9246859374999969E-2</v>
      </c>
      <c r="I36" s="12" t="s">
        <v>51</v>
      </c>
      <c r="J36" s="16">
        <v>-2.3599999999999999E-2</v>
      </c>
      <c r="K36" s="17" t="s">
        <v>144</v>
      </c>
      <c r="L36" s="16">
        <v>2.06E-2</v>
      </c>
      <c r="M36" s="14">
        <f t="shared" si="0"/>
        <v>-1.4999999999999996E-3</v>
      </c>
      <c r="N36" s="15">
        <f t="shared" si="26"/>
        <v>8.9277404538709249E-2</v>
      </c>
      <c r="O36" s="15">
        <f t="shared" si="12"/>
        <v>0.28091847824270033</v>
      </c>
      <c r="P36" s="13">
        <f>(1+O36)/(1+MAX(O$2:O36))-1</f>
        <v>-6.8599199999999971E-2</v>
      </c>
      <c r="Q36" s="18" t="s">
        <v>52</v>
      </c>
      <c r="R36" s="16">
        <v>0.16489999999999999</v>
      </c>
      <c r="S36" s="56" t="s">
        <v>622</v>
      </c>
      <c r="T36" s="16">
        <v>-5.57E-2</v>
      </c>
      <c r="U36" s="14">
        <f t="shared" si="1"/>
        <v>5.4599999999999996E-2</v>
      </c>
      <c r="V36" s="15">
        <f t="shared" si="27"/>
        <v>0.16657998036811561</v>
      </c>
      <c r="W36" s="15">
        <f t="shared" si="13"/>
        <v>1.4130853715822647</v>
      </c>
      <c r="X36" s="13">
        <f>(1+W36)/(1+MAX(W$2:W36))-1</f>
        <v>-0.24495912999999991</v>
      </c>
      <c r="Y36" s="18" t="s">
        <v>617</v>
      </c>
      <c r="Z36" s="16">
        <v>0.22539999999999999</v>
      </c>
      <c r="AA36" s="57" t="s">
        <v>49</v>
      </c>
      <c r="AB36" s="16">
        <v>6.5799999999999997E-2</v>
      </c>
      <c r="AC36" s="14">
        <f t="shared" si="2"/>
        <v>0.14560000000000001</v>
      </c>
      <c r="AD36" s="15">
        <f t="shared" si="28"/>
        <v>0.46043255928376658</v>
      </c>
      <c r="AE36" s="15">
        <f t="shared" si="14"/>
        <v>3.008849981674385</v>
      </c>
      <c r="AF36" s="13">
        <f>(1+AE36)/(1+MAX(AE$2:AE36))-1</f>
        <v>-0.11457883051330786</v>
      </c>
      <c r="AG36" s="21"/>
      <c r="AH36" s="20">
        <f t="shared" si="31"/>
        <v>5.5814285714285712E-2</v>
      </c>
      <c r="AI36" s="15">
        <f t="shared" si="29"/>
        <v>0.23714721414109197</v>
      </c>
      <c r="AJ36" s="15">
        <f t="shared" si="15"/>
        <v>1.1721310356920198</v>
      </c>
      <c r="AK36" s="15">
        <f>(1+AJ36)/(1+MAX(AJ$2:AJ36))-1</f>
        <v>-0.12087730805207009</v>
      </c>
      <c r="AL36" s="58">
        <f t="shared" si="16"/>
        <v>2172.1310356920194</v>
      </c>
      <c r="AM36" s="59"/>
      <c r="AN36" s="12" t="s">
        <v>86</v>
      </c>
      <c r="AO36" s="60">
        <v>2760.17</v>
      </c>
      <c r="AP36" s="14">
        <f t="shared" si="17"/>
        <v>1.785938179914015E-2</v>
      </c>
      <c r="AQ36" s="15">
        <f t="shared" si="30"/>
        <v>3.2375701766525822E-2</v>
      </c>
      <c r="AR36" s="15">
        <f t="shared" si="18"/>
        <v>0.42259205046798387</v>
      </c>
      <c r="AS36" s="13">
        <f>(1+AR36)/(1+MAX(AR$2:AR36))-1</f>
        <v>-5.2783478266837824E-2</v>
      </c>
      <c r="AT36" s="62"/>
    </row>
    <row r="37" spans="1:54" s="27" customFormat="1" ht="15" thickBot="1" x14ac:dyDescent="0.35">
      <c r="A37" s="27" t="s">
        <v>663</v>
      </c>
      <c r="B37" s="63" t="str">
        <f t="shared" si="4"/>
        <v>2018-12</v>
      </c>
      <c r="C37" s="22">
        <v>43435</v>
      </c>
      <c r="D37" s="23" t="s">
        <v>29</v>
      </c>
      <c r="E37" s="24">
        <v>-9.0399999999999994E-2</v>
      </c>
      <c r="F37" s="25">
        <f t="shared" si="25"/>
        <v>1.0730940099160424E-2</v>
      </c>
      <c r="G37" s="25">
        <f t="shared" si="11"/>
        <v>-0.11708380829781417</v>
      </c>
      <c r="H37" s="26">
        <f>(1+G37)/(1+MAX(G$2:G37))-1</f>
        <v>-0.15338694328750002</v>
      </c>
      <c r="I37" s="23" t="s">
        <v>30</v>
      </c>
      <c r="J37" s="144">
        <v>-9.7299999999999998E-2</v>
      </c>
      <c r="K37" s="28" t="s">
        <v>144</v>
      </c>
      <c r="L37" s="144">
        <v>-8.3400000000000002E-2</v>
      </c>
      <c r="M37" s="24">
        <f t="shared" si="0"/>
        <v>-9.035E-2</v>
      </c>
      <c r="N37" s="25">
        <f t="shared" si="26"/>
        <v>-9.1388089613632095E-3</v>
      </c>
      <c r="O37" s="25">
        <f t="shared" si="12"/>
        <v>0.1651874937334723</v>
      </c>
      <c r="P37" s="26">
        <f>(1+O37)/(1+MAX(O$2:O37))-1</f>
        <v>-0.15275126228000002</v>
      </c>
      <c r="Q37" s="29" t="s">
        <v>627</v>
      </c>
      <c r="R37" s="64">
        <v>-0.1278</v>
      </c>
      <c r="S37" s="65" t="s">
        <v>52</v>
      </c>
      <c r="T37" s="30">
        <v>-0.16619999999999999</v>
      </c>
      <c r="U37" s="24">
        <f t="shared" si="1"/>
        <v>-0.14699999999999999</v>
      </c>
      <c r="V37" s="25">
        <f t="shared" si="27"/>
        <v>-4.9072767459974465E-3</v>
      </c>
      <c r="W37" s="25">
        <f t="shared" si="13"/>
        <v>1.0583618219596715</v>
      </c>
      <c r="X37" s="26">
        <f>(1+W37)/(1+MAX(W$2:W37))-1</f>
        <v>-0.35595013789000007</v>
      </c>
      <c r="Y37" s="29" t="s">
        <v>617</v>
      </c>
      <c r="Z37" s="30">
        <v>-8.0999999999999996E-3</v>
      </c>
      <c r="AA37" s="65" t="s">
        <v>49</v>
      </c>
      <c r="AB37" s="30">
        <v>-2.1000000000000001E-2</v>
      </c>
      <c r="AC37" s="24">
        <f t="shared" si="2"/>
        <v>-1.455E-2</v>
      </c>
      <c r="AD37" s="25">
        <f t="shared" si="28"/>
        <v>0.43918326554618781</v>
      </c>
      <c r="AE37" s="25">
        <f t="shared" si="14"/>
        <v>2.9505212144410229</v>
      </c>
      <c r="AF37" s="26">
        <f>(1+AE37)/(1+MAX(AE$2:AE37))-1</f>
        <v>-0.12746170852933913</v>
      </c>
      <c r="AG37" s="31"/>
      <c r="AH37" s="32">
        <f t="shared" si="31"/>
        <v>-8.4885714285714273E-2</v>
      </c>
      <c r="AI37" s="25">
        <f t="shared" si="29"/>
        <v>0.13213108919214389</v>
      </c>
      <c r="AJ37" s="25">
        <f t="shared" si="15"/>
        <v>0.98774814120513454</v>
      </c>
      <c r="AK37" s="25">
        <f>(1+AJ37)/(1+MAX(AJ$2:AJ37))-1</f>
        <v>-0.19550226570285001</v>
      </c>
      <c r="AL37" s="66">
        <f t="shared" si="16"/>
        <v>1987.7481412051341</v>
      </c>
      <c r="AM37" s="22"/>
      <c r="AN37" s="23" t="s">
        <v>86</v>
      </c>
      <c r="AO37" s="67">
        <v>2506.85</v>
      </c>
      <c r="AP37" s="24">
        <f t="shared" si="17"/>
        <v>-9.1776955767217339E-2</v>
      </c>
      <c r="AQ37" s="25">
        <f t="shared" si="30"/>
        <v>-6.2372597349650616E-2</v>
      </c>
      <c r="AR37" s="25">
        <f t="shared" si="18"/>
        <v>0.29203088277738876</v>
      </c>
      <c r="AS37" s="26">
        <f>(1+AR37)/(1+MAX(AR$2:AR37))-1</f>
        <v>-0.13971612708391967</v>
      </c>
      <c r="AT37" s="68"/>
    </row>
    <row r="38" spans="1:54" s="54" customFormat="1" outlineLevel="1" x14ac:dyDescent="0.3">
      <c r="A38" s="54" t="s">
        <v>663</v>
      </c>
      <c r="B38" s="48" t="str">
        <f t="shared" si="4"/>
        <v>2019-1</v>
      </c>
      <c r="C38" s="1">
        <v>43466</v>
      </c>
      <c r="D38" s="2" t="s">
        <v>29</v>
      </c>
      <c r="E38" s="4">
        <v>8.5599999999999996E-2</v>
      </c>
      <c r="F38" s="5">
        <f>+E38</f>
        <v>8.5599999999999996E-2</v>
      </c>
      <c r="G38" s="5">
        <f t="shared" si="11"/>
        <v>-4.1506182288107207E-2</v>
      </c>
      <c r="H38" s="3">
        <f>(1+G38)/(1+MAX(G$2:G38))-1</f>
        <v>-8.0916865632910118E-2</v>
      </c>
      <c r="I38" s="2" t="s">
        <v>54</v>
      </c>
      <c r="J38" s="6">
        <v>3.0499999999999999E-2</v>
      </c>
      <c r="K38" s="7" t="s">
        <v>30</v>
      </c>
      <c r="L38" s="6">
        <v>4.3700000000000003E-2</v>
      </c>
      <c r="M38" s="4">
        <f t="shared" si="0"/>
        <v>3.7100000000000001E-2</v>
      </c>
      <c r="N38" s="5">
        <f>+M38</f>
        <v>3.7100000000000001E-2</v>
      </c>
      <c r="O38" s="5">
        <f t="shared" si="12"/>
        <v>0.2084159497509841</v>
      </c>
      <c r="P38" s="3">
        <f>(1+O38)/(1+MAX(O$2:O38))-1</f>
        <v>-0.12131833411058801</v>
      </c>
      <c r="Q38" s="8" t="s">
        <v>628</v>
      </c>
      <c r="R38" s="6">
        <v>3.15E-2</v>
      </c>
      <c r="S38" s="49" t="s">
        <v>629</v>
      </c>
      <c r="T38" s="6">
        <v>0.2104</v>
      </c>
      <c r="U38" s="4">
        <f t="shared" si="1"/>
        <v>0.12095</v>
      </c>
      <c r="V38" s="5">
        <f>+U38</f>
        <v>0.12095</v>
      </c>
      <c r="W38" s="5">
        <f t="shared" si="13"/>
        <v>1.3073206843256941</v>
      </c>
      <c r="X38" s="3">
        <f>(1+W38)/(1+MAX(W$2:W38))-1</f>
        <v>-0.27805230706779538</v>
      </c>
      <c r="Y38" s="8" t="s">
        <v>617</v>
      </c>
      <c r="Z38" s="6">
        <v>8.5699999999999998E-2</v>
      </c>
      <c r="AA38" s="50" t="s">
        <v>49</v>
      </c>
      <c r="AB38" s="6">
        <v>0.3594</v>
      </c>
      <c r="AC38" s="4">
        <f t="shared" si="2"/>
        <v>0.22255</v>
      </c>
      <c r="AD38" s="5">
        <f>+AC38</f>
        <v>0.22255</v>
      </c>
      <c r="AE38" s="5">
        <f t="shared" si="14"/>
        <v>3.829709710714873</v>
      </c>
      <c r="AF38" s="3">
        <f>(1+AE38)/(1+MAX(AE$2:AE38))-1</f>
        <v>0</v>
      </c>
      <c r="AG38" s="9"/>
      <c r="AH38" s="10">
        <f t="shared" si="31"/>
        <v>0.12097142857142858</v>
      </c>
      <c r="AI38" s="5">
        <f>+AH38</f>
        <v>0.12097142857142858</v>
      </c>
      <c r="AJ38" s="5">
        <f t="shared" si="15"/>
        <v>1.2282088734869214</v>
      </c>
      <c r="AK38" s="5">
        <f>(1+AJ38)/(1+MAX(AJ$2:AJ38))-1</f>
        <v>-9.8181025502446229E-2</v>
      </c>
      <c r="AL38" s="51">
        <f t="shared" si="16"/>
        <v>2228.2088734869208</v>
      </c>
      <c r="AM38" s="52"/>
      <c r="AN38" s="2" t="s">
        <v>86</v>
      </c>
      <c r="AO38" s="53">
        <v>2704.1</v>
      </c>
      <c r="AP38" s="4">
        <f t="shared" si="17"/>
        <v>7.8684404731036883E-2</v>
      </c>
      <c r="AQ38" s="5">
        <f>+AP38</f>
        <v>7.8684404731036883E-2</v>
      </c>
      <c r="AR38" s="5">
        <f t="shared" si="18"/>
        <v>0.39369356368284358</v>
      </c>
      <c r="AS38" s="3">
        <f>(1+AR38)/(1+MAX(AR$2:AR38))-1</f>
        <v>-7.2025202643807074E-2</v>
      </c>
    </row>
    <row r="39" spans="1:54" s="61" customFormat="1" outlineLevel="1" x14ac:dyDescent="0.3">
      <c r="A39" s="61" t="s">
        <v>663</v>
      </c>
      <c r="B39" s="55" t="str">
        <f t="shared" si="4"/>
        <v>2019-2</v>
      </c>
      <c r="C39" s="11">
        <v>43497</v>
      </c>
      <c r="D39" s="12" t="s">
        <v>29</v>
      </c>
      <c r="E39" s="14">
        <v>3.9600000000000003E-2</v>
      </c>
      <c r="F39" s="15">
        <f t="shared" ref="F39:F49" si="32">+(1+E39)*(1+F38)-1</f>
        <v>0.12858975999999989</v>
      </c>
      <c r="G39" s="15">
        <f t="shared" si="11"/>
        <v>-3.5498271067161413E-3</v>
      </c>
      <c r="H39" s="13">
        <f>(1+G39)/(1+MAX(G$2:G39))-1</f>
        <v>-4.4521173511973267E-2</v>
      </c>
      <c r="I39" s="12" t="s">
        <v>54</v>
      </c>
      <c r="J39" s="16">
        <v>5.0900000000000001E-2</v>
      </c>
      <c r="K39" s="17" t="s">
        <v>30</v>
      </c>
      <c r="L39" s="16">
        <v>2.0400000000000001E-2</v>
      </c>
      <c r="M39" s="14">
        <f t="shared" si="0"/>
        <v>3.5650000000000001E-2</v>
      </c>
      <c r="N39" s="15">
        <f t="shared" ref="N39:N49" si="33">+(1+M39)*(1+N38)-1</f>
        <v>7.4072614999999953E-2</v>
      </c>
      <c r="O39" s="15">
        <f t="shared" si="12"/>
        <v>0.25149597835960669</v>
      </c>
      <c r="P39" s="13">
        <f>(1+O39)/(1+MAX(O$2:O39))-1</f>
        <v>-8.9993332721630459E-2</v>
      </c>
      <c r="Q39" s="18" t="s">
        <v>52</v>
      </c>
      <c r="R39" s="16">
        <v>-2.69E-2</v>
      </c>
      <c r="S39" s="56" t="s">
        <v>629</v>
      </c>
      <c r="T39" s="16">
        <v>2.7300000000000001E-2</v>
      </c>
      <c r="U39" s="14">
        <f t="shared" si="1"/>
        <v>2.0000000000000052E-4</v>
      </c>
      <c r="V39" s="15">
        <f t="shared" ref="V39:V49" si="34">+(1+U39)*(1+V38)-1</f>
        <v>0.12117419000000007</v>
      </c>
      <c r="W39" s="15">
        <f t="shared" si="13"/>
        <v>1.3077821484625591</v>
      </c>
      <c r="X39" s="13">
        <f>(1+W39)/(1+MAX(W$2:W39))-1</f>
        <v>-0.27790791752920907</v>
      </c>
      <c r="Y39" s="18" t="s">
        <v>617</v>
      </c>
      <c r="Z39" s="16">
        <v>0.26269999999999999</v>
      </c>
      <c r="AA39" s="57" t="s">
        <v>49</v>
      </c>
      <c r="AB39" s="16">
        <v>-1.8599999999999998E-2</v>
      </c>
      <c r="AC39" s="14">
        <f t="shared" si="2"/>
        <v>0.12204999999999999</v>
      </c>
      <c r="AD39" s="15">
        <f t="shared" ref="AD39:AD49" si="35">+(1+AC39)*(1+AD38)-1</f>
        <v>0.3717622275000001</v>
      </c>
      <c r="AE39" s="15">
        <f t="shared" si="14"/>
        <v>4.4191757809076231</v>
      </c>
      <c r="AF39" s="13">
        <f>(1+AE39)/(1+MAX(AE$2:AE39))-1</f>
        <v>0</v>
      </c>
      <c r="AG39" s="19"/>
      <c r="AH39" s="20">
        <f t="shared" si="31"/>
        <v>5.0771428571428572E-2</v>
      </c>
      <c r="AI39" s="15">
        <f t="shared" ref="AI39:AI49" si="36">+(1+AH39)*(1+AI38)-1</f>
        <v>0.17788474938775489</v>
      </c>
      <c r="AJ39" s="15">
        <f t="shared" si="15"/>
        <v>1.3413382211493858</v>
      </c>
      <c r="AK39" s="15">
        <f>(1+AJ39)/(1+MAX(AJ$2:AJ39))-1</f>
        <v>-5.2394387854384772E-2</v>
      </c>
      <c r="AL39" s="58">
        <f t="shared" si="16"/>
        <v>2341.3382211493849</v>
      </c>
      <c r="AM39" s="59"/>
      <c r="AN39" s="12" t="s">
        <v>86</v>
      </c>
      <c r="AO39" s="60">
        <v>2784.49</v>
      </c>
      <c r="AP39" s="14">
        <f t="shared" si="17"/>
        <v>2.9728930143116061E-2</v>
      </c>
      <c r="AQ39" s="15">
        <f t="shared" ref="AQ39:AQ49" si="37">+(1+AP39)*(1+AQ38)-1</f>
        <v>0.11075253804575458</v>
      </c>
      <c r="AR39" s="15">
        <f t="shared" si="18"/>
        <v>0.43512658227848133</v>
      </c>
      <c r="AS39" s="13">
        <f>(1+AR39)/(1+MAX(AR$2:AR39))-1</f>
        <v>-4.4437504718632503E-2</v>
      </c>
    </row>
    <row r="40" spans="1:54" s="61" customFormat="1" outlineLevel="1" x14ac:dyDescent="0.3">
      <c r="A40" s="61" t="s">
        <v>663</v>
      </c>
      <c r="B40" s="55" t="str">
        <f t="shared" si="4"/>
        <v>2019-3</v>
      </c>
      <c r="C40" s="11">
        <v>43525</v>
      </c>
      <c r="D40" s="12" t="s">
        <v>35</v>
      </c>
      <c r="E40" s="14">
        <v>-2.8E-3</v>
      </c>
      <c r="F40" s="15">
        <f t="shared" si="32"/>
        <v>0.12542970867199976</v>
      </c>
      <c r="G40" s="15">
        <f t="shared" si="11"/>
        <v>-6.3398875908173835E-3</v>
      </c>
      <c r="H40" s="13">
        <f>(1+G40)/(1+MAX(G$2:G40))-1</f>
        <v>-4.7196514226139796E-2</v>
      </c>
      <c r="I40" s="12" t="s">
        <v>56</v>
      </c>
      <c r="J40" s="16">
        <v>6.3500000000000001E-2</v>
      </c>
      <c r="K40" s="17" t="s">
        <v>54</v>
      </c>
      <c r="L40" s="16">
        <v>4.1700000000000001E-2</v>
      </c>
      <c r="M40" s="14">
        <f t="shared" si="0"/>
        <v>5.2600000000000001E-2</v>
      </c>
      <c r="N40" s="15">
        <f t="shared" si="33"/>
        <v>0.13056883454899992</v>
      </c>
      <c r="O40" s="15">
        <f t="shared" si="12"/>
        <v>0.31732466682132188</v>
      </c>
      <c r="P40" s="13">
        <f>(1+O40)/(1+MAX(O$2:O40))-1</f>
        <v>-4.2126982022788306E-2</v>
      </c>
      <c r="Q40" s="18" t="s">
        <v>52</v>
      </c>
      <c r="R40" s="16">
        <v>9.9099999999999994E-2</v>
      </c>
      <c r="S40" s="56" t="s">
        <v>629</v>
      </c>
      <c r="T40" s="16">
        <v>0.104</v>
      </c>
      <c r="U40" s="14">
        <f t="shared" si="1"/>
        <v>0.10155</v>
      </c>
      <c r="V40" s="15">
        <f t="shared" si="34"/>
        <v>0.23502942899450008</v>
      </c>
      <c r="W40" s="15">
        <f t="shared" si="13"/>
        <v>1.542137425638932</v>
      </c>
      <c r="X40" s="13">
        <f>(1+W40)/(1+MAX(W$2:W40))-1</f>
        <v>-0.20457946655430026</v>
      </c>
      <c r="Y40" s="18" t="s">
        <v>617</v>
      </c>
      <c r="Z40" s="16">
        <v>-5.8200000000000002E-2</v>
      </c>
      <c r="AA40" s="57" t="s">
        <v>49</v>
      </c>
      <c r="AB40" s="16">
        <v>-0.10589999999999999</v>
      </c>
      <c r="AC40" s="14">
        <f t="shared" si="2"/>
        <v>-8.2049999999999998E-2</v>
      </c>
      <c r="AD40" s="15">
        <f t="shared" si="35"/>
        <v>0.25920913673362511</v>
      </c>
      <c r="AE40" s="15">
        <f t="shared" si="14"/>
        <v>3.9745324080841531</v>
      </c>
      <c r="AF40" s="13">
        <f>(1+AE40)/(1+MAX(AE$2:AE40))-1</f>
        <v>-8.2049999999999956E-2</v>
      </c>
      <c r="AG40" s="19"/>
      <c r="AH40" s="20">
        <f t="shared" si="31"/>
        <v>2.0199999999999999E-2</v>
      </c>
      <c r="AI40" s="15">
        <f t="shared" si="36"/>
        <v>0.20167802132538748</v>
      </c>
      <c r="AJ40" s="15">
        <f t="shared" si="15"/>
        <v>1.3886332532166032</v>
      </c>
      <c r="AK40" s="15">
        <f>(1+AJ40)/(1+MAX(AJ$2:AJ40))-1</f>
        <v>-3.3252754489043412E-2</v>
      </c>
      <c r="AL40" s="58">
        <f t="shared" si="16"/>
        <v>2388.6332532166025</v>
      </c>
      <c r="AM40" s="59"/>
      <c r="AN40" s="12" t="s">
        <v>86</v>
      </c>
      <c r="AO40" s="60">
        <v>2834.4</v>
      </c>
      <c r="AP40" s="14">
        <f t="shared" si="17"/>
        <v>1.7924287751078349E-2</v>
      </c>
      <c r="AQ40" s="15">
        <f t="shared" si="37"/>
        <v>0.13066198615792723</v>
      </c>
      <c r="AR40" s="15">
        <f t="shared" si="18"/>
        <v>0.46085020409846256</v>
      </c>
      <c r="AS40" s="13">
        <f>(1+AR40)/(1+MAX(AR$2:AR40))-1</f>
        <v>-2.7309727589070687E-2</v>
      </c>
    </row>
    <row r="41" spans="1:54" s="61" customFormat="1" outlineLevel="1" x14ac:dyDescent="0.3">
      <c r="A41" s="61" t="s">
        <v>663</v>
      </c>
      <c r="B41" s="55" t="str">
        <f t="shared" si="4"/>
        <v>2019-4</v>
      </c>
      <c r="C41" s="11">
        <v>43556</v>
      </c>
      <c r="D41" s="12" t="s">
        <v>36</v>
      </c>
      <c r="E41" s="14">
        <v>2.3999999999999998E-3</v>
      </c>
      <c r="F41" s="15">
        <f t="shared" si="32"/>
        <v>0.12813073997281244</v>
      </c>
      <c r="G41" s="15">
        <f t="shared" si="11"/>
        <v>-3.9551033210354358E-3</v>
      </c>
      <c r="H41" s="13">
        <f>(1+G41)/(1+MAX(G$2:G41))-1</f>
        <v>-4.4909785860282603E-2</v>
      </c>
      <c r="I41" s="12" t="s">
        <v>56</v>
      </c>
      <c r="J41" s="16">
        <v>-1.2999999999999999E-3</v>
      </c>
      <c r="K41" s="17" t="s">
        <v>54</v>
      </c>
      <c r="L41" s="16">
        <v>1.3299999999999999E-2</v>
      </c>
      <c r="M41" s="14">
        <f t="shared" si="0"/>
        <v>6.0000000000000001E-3</v>
      </c>
      <c r="N41" s="15">
        <f t="shared" si="33"/>
        <v>0.13735224755629383</v>
      </c>
      <c r="O41" s="15">
        <f t="shared" si="12"/>
        <v>0.32522861482224985</v>
      </c>
      <c r="P41" s="13">
        <f>(1+O41)/(1+MAX(O$2:O41))-1</f>
        <v>-3.6379743914925045E-2</v>
      </c>
      <c r="Q41" s="18" t="s">
        <v>52</v>
      </c>
      <c r="R41" s="16">
        <v>8.6999999999999994E-2</v>
      </c>
      <c r="S41" s="56" t="s">
        <v>629</v>
      </c>
      <c r="T41" s="16">
        <v>8.0500000000000002E-2</v>
      </c>
      <c r="U41" s="14">
        <f t="shared" si="1"/>
        <v>8.3749999999999991E-2</v>
      </c>
      <c r="V41" s="15">
        <f t="shared" si="34"/>
        <v>0.3384631436727894</v>
      </c>
      <c r="W41" s="15">
        <f t="shared" si="13"/>
        <v>1.7550414350361927</v>
      </c>
      <c r="X41" s="13">
        <f>(1+W41)/(1+MAX(W$2:W41))-1</f>
        <v>-0.13796299687822278</v>
      </c>
      <c r="Y41" s="18" t="s">
        <v>617</v>
      </c>
      <c r="Z41" s="16">
        <v>3.8199999999999998E-2</v>
      </c>
      <c r="AA41" s="57" t="s">
        <v>49</v>
      </c>
      <c r="AB41" s="16">
        <v>9.6199999999999994E-2</v>
      </c>
      <c r="AC41" s="14">
        <f t="shared" si="2"/>
        <v>6.7199999999999996E-2</v>
      </c>
      <c r="AD41" s="15">
        <f t="shared" si="35"/>
        <v>0.34382799072212467</v>
      </c>
      <c r="AE41" s="15">
        <f t="shared" si="14"/>
        <v>4.308820985907408</v>
      </c>
      <c r="AF41" s="13">
        <f>(1+AE41)/(1+MAX(AE$2:AE41))-1</f>
        <v>-2.0363759999999953E-2</v>
      </c>
      <c r="AG41" s="19"/>
      <c r="AH41" s="20">
        <f t="shared" si="31"/>
        <v>4.518571428571428E-2</v>
      </c>
      <c r="AI41" s="15">
        <f t="shared" si="36"/>
        <v>0.25597670106041903</v>
      </c>
      <c r="AJ41" s="15">
        <f t="shared" si="15"/>
        <v>1.4965653529298053</v>
      </c>
      <c r="AK41" s="15">
        <f>(1+AJ41)/(1+MAX(AJ$2:AJ41))-1</f>
        <v>0</v>
      </c>
      <c r="AL41" s="58">
        <f t="shared" si="16"/>
        <v>2496.5653529298042</v>
      </c>
      <c r="AM41" s="59"/>
      <c r="AN41" s="12" t="s">
        <v>86</v>
      </c>
      <c r="AO41" s="60">
        <v>2945.83</v>
      </c>
      <c r="AP41" s="14">
        <f t="shared" si="17"/>
        <v>3.9313434942139347E-2</v>
      </c>
      <c r="AQ41" s="15">
        <f t="shared" si="37"/>
        <v>0.17511219259229693</v>
      </c>
      <c r="AR41" s="15">
        <f t="shared" si="18"/>
        <v>0.51828124355749838</v>
      </c>
      <c r="AS41" s="13">
        <f>(1+AR41)/(1+MAX(AR$2:AR41))-1</f>
        <v>0</v>
      </c>
      <c r="AT41" s="62"/>
    </row>
    <row r="42" spans="1:54" s="61" customFormat="1" outlineLevel="1" x14ac:dyDescent="0.3">
      <c r="A42" s="61" t="s">
        <v>663</v>
      </c>
      <c r="B42" s="55" t="str">
        <f t="shared" si="4"/>
        <v>2019-5</v>
      </c>
      <c r="C42" s="11">
        <v>43586</v>
      </c>
      <c r="D42" s="12" t="s">
        <v>36</v>
      </c>
      <c r="E42" s="14">
        <v>6.1999999999999998E-3</v>
      </c>
      <c r="F42" s="15">
        <f t="shared" si="32"/>
        <v>0.13512515056064389</v>
      </c>
      <c r="G42" s="15">
        <f t="shared" si="11"/>
        <v>2.2203750383740228E-3</v>
      </c>
      <c r="H42" s="13">
        <f>(1+G42)/(1+MAX(G$2:G42))-1</f>
        <v>-3.8988226532616466E-2</v>
      </c>
      <c r="I42" s="12" t="s">
        <v>56</v>
      </c>
      <c r="J42" s="16">
        <v>1.7100000000000001E-2</v>
      </c>
      <c r="K42" s="17" t="s">
        <v>54</v>
      </c>
      <c r="L42" s="16">
        <v>-3.0000000000000001E-3</v>
      </c>
      <c r="M42" s="14">
        <f t="shared" si="0"/>
        <v>7.0500000000000007E-3</v>
      </c>
      <c r="N42" s="15">
        <f t="shared" si="33"/>
        <v>0.14537058090156574</v>
      </c>
      <c r="O42" s="15">
        <f t="shared" si="12"/>
        <v>0.33457147655674668</v>
      </c>
      <c r="P42" s="13">
        <f>(1+O42)/(1+MAX(O$2:O42))-1</f>
        <v>-2.9586221109525246E-2</v>
      </c>
      <c r="Q42" s="18" t="s">
        <v>52</v>
      </c>
      <c r="R42" s="16">
        <v>-3.0999999999999999E-3</v>
      </c>
      <c r="S42" s="56" t="s">
        <v>57</v>
      </c>
      <c r="T42" s="16">
        <v>-3.61E-2</v>
      </c>
      <c r="U42" s="14">
        <f t="shared" si="1"/>
        <v>-1.9599999999999999E-2</v>
      </c>
      <c r="V42" s="15">
        <f t="shared" si="34"/>
        <v>0.3122292660568029</v>
      </c>
      <c r="W42" s="15">
        <f t="shared" si="13"/>
        <v>1.7010426229094833</v>
      </c>
      <c r="X42" s="13">
        <f>(1+W42)/(1+MAX(W$2:W42))-1</f>
        <v>-0.15485892213940966</v>
      </c>
      <c r="Y42" s="18" t="s">
        <v>617</v>
      </c>
      <c r="Z42" s="16">
        <v>-2.98E-2</v>
      </c>
      <c r="AA42" s="57" t="s">
        <v>49</v>
      </c>
      <c r="AB42" s="16">
        <v>-0.1013</v>
      </c>
      <c r="AC42" s="14">
        <f t="shared" si="2"/>
        <v>-6.5549999999999997E-2</v>
      </c>
      <c r="AD42" s="15">
        <f t="shared" si="35"/>
        <v>0.25574006593028931</v>
      </c>
      <c r="AE42" s="15">
        <f t="shared" si="14"/>
        <v>3.9608277702811776</v>
      </c>
      <c r="AF42" s="13">
        <f>(1+AE42)/(1+MAX(AE$2:AE42))-1</f>
        <v>-8.4578915531999921E-2</v>
      </c>
      <c r="AG42" s="19"/>
      <c r="AH42" s="20">
        <f t="shared" si="31"/>
        <v>-2.1428571428571429E-2</v>
      </c>
      <c r="AI42" s="15">
        <f t="shared" si="36"/>
        <v>0.22906291460912431</v>
      </c>
      <c r="AJ42" s="15">
        <f t="shared" si="15"/>
        <v>1.4430675239384523</v>
      </c>
      <c r="AK42" s="15">
        <f>(1+AJ42)/(1+MAX(AJ$2:AJ42))-1</f>
        <v>-2.1428571428571463E-2</v>
      </c>
      <c r="AL42" s="58">
        <f t="shared" si="16"/>
        <v>2443.0675239384514</v>
      </c>
      <c r="AM42" s="59"/>
      <c r="AN42" s="12" t="s">
        <v>86</v>
      </c>
      <c r="AO42" s="60">
        <v>2752.06</v>
      </c>
      <c r="AP42" s="14">
        <f t="shared" si="17"/>
        <v>-6.5777726481161536E-2</v>
      </c>
      <c r="AQ42" s="15">
        <f t="shared" si="37"/>
        <v>9.7815984203282857E-2</v>
      </c>
      <c r="AR42" s="15">
        <f t="shared" si="18"/>
        <v>0.41841215519729547</v>
      </c>
      <c r="AS42" s="13">
        <f>(1+AR42)/(1+MAX(AR$2:AR42))-1</f>
        <v>-6.5777726481161536E-2</v>
      </c>
      <c r="AT42" s="62"/>
      <c r="AY42" s="62"/>
      <c r="AZ42" s="62"/>
      <c r="BA42" s="62"/>
      <c r="BB42" s="62"/>
    </row>
    <row r="43" spans="1:54" s="61" customFormat="1" outlineLevel="1" x14ac:dyDescent="0.3">
      <c r="A43" s="61" t="s">
        <v>663</v>
      </c>
      <c r="B43" s="55" t="str">
        <f t="shared" si="4"/>
        <v>2019-6</v>
      </c>
      <c r="C43" s="11">
        <v>43617</v>
      </c>
      <c r="D43" s="12" t="s">
        <v>36</v>
      </c>
      <c r="E43" s="14">
        <v>-6.0000000000000001E-3</v>
      </c>
      <c r="F43" s="15">
        <f t="shared" si="32"/>
        <v>0.12831439965727998</v>
      </c>
      <c r="G43" s="15">
        <f t="shared" si="11"/>
        <v>-3.7929472118561902E-3</v>
      </c>
      <c r="H43" s="13">
        <f>(1+G43)/(1+MAX(G$2:G43))-1</f>
        <v>-4.4754297173420721E-2</v>
      </c>
      <c r="I43" s="12" t="s">
        <v>56</v>
      </c>
      <c r="J43" s="16">
        <v>-5.4000000000000003E-3</v>
      </c>
      <c r="K43" s="17" t="s">
        <v>54</v>
      </c>
      <c r="L43" s="16">
        <v>9.9000000000000008E-3</v>
      </c>
      <c r="M43" s="14">
        <f t="shared" si="0"/>
        <v>2.2500000000000003E-3</v>
      </c>
      <c r="N43" s="15">
        <f t="shared" si="33"/>
        <v>0.14794766470859444</v>
      </c>
      <c r="O43" s="15">
        <f t="shared" si="12"/>
        <v>0.33757426237899946</v>
      </c>
      <c r="P43" s="13">
        <f>(1+O43)/(1+MAX(O$2:O43))-1</f>
        <v>-2.7402790107021624E-2</v>
      </c>
      <c r="Q43" s="18" t="s">
        <v>57</v>
      </c>
      <c r="R43" s="16">
        <v>8.6900000000000005E-2</v>
      </c>
      <c r="S43" s="56" t="s">
        <v>630</v>
      </c>
      <c r="T43" s="16">
        <v>4.9500000000000002E-2</v>
      </c>
      <c r="U43" s="14">
        <f t="shared" si="1"/>
        <v>6.8200000000000011E-2</v>
      </c>
      <c r="V43" s="15">
        <f t="shared" si="34"/>
        <v>0.40172330200187689</v>
      </c>
      <c r="W43" s="15">
        <f t="shared" si="13"/>
        <v>1.8852537297919101</v>
      </c>
      <c r="X43" s="13">
        <f>(1+W43)/(1+MAX(W$2:W43))-1</f>
        <v>-9.7220300629317413E-2</v>
      </c>
      <c r="Y43" s="18" t="s">
        <v>617</v>
      </c>
      <c r="Z43" s="16">
        <v>0.1119</v>
      </c>
      <c r="AA43" s="57" t="s">
        <v>55</v>
      </c>
      <c r="AB43" s="16">
        <v>9.6799999999999997E-2</v>
      </c>
      <c r="AC43" s="14">
        <f t="shared" si="2"/>
        <v>0.10435</v>
      </c>
      <c r="AD43" s="15">
        <f t="shared" si="35"/>
        <v>0.386776541810115</v>
      </c>
      <c r="AE43" s="15">
        <f t="shared" si="14"/>
        <v>4.4784901481100183</v>
      </c>
      <c r="AF43" s="13">
        <f>(1+AE43)/(1+MAX(AE$2:AE43))-1</f>
        <v>0</v>
      </c>
      <c r="AG43" s="19"/>
      <c r="AH43" s="20">
        <f t="shared" si="31"/>
        <v>4.9085714285714288E-2</v>
      </c>
      <c r="AI43" s="15">
        <f t="shared" si="36"/>
        <v>0.2893923456747951</v>
      </c>
      <c r="AJ43" s="15">
        <f t="shared" si="15"/>
        <v>1.5629872383992027</v>
      </c>
      <c r="AK43" s="15">
        <f>(1+AJ43)/(1+MAX(AJ$2:AJ43))-1</f>
        <v>0</v>
      </c>
      <c r="AL43" s="58">
        <f t="shared" si="16"/>
        <v>2562.9872383992019</v>
      </c>
      <c r="AM43" s="59"/>
      <c r="AN43" s="12" t="s">
        <v>86</v>
      </c>
      <c r="AO43" s="60">
        <v>2941.76</v>
      </c>
      <c r="AP43" s="14">
        <f t="shared" si="17"/>
        <v>6.8930183208214979E-2</v>
      </c>
      <c r="AQ43" s="15">
        <f t="shared" si="37"/>
        <v>0.17348864112332207</v>
      </c>
      <c r="AR43" s="15">
        <f t="shared" si="18"/>
        <v>0.51618356491980411</v>
      </c>
      <c r="AS43" s="13">
        <f>(1+AR43)/(1+MAX(AR$2:AR43))-1</f>
        <v>-1.3816140103128927E-3</v>
      </c>
      <c r="AT43" s="62"/>
      <c r="AY43" s="62"/>
      <c r="AZ43" s="62"/>
      <c r="BA43" s="62"/>
      <c r="BB43" s="62"/>
    </row>
    <row r="44" spans="1:54" s="61" customFormat="1" outlineLevel="1" x14ac:dyDescent="0.3">
      <c r="A44" s="61" t="s">
        <v>663</v>
      </c>
      <c r="B44" s="55" t="str">
        <f t="shared" si="4"/>
        <v>2019-7</v>
      </c>
      <c r="C44" s="11">
        <v>43647</v>
      </c>
      <c r="D44" s="12" t="s">
        <v>36</v>
      </c>
      <c r="E44" s="14">
        <v>3.6600000000000001E-2</v>
      </c>
      <c r="F44" s="15">
        <f t="shared" si="32"/>
        <v>0.16961070668473632</v>
      </c>
      <c r="G44" s="15">
        <f t="shared" si="11"/>
        <v>3.2668230920189778E-2</v>
      </c>
      <c r="H44" s="13">
        <f>(1+G44)/(1+MAX(G$2:G44))-1</f>
        <v>-9.7923044499680367E-3</v>
      </c>
      <c r="I44" s="12" t="s">
        <v>56</v>
      </c>
      <c r="J44" s="16">
        <v>3.6999999999999998E-2</v>
      </c>
      <c r="K44" s="17" t="s">
        <v>54</v>
      </c>
      <c r="L44" s="16">
        <v>1.7899999999999999E-2</v>
      </c>
      <c r="M44" s="14">
        <f t="shared" si="0"/>
        <v>2.7449999999999999E-2</v>
      </c>
      <c r="N44" s="15">
        <f t="shared" si="33"/>
        <v>0.17945882810484526</v>
      </c>
      <c r="O44" s="15">
        <f t="shared" si="12"/>
        <v>0.37429067588130294</v>
      </c>
      <c r="P44" s="13">
        <f>(1+O44)/(1+MAX(O$2:O44))-1</f>
        <v>-7.0499669545942556E-4</v>
      </c>
      <c r="Q44" s="18" t="s">
        <v>57</v>
      </c>
      <c r="R44" s="16">
        <v>0.10639999999999999</v>
      </c>
      <c r="S44" s="56" t="s">
        <v>630</v>
      </c>
      <c r="T44" s="16">
        <v>3.5299999999999998E-2</v>
      </c>
      <c r="U44" s="14">
        <f t="shared" si="1"/>
        <v>7.0849999999999996E-2</v>
      </c>
      <c r="V44" s="15">
        <f t="shared" si="34"/>
        <v>0.50103539794870988</v>
      </c>
      <c r="W44" s="15">
        <f t="shared" si="13"/>
        <v>2.0896739565476672</v>
      </c>
      <c r="X44" s="13">
        <f>(1+W44)/(1+MAX(W$2:W44))-1</f>
        <v>-3.3258358928904386E-2</v>
      </c>
      <c r="Y44" s="18" t="s">
        <v>617</v>
      </c>
      <c r="Z44" s="16">
        <v>3.1699999999999999E-2</v>
      </c>
      <c r="AA44" s="57" t="s">
        <v>55</v>
      </c>
      <c r="AB44" s="16">
        <v>1.29E-2</v>
      </c>
      <c r="AC44" s="14">
        <f t="shared" si="2"/>
        <v>2.23E-2</v>
      </c>
      <c r="AD44" s="15">
        <f t="shared" si="35"/>
        <v>0.41770165869248066</v>
      </c>
      <c r="AE44" s="15">
        <f t="shared" si="14"/>
        <v>4.6006604784128715</v>
      </c>
      <c r="AF44" s="13">
        <f>(1+AE44)/(1+MAX(AE$2:AE44))-1</f>
        <v>0</v>
      </c>
      <c r="AG44" s="19"/>
      <c r="AH44" s="20">
        <f t="shared" si="31"/>
        <v>3.9685714285714283E-2</v>
      </c>
      <c r="AI44" s="15">
        <f t="shared" si="36"/>
        <v>0.34056280190743204</v>
      </c>
      <c r="AJ44" s="15">
        <f t="shared" si="15"/>
        <v>1.6647012176602454</v>
      </c>
      <c r="AK44" s="15">
        <f>(1+AJ44)/(1+MAX(AJ$2:AJ44))-1</f>
        <v>0</v>
      </c>
      <c r="AL44" s="58">
        <f t="shared" si="16"/>
        <v>2664.7012176602448</v>
      </c>
      <c r="AM44" s="59"/>
      <c r="AN44" s="12" t="s">
        <v>86</v>
      </c>
      <c r="AO44" s="60">
        <v>2980.38</v>
      </c>
      <c r="AP44" s="14">
        <f t="shared" si="17"/>
        <v>1.3128195366039375E-2</v>
      </c>
      <c r="AQ44" s="15">
        <f t="shared" si="37"/>
        <v>0.18889442926381705</v>
      </c>
      <c r="AR44" s="15">
        <f t="shared" si="18"/>
        <v>0.53608831897084941</v>
      </c>
      <c r="AS44" s="13">
        <f>(1+AR44)/(1+MAX(AR$2:AR44))-1</f>
        <v>0</v>
      </c>
      <c r="AT44" s="62"/>
      <c r="AY44" s="62"/>
      <c r="AZ44" s="62"/>
      <c r="BA44" s="62"/>
      <c r="BB44" s="62"/>
    </row>
    <row r="45" spans="1:54" s="61" customFormat="1" outlineLevel="1" x14ac:dyDescent="0.3">
      <c r="A45" s="61" t="s">
        <v>663</v>
      </c>
      <c r="B45" s="55" t="str">
        <f t="shared" si="4"/>
        <v>2019-8</v>
      </c>
      <c r="C45" s="11">
        <v>43678</v>
      </c>
      <c r="D45" s="12" t="s">
        <v>36</v>
      </c>
      <c r="E45" s="14">
        <v>4.65E-2</v>
      </c>
      <c r="F45" s="15">
        <f t="shared" si="32"/>
        <v>0.22399760454557649</v>
      </c>
      <c r="G45" s="15">
        <f t="shared" si="11"/>
        <v>8.0687303657978493E-2</v>
      </c>
      <c r="H45" s="13">
        <f>(1+G45)/(1+MAX(G$2:G45))-1</f>
        <v>0</v>
      </c>
      <c r="I45" s="12" t="s">
        <v>56</v>
      </c>
      <c r="J45" s="16">
        <v>5.7200000000000001E-2</v>
      </c>
      <c r="K45" s="17" t="s">
        <v>54</v>
      </c>
      <c r="L45" s="16">
        <v>0.06</v>
      </c>
      <c r="M45" s="14">
        <f t="shared" si="0"/>
        <v>5.8599999999999999E-2</v>
      </c>
      <c r="N45" s="15">
        <f t="shared" si="33"/>
        <v>0.24857511543178923</v>
      </c>
      <c r="O45" s="15">
        <f t="shared" si="12"/>
        <v>0.45482410948794727</v>
      </c>
      <c r="P45" s="13">
        <f>(1+O45)/(1+MAX(O$2:O45))-1</f>
        <v>0</v>
      </c>
      <c r="Q45" s="18" t="s">
        <v>57</v>
      </c>
      <c r="R45" s="16">
        <v>6.3100000000000003E-2</v>
      </c>
      <c r="S45" s="56" t="s">
        <v>630</v>
      </c>
      <c r="T45" s="16">
        <v>-3.49E-2</v>
      </c>
      <c r="U45" s="14">
        <f t="shared" si="1"/>
        <v>1.4100000000000001E-2</v>
      </c>
      <c r="V45" s="15">
        <f t="shared" si="34"/>
        <v>0.52219999705978659</v>
      </c>
      <c r="W45" s="15">
        <f t="shared" si="13"/>
        <v>2.1332383593349893</v>
      </c>
      <c r="X45" s="13">
        <f>(1+W45)/(1+MAX(W$2:W45))-1</f>
        <v>-1.9627301789801987E-2</v>
      </c>
      <c r="Y45" s="18" t="s">
        <v>617</v>
      </c>
      <c r="Z45" s="16">
        <v>-7.0000000000000007E-2</v>
      </c>
      <c r="AA45" s="57" t="s">
        <v>59</v>
      </c>
      <c r="AB45" s="16">
        <v>3.27E-2</v>
      </c>
      <c r="AC45" s="14">
        <f t="shared" si="2"/>
        <v>-1.8650000000000003E-2</v>
      </c>
      <c r="AD45" s="15">
        <f t="shared" si="35"/>
        <v>0.39126152275786574</v>
      </c>
      <c r="AE45" s="15">
        <f t="shared" si="14"/>
        <v>4.4962081604904709</v>
      </c>
      <c r="AF45" s="13">
        <f>(1+AE45)/(1+MAX(AE$2:AE45))-1</f>
        <v>-1.8650000000000055E-2</v>
      </c>
      <c r="AG45" s="19"/>
      <c r="AH45" s="20">
        <f t="shared" si="31"/>
        <v>2.2085714285714288E-2</v>
      </c>
      <c r="AI45" s="15">
        <f t="shared" si="36"/>
        <v>0.37017008893241621</v>
      </c>
      <c r="AJ45" s="15">
        <f t="shared" si="15"/>
        <v>1.7235530474102845</v>
      </c>
      <c r="AK45" s="15">
        <f>(1+AJ45)/(1+MAX(AJ$2:AJ45))-1</f>
        <v>0</v>
      </c>
      <c r="AL45" s="58">
        <f t="shared" si="16"/>
        <v>2723.5530474102839</v>
      </c>
      <c r="AM45" s="59"/>
      <c r="AN45" s="12" t="s">
        <v>86</v>
      </c>
      <c r="AO45" s="60">
        <v>2926.46</v>
      </c>
      <c r="AP45" s="14">
        <f t="shared" si="17"/>
        <v>-1.8091652742267761E-2</v>
      </c>
      <c r="AQ45" s="15">
        <f t="shared" si="37"/>
        <v>0.16738536410235949</v>
      </c>
      <c r="AR45" s="15">
        <f t="shared" si="18"/>
        <v>0.50829794252257487</v>
      </c>
      <c r="AS45" s="13">
        <f>(1+AR45)/(1+MAX(AR$2:AR45))-1</f>
        <v>-1.8091652742267872E-2</v>
      </c>
      <c r="AT45" s="62"/>
      <c r="AY45" s="62"/>
      <c r="AZ45" s="62"/>
      <c r="BA45" s="62"/>
      <c r="BB45" s="62"/>
    </row>
    <row r="46" spans="1:54" s="61" customFormat="1" outlineLevel="1" x14ac:dyDescent="0.3">
      <c r="A46" s="61" t="s">
        <v>663</v>
      </c>
      <c r="B46" s="55" t="str">
        <f t="shared" si="4"/>
        <v>2019-9</v>
      </c>
      <c r="C46" s="11">
        <v>43709</v>
      </c>
      <c r="D46" s="12" t="s">
        <v>35</v>
      </c>
      <c r="E46" s="14">
        <v>-2.3400000000000001E-2</v>
      </c>
      <c r="F46" s="15">
        <f t="shared" si="32"/>
        <v>0.19535606059920996</v>
      </c>
      <c r="G46" s="15">
        <f t="shared" si="11"/>
        <v>5.5399220752381906E-2</v>
      </c>
      <c r="H46" s="13">
        <f>(1+G46)/(1+MAX(G$2:G46))-1</f>
        <v>-2.3399999999999865E-2</v>
      </c>
      <c r="I46" s="12" t="s">
        <v>56</v>
      </c>
      <c r="J46" s="16">
        <v>2.1000000000000001E-2</v>
      </c>
      <c r="K46" s="17" t="s">
        <v>54</v>
      </c>
      <c r="L46" s="16">
        <v>5.3900000000000003E-2</v>
      </c>
      <c r="M46" s="14">
        <f t="shared" si="0"/>
        <v>3.7450000000000004E-2</v>
      </c>
      <c r="N46" s="15">
        <f t="shared" si="33"/>
        <v>0.29533425350470965</v>
      </c>
      <c r="O46" s="15">
        <f t="shared" si="12"/>
        <v>0.50930727238827078</v>
      </c>
      <c r="P46" s="13">
        <f>(1+O46)/(1+MAX(O$2:O46))-1</f>
        <v>0</v>
      </c>
      <c r="Q46" s="18" t="s">
        <v>57</v>
      </c>
      <c r="R46" s="16">
        <v>1.34E-2</v>
      </c>
      <c r="S46" s="56" t="s">
        <v>630</v>
      </c>
      <c r="T46" s="16">
        <v>-6.2799999999999995E-2</v>
      </c>
      <c r="U46" s="14">
        <f t="shared" si="1"/>
        <v>-2.4699999999999996E-2</v>
      </c>
      <c r="V46" s="15">
        <f t="shared" si="34"/>
        <v>0.48460165713240988</v>
      </c>
      <c r="W46" s="15">
        <f t="shared" si="13"/>
        <v>2.0558473718594152</v>
      </c>
      <c r="X46" s="13">
        <f>(1+W46)/(1+MAX(W$2:W46))-1</f>
        <v>-4.3842507435593814E-2</v>
      </c>
      <c r="Y46" s="18" t="s">
        <v>617</v>
      </c>
      <c r="Z46" s="16">
        <v>-0.1193</v>
      </c>
      <c r="AA46" s="57" t="s">
        <v>59</v>
      </c>
      <c r="AB46" s="16">
        <v>0.1052</v>
      </c>
      <c r="AC46" s="14">
        <f t="shared" si="2"/>
        <v>-7.0500000000000007E-3</v>
      </c>
      <c r="AD46" s="15">
        <f t="shared" si="35"/>
        <v>0.38145312902242279</v>
      </c>
      <c r="AE46" s="15">
        <f t="shared" si="14"/>
        <v>4.4574598929590135</v>
      </c>
      <c r="AF46" s="13">
        <f>(1+AE46)/(1+MAX(AE$2:AE46))-1</f>
        <v>-2.5568517499999999E-2</v>
      </c>
      <c r="AG46" s="19"/>
      <c r="AH46" s="20">
        <f t="shared" si="31"/>
        <v>-1.7142857142857129E-3</v>
      </c>
      <c r="AI46" s="15">
        <f t="shared" si="36"/>
        <v>0.36782122592281774</v>
      </c>
      <c r="AJ46" s="15">
        <f t="shared" si="15"/>
        <v>1.71888409932901</v>
      </c>
      <c r="AK46" s="15">
        <f>(1+AJ46)/(1+MAX(AJ$2:AJ46))-1</f>
        <v>-1.7142857142855572E-3</v>
      </c>
      <c r="AL46" s="58">
        <f t="shared" si="16"/>
        <v>2718.8840993290091</v>
      </c>
      <c r="AM46" s="59"/>
      <c r="AN46" s="12" t="s">
        <v>86</v>
      </c>
      <c r="AO46" s="60">
        <v>2976.74</v>
      </c>
      <c r="AP46" s="14">
        <f t="shared" si="17"/>
        <v>1.7181167690656807E-2</v>
      </c>
      <c r="AQ46" s="15">
        <f t="shared" si="37"/>
        <v>0.18744240780262067</v>
      </c>
      <c r="AR46" s="15">
        <f t="shared" si="18"/>
        <v>0.53421226240052788</v>
      </c>
      <c r="AS46" s="13">
        <f>(1+AR46)/(1+MAX(AR$2:AR46))-1</f>
        <v>-1.2213207711770924E-3</v>
      </c>
      <c r="AT46" s="62"/>
      <c r="AY46" s="62"/>
    </row>
    <row r="47" spans="1:54" s="61" customFormat="1" outlineLevel="1" x14ac:dyDescent="0.3">
      <c r="A47" s="61" t="s">
        <v>663</v>
      </c>
      <c r="B47" s="55" t="str">
        <f t="shared" si="4"/>
        <v>2019-10</v>
      </c>
      <c r="C47" s="11">
        <v>43739</v>
      </c>
      <c r="D47" s="12" t="s">
        <v>35</v>
      </c>
      <c r="E47" s="14">
        <v>6.1999999999999998E-3</v>
      </c>
      <c r="F47" s="15">
        <f t="shared" si="32"/>
        <v>0.20276726817492507</v>
      </c>
      <c r="G47" s="15">
        <f t="shared" si="11"/>
        <v>6.1942695921046731E-2</v>
      </c>
      <c r="H47" s="13">
        <f>(1+G47)/(1+MAX(G$2:G47))-1</f>
        <v>-1.7345079999999791E-2</v>
      </c>
      <c r="I47" s="12" t="s">
        <v>56</v>
      </c>
      <c r="J47" s="16">
        <v>-1.9199999999999998E-2</v>
      </c>
      <c r="K47" s="17" t="s">
        <v>54</v>
      </c>
      <c r="L47" s="16">
        <v>-2.64E-2</v>
      </c>
      <c r="M47" s="14">
        <f t="shared" si="0"/>
        <v>-2.2800000000000001E-2</v>
      </c>
      <c r="N47" s="15">
        <f t="shared" si="33"/>
        <v>0.26580063252480213</v>
      </c>
      <c r="O47" s="15">
        <f t="shared" si="12"/>
        <v>0.47489506657781821</v>
      </c>
      <c r="P47" s="13">
        <f>(1+O47)/(1+MAX(O$2:O47))-1</f>
        <v>-2.2800000000000042E-2</v>
      </c>
      <c r="Q47" s="18" t="s">
        <v>57</v>
      </c>
      <c r="R47" s="16">
        <v>-9.1700000000000004E-2</v>
      </c>
      <c r="S47" s="56" t="s">
        <v>630</v>
      </c>
      <c r="T47" s="16">
        <v>-7.1900000000000006E-2</v>
      </c>
      <c r="U47" s="14">
        <f t="shared" si="1"/>
        <v>-8.1800000000000012E-2</v>
      </c>
      <c r="V47" s="15">
        <f t="shared" si="34"/>
        <v>0.36316124157897867</v>
      </c>
      <c r="W47" s="15">
        <f t="shared" si="13"/>
        <v>1.8058790568413152</v>
      </c>
      <c r="X47" s="13">
        <f>(1+W47)/(1+MAX(W$2:W47))-1</f>
        <v>-0.12205619032736215</v>
      </c>
      <c r="Y47" s="18" t="s">
        <v>59</v>
      </c>
      <c r="Z47" s="16">
        <v>6.6100000000000006E-2</v>
      </c>
      <c r="AA47" s="57" t="s">
        <v>58</v>
      </c>
      <c r="AB47" s="16">
        <v>8.9899999999999994E-2</v>
      </c>
      <c r="AC47" s="14">
        <f t="shared" si="2"/>
        <v>7.8E-2</v>
      </c>
      <c r="AD47" s="15">
        <f t="shared" si="35"/>
        <v>0.48920647308617182</v>
      </c>
      <c r="AE47" s="15">
        <f t="shared" si="14"/>
        <v>4.8831417646098165</v>
      </c>
      <c r="AF47" s="13">
        <f>(1+AE47)/(1+MAX(AE$2:AE47))-1</f>
        <v>0</v>
      </c>
      <c r="AG47" s="21"/>
      <c r="AH47" s="20">
        <f t="shared" si="31"/>
        <v>-6.714285714285716E-3</v>
      </c>
      <c r="AI47" s="15">
        <f t="shared" si="36"/>
        <v>0.3586372834059075</v>
      </c>
      <c r="AJ47" s="15">
        <f t="shared" si="15"/>
        <v>1.7006287346620867</v>
      </c>
      <c r="AK47" s="15">
        <f>(1+AJ47)/(1+MAX(AJ$2:AJ47))-1</f>
        <v>-8.417061224489597E-3</v>
      </c>
      <c r="AL47" s="58">
        <f t="shared" si="16"/>
        <v>2700.6287346620861</v>
      </c>
      <c r="AM47" s="59"/>
      <c r="AN47" s="12" t="s">
        <v>86</v>
      </c>
      <c r="AO47" s="60">
        <v>3037.56</v>
      </c>
      <c r="AP47" s="14">
        <f t="shared" si="17"/>
        <v>2.0431747482144935E-2</v>
      </c>
      <c r="AQ47" s="15">
        <f t="shared" si="37"/>
        <v>0.21170393122843389</v>
      </c>
      <c r="AR47" s="15">
        <f t="shared" si="18"/>
        <v>0.56555889992990571</v>
      </c>
      <c r="AS47" s="13">
        <f>(1+AR47)/(1+MAX(AR$2:AR47))-1</f>
        <v>0</v>
      </c>
      <c r="AT47" s="62"/>
    </row>
    <row r="48" spans="1:54" s="61" customFormat="1" outlineLevel="1" x14ac:dyDescent="0.3">
      <c r="A48" s="61" t="s">
        <v>663</v>
      </c>
      <c r="B48" s="55" t="str">
        <f t="shared" si="4"/>
        <v>2019-11</v>
      </c>
      <c r="C48" s="11">
        <v>43770</v>
      </c>
      <c r="D48" s="12" t="s">
        <v>35</v>
      </c>
      <c r="E48" s="14">
        <v>-1.95E-2</v>
      </c>
      <c r="F48" s="15">
        <f t="shared" si="32"/>
        <v>0.17931330644551413</v>
      </c>
      <c r="G48" s="15">
        <f t="shared" si="11"/>
        <v>4.123481335058643E-2</v>
      </c>
      <c r="H48" s="13">
        <f>(1+G48)/(1+MAX(G$2:G48))-1</f>
        <v>-3.6506850939999724E-2</v>
      </c>
      <c r="I48" s="12" t="s">
        <v>56</v>
      </c>
      <c r="J48" s="16">
        <v>-4.5999999999999999E-3</v>
      </c>
      <c r="K48" s="17" t="s">
        <v>54</v>
      </c>
      <c r="L48" s="16">
        <v>-6.0000000000000001E-3</v>
      </c>
      <c r="M48" s="14">
        <f t="shared" si="0"/>
        <v>-5.3E-3</v>
      </c>
      <c r="N48" s="15">
        <f t="shared" si="33"/>
        <v>0.25909188917242076</v>
      </c>
      <c r="O48" s="15">
        <f t="shared" si="12"/>
        <v>0.46707812272495586</v>
      </c>
      <c r="P48" s="13">
        <f>(1+O48)/(1+MAX(O$2:O48))-1</f>
        <v>-2.7979159999999892E-2</v>
      </c>
      <c r="Q48" s="18" t="s">
        <v>57</v>
      </c>
      <c r="R48" s="16">
        <v>5.9499999999999997E-2</v>
      </c>
      <c r="S48" s="56" t="s">
        <v>630</v>
      </c>
      <c r="T48" s="16">
        <v>0.12770000000000001</v>
      </c>
      <c r="U48" s="14">
        <f t="shared" si="1"/>
        <v>9.3600000000000003E-2</v>
      </c>
      <c r="V48" s="15">
        <f t="shared" si="34"/>
        <v>0.4907531337907709</v>
      </c>
      <c r="W48" s="15">
        <f t="shared" si="13"/>
        <v>2.0685093365616622</v>
      </c>
      <c r="X48" s="13">
        <f>(1+W48)/(1+MAX(W$2:W48))-1</f>
        <v>-3.9880649742003338E-2</v>
      </c>
      <c r="Y48" s="18" t="s">
        <v>59</v>
      </c>
      <c r="Z48" s="16">
        <v>0.1323</v>
      </c>
      <c r="AA48" s="57" t="s">
        <v>58</v>
      </c>
      <c r="AB48" s="16">
        <v>9.7999999999999997E-3</v>
      </c>
      <c r="AC48" s="14">
        <f t="shared" si="2"/>
        <v>7.1050000000000002E-2</v>
      </c>
      <c r="AD48" s="15">
        <f t="shared" si="35"/>
        <v>0.59501459299894432</v>
      </c>
      <c r="AE48" s="15">
        <f t="shared" si="14"/>
        <v>5.301138986985344</v>
      </c>
      <c r="AF48" s="13">
        <f>(1+AE48)/(1+MAX(AE$2:AE48))-1</f>
        <v>0</v>
      </c>
      <c r="AG48" s="21"/>
      <c r="AH48" s="20">
        <f t="shared" si="31"/>
        <v>4.2742857142857145E-2</v>
      </c>
      <c r="AI48" s="15">
        <f t="shared" si="36"/>
        <v>0.4167093227194858</v>
      </c>
      <c r="AJ48" s="15">
        <f t="shared" si="15"/>
        <v>1.8160613228636433</v>
      </c>
      <c r="AK48" s="15">
        <f>(1+AJ48)/(1+MAX(AJ$2:AJ48))-1</f>
        <v>0</v>
      </c>
      <c r="AL48" s="58">
        <f t="shared" si="16"/>
        <v>2816.061322863643</v>
      </c>
      <c r="AM48" s="59"/>
      <c r="AN48" s="12" t="s">
        <v>86</v>
      </c>
      <c r="AO48" s="60">
        <v>3140.98</v>
      </c>
      <c r="AP48" s="14">
        <f t="shared" si="17"/>
        <v>3.404706409091518E-2</v>
      </c>
      <c r="AQ48" s="15">
        <f t="shared" si="37"/>
        <v>0.25295889263418236</v>
      </c>
      <c r="AR48" s="15">
        <f t="shared" si="18"/>
        <v>0.61886158413392178</v>
      </c>
      <c r="AS48" s="13">
        <f>(1+AR48)/(1+MAX(AR$2:AR48))-1</f>
        <v>0</v>
      </c>
      <c r="AT48" s="62"/>
    </row>
    <row r="49" spans="1:54" s="27" customFormat="1" ht="15" thickBot="1" x14ac:dyDescent="0.35">
      <c r="A49" s="27" t="s">
        <v>663</v>
      </c>
      <c r="B49" s="63" t="str">
        <f t="shared" si="4"/>
        <v>2019-12</v>
      </c>
      <c r="C49" s="22">
        <v>43800</v>
      </c>
      <c r="D49" s="23" t="s">
        <v>35</v>
      </c>
      <c r="E49" s="24">
        <v>1.89E-2</v>
      </c>
      <c r="F49" s="25">
        <f t="shared" si="32"/>
        <v>0.20160232793733424</v>
      </c>
      <c r="G49" s="25">
        <f t="shared" si="11"/>
        <v>6.0914151322912335E-2</v>
      </c>
      <c r="H49" s="26">
        <f>(1+G49)/(1+MAX(G$2:G49))-1</f>
        <v>-1.8296830422765864E-2</v>
      </c>
      <c r="I49" s="23" t="s">
        <v>51</v>
      </c>
      <c r="J49" s="144">
        <v>2.5499999999999998E-2</v>
      </c>
      <c r="K49" s="28" t="s">
        <v>54</v>
      </c>
      <c r="L49" s="144">
        <v>1.5299999999999999E-2</v>
      </c>
      <c r="M49" s="24">
        <f t="shared" si="0"/>
        <v>2.0399999999999998E-2</v>
      </c>
      <c r="N49" s="25">
        <f t="shared" si="33"/>
        <v>0.28477736371153806</v>
      </c>
      <c r="O49" s="25">
        <f t="shared" si="12"/>
        <v>0.49700651642854488</v>
      </c>
      <c r="P49" s="26">
        <f>(1+O49)/(1+MAX(O$2:O49))-1</f>
        <v>-8.1499348639999525E-3</v>
      </c>
      <c r="Q49" s="29" t="s">
        <v>57</v>
      </c>
      <c r="R49" s="64">
        <v>1.15E-2</v>
      </c>
      <c r="S49" s="65" t="s">
        <v>631</v>
      </c>
      <c r="T49" s="30">
        <v>1.5299999999999999E-2</v>
      </c>
      <c r="U49" s="24">
        <f t="shared" si="1"/>
        <v>1.3399999999999999E-2</v>
      </c>
      <c r="V49" s="25">
        <f t="shared" si="34"/>
        <v>0.51072922578356739</v>
      </c>
      <c r="W49" s="25">
        <f t="shared" si="13"/>
        <v>2.1096273616715888</v>
      </c>
      <c r="X49" s="26">
        <f>(1+W49)/(1+MAX(W$2:W49))-1</f>
        <v>-2.701505044854613E-2</v>
      </c>
      <c r="Y49" s="29" t="s">
        <v>59</v>
      </c>
      <c r="Z49" s="30">
        <v>-7.9000000000000008E-3</v>
      </c>
      <c r="AA49" s="65" t="s">
        <v>58</v>
      </c>
      <c r="AB49" s="30">
        <v>-1.6199999999999999E-2</v>
      </c>
      <c r="AC49" s="24">
        <f t="shared" si="2"/>
        <v>-1.205E-2</v>
      </c>
      <c r="AD49" s="25">
        <f t="shared" si="35"/>
        <v>0.57579466715330696</v>
      </c>
      <c r="AE49" s="25">
        <f t="shared" si="14"/>
        <v>5.2252102621921708</v>
      </c>
      <c r="AF49" s="26">
        <f>(1+AE49)/(1+MAX(AE$2:AE49))-1</f>
        <v>-1.2050000000000005E-2</v>
      </c>
      <c r="AG49" s="31"/>
      <c r="AH49" s="32">
        <f t="shared" si="31"/>
        <v>8.9142857142857131E-3</v>
      </c>
      <c r="AI49" s="25">
        <f t="shared" si="36"/>
        <v>0.42933827439629946</v>
      </c>
      <c r="AJ49" s="25">
        <f t="shared" si="15"/>
        <v>1.8411644980845989</v>
      </c>
      <c r="AK49" s="25">
        <f>(1+AJ49)/(1+MAX(AJ$2:AJ49))-1</f>
        <v>0</v>
      </c>
      <c r="AL49" s="66">
        <f t="shared" si="16"/>
        <v>2841.1644980845986</v>
      </c>
      <c r="AM49" s="22"/>
      <c r="AN49" s="23" t="s">
        <v>86</v>
      </c>
      <c r="AO49" s="67">
        <v>3230.78</v>
      </c>
      <c r="AP49" s="24">
        <f t="shared" si="17"/>
        <v>2.8589803182446305E-2</v>
      </c>
      <c r="AQ49" s="25">
        <f t="shared" si="37"/>
        <v>0.28878074077028959</v>
      </c>
      <c r="AR49" s="25">
        <f t="shared" si="18"/>
        <v>0.66514451820393394</v>
      </c>
      <c r="AS49" s="26">
        <f>(1+AR49)/(1+MAX(AR$2:AR49))-1</f>
        <v>0</v>
      </c>
      <c r="AT49" s="68"/>
    </row>
    <row r="50" spans="1:54" s="54" customFormat="1" outlineLevel="1" x14ac:dyDescent="0.3">
      <c r="A50" s="54" t="s">
        <v>663</v>
      </c>
      <c r="B50" s="48" t="str">
        <f t="shared" si="4"/>
        <v>2020-1</v>
      </c>
      <c r="C50" s="1">
        <v>43831</v>
      </c>
      <c r="D50" s="2" t="s">
        <v>29</v>
      </c>
      <c r="E50" s="4">
        <v>4.6600000000000003E-2</v>
      </c>
      <c r="F50" s="5">
        <f>+E50</f>
        <v>4.6600000000000003E-2</v>
      </c>
      <c r="G50" s="5">
        <f t="shared" si="11"/>
        <v>0.11035275077456008</v>
      </c>
      <c r="H50" s="3">
        <f>(1+G50)/(1+MAX(G$2:G50))-1</f>
        <v>0</v>
      </c>
      <c r="I50" s="2" t="s">
        <v>51</v>
      </c>
      <c r="J50" s="6">
        <v>5.6300000000000003E-2</v>
      </c>
      <c r="K50" s="7" t="s">
        <v>54</v>
      </c>
      <c r="L50" s="6">
        <v>8.4199999999999997E-2</v>
      </c>
      <c r="M50" s="4">
        <f t="shared" si="0"/>
        <v>7.0250000000000007E-2</v>
      </c>
      <c r="N50" s="5">
        <f>+M50</f>
        <v>7.0250000000000007E-2</v>
      </c>
      <c r="O50" s="5">
        <f t="shared" si="12"/>
        <v>0.60217122420765001</v>
      </c>
      <c r="P50" s="3">
        <f>(1+O50)/(1+MAX(O$2:O50))-1</f>
        <v>0</v>
      </c>
      <c r="Q50" s="8" t="s">
        <v>60</v>
      </c>
      <c r="R50" s="6">
        <v>-5.11E-2</v>
      </c>
      <c r="S50" s="49" t="s">
        <v>62</v>
      </c>
      <c r="T50" s="6">
        <v>0.5796</v>
      </c>
      <c r="U50" s="4">
        <f t="shared" si="1"/>
        <v>0.26424999999999998</v>
      </c>
      <c r="V50" s="5">
        <f>+U50</f>
        <v>0.26424999999999998</v>
      </c>
      <c r="W50" s="5">
        <f t="shared" si="13"/>
        <v>2.9313463919933063</v>
      </c>
      <c r="X50" s="3">
        <f>(1+W50)/(1+MAX(W$2:W50))-1</f>
        <v>0</v>
      </c>
      <c r="Y50" s="8" t="s">
        <v>59</v>
      </c>
      <c r="Z50" s="6">
        <v>9.8900000000000002E-2</v>
      </c>
      <c r="AA50" s="50" t="s">
        <v>58</v>
      </c>
      <c r="AB50" s="6">
        <v>0.17069999999999999</v>
      </c>
      <c r="AC50" s="4">
        <f t="shared" si="2"/>
        <v>0.1348</v>
      </c>
      <c r="AD50" s="5">
        <f>+AC50</f>
        <v>0.1348</v>
      </c>
      <c r="AE50" s="5">
        <f t="shared" si="14"/>
        <v>6.0643686055356758</v>
      </c>
      <c r="AF50" s="3">
        <f>(1+AE50)/(1+MAX(AE$2:AE50))-1</f>
        <v>0</v>
      </c>
      <c r="AG50" s="9"/>
      <c r="AH50" s="10">
        <f t="shared" si="31"/>
        <v>0.14074285714285714</v>
      </c>
      <c r="AI50" s="5">
        <f>+AH50</f>
        <v>0.14074285714285714</v>
      </c>
      <c r="AJ50" s="5">
        <f t="shared" si="15"/>
        <v>2.2410381071578769</v>
      </c>
      <c r="AK50" s="5">
        <f>(1+AJ50)/(1+MAX(AJ$2:AJ50))-1</f>
        <v>0</v>
      </c>
      <c r="AL50" s="51">
        <f t="shared" si="16"/>
        <v>3241.0381071578763</v>
      </c>
      <c r="AM50" s="52"/>
      <c r="AN50" s="2" t="s">
        <v>86</v>
      </c>
      <c r="AO50" s="53">
        <v>3225.52</v>
      </c>
      <c r="AP50" s="4">
        <f t="shared" si="17"/>
        <v>-1.6280898111292741E-3</v>
      </c>
      <c r="AQ50" s="5">
        <f>+AP50</f>
        <v>-1.6280898111292741E-3</v>
      </c>
      <c r="AR50" s="5">
        <f t="shared" si="18"/>
        <v>0.66243351337978829</v>
      </c>
      <c r="AS50" s="3">
        <f>(1+AR50)/(1+MAX(AR$2:AR50))-1</f>
        <v>-1.6280898111292741E-3</v>
      </c>
    </row>
    <row r="51" spans="1:54" s="61" customFormat="1" outlineLevel="1" x14ac:dyDescent="0.3">
      <c r="A51" s="61" t="s">
        <v>663</v>
      </c>
      <c r="B51" s="55" t="str">
        <f t="shared" si="4"/>
        <v>2020-2</v>
      </c>
      <c r="C51" s="11">
        <v>43862</v>
      </c>
      <c r="D51" s="12" t="s">
        <v>29</v>
      </c>
      <c r="E51" s="14">
        <v>-5.7799999999999997E-2</v>
      </c>
      <c r="F51" s="15">
        <f t="shared" ref="F51:F61" si="38">+(1+E51)*(1+F50)-1</f>
        <v>-1.3893480000000014E-2</v>
      </c>
      <c r="G51" s="15">
        <f t="shared" si="11"/>
        <v>4.6174361779790507E-2</v>
      </c>
      <c r="H51" s="13">
        <f>(1+G51)/(1+MAX(G$2:G51))-1</f>
        <v>-5.7799999999999963E-2</v>
      </c>
      <c r="I51" s="12" t="s">
        <v>51</v>
      </c>
      <c r="J51" s="16">
        <v>-7.0300000000000001E-2</v>
      </c>
      <c r="K51" s="17" t="s">
        <v>54</v>
      </c>
      <c r="L51" s="16">
        <v>-9.6000000000000002E-2</v>
      </c>
      <c r="M51" s="14">
        <f t="shared" si="0"/>
        <v>-8.3150000000000002E-2</v>
      </c>
      <c r="N51" s="15">
        <f t="shared" ref="N51:N61" si="39">+(1+M51)*(1+N50)-1</f>
        <v>-1.8741287500000148E-2</v>
      </c>
      <c r="O51" s="15">
        <f t="shared" si="12"/>
        <v>0.46895068691478392</v>
      </c>
      <c r="P51" s="13">
        <f>(1+O51)/(1+MAX(O$2:O51))-1</f>
        <v>-8.3149999999999946E-2</v>
      </c>
      <c r="Q51" s="18" t="s">
        <v>52</v>
      </c>
      <c r="R51" s="16">
        <v>-2.9499999999999998E-2</v>
      </c>
      <c r="S51" s="56" t="s">
        <v>62</v>
      </c>
      <c r="T51" s="16">
        <v>2.98E-2</v>
      </c>
      <c r="U51" s="14">
        <f t="shared" si="1"/>
        <v>1.5000000000000083E-4</v>
      </c>
      <c r="V51" s="15">
        <f t="shared" ref="V51:V61" si="40">+(1+U51)*(1+V50)-1</f>
        <v>0.26443963750000021</v>
      </c>
      <c r="W51" s="15">
        <f t="shared" si="13"/>
        <v>2.9319360939521055</v>
      </c>
      <c r="X51" s="13">
        <f>(1+W51)/(1+MAX(W$2:W51))-1</f>
        <v>0</v>
      </c>
      <c r="Y51" s="18" t="s">
        <v>59</v>
      </c>
      <c r="Z51" s="16">
        <v>-4.6300000000000001E-2</v>
      </c>
      <c r="AA51" s="57" t="s">
        <v>58</v>
      </c>
      <c r="AB51" s="16">
        <v>-2.3400000000000001E-2</v>
      </c>
      <c r="AC51" s="14">
        <f t="shared" si="2"/>
        <v>-3.4849999999999999E-2</v>
      </c>
      <c r="AD51" s="15">
        <f t="shared" ref="AD51:AD61" si="41">+(1+AC51)*(1+AD50)-1</f>
        <v>9.5252219999999888E-2</v>
      </c>
      <c r="AE51" s="15">
        <f t="shared" si="14"/>
        <v>5.8181753596327574</v>
      </c>
      <c r="AF51" s="13">
        <f>(1+AE51)/(1+MAX(AE$2:AE51))-1</f>
        <v>-3.4850000000000048E-2</v>
      </c>
      <c r="AG51" s="19"/>
      <c r="AH51" s="20">
        <f t="shared" si="31"/>
        <v>-4.1928571428571426E-2</v>
      </c>
      <c r="AI51" s="15">
        <f t="shared" ref="AI51:AI61" si="42">+(1+AH51)*(1+AI50)-1</f>
        <v>9.2913138775510218E-2</v>
      </c>
      <c r="AJ51" s="15">
        <f t="shared" si="15"/>
        <v>2.1051460093791858</v>
      </c>
      <c r="AK51" s="15">
        <f>(1+AJ51)/(1+MAX(AJ$2:AJ51))-1</f>
        <v>-4.1928571428571426E-2</v>
      </c>
      <c r="AL51" s="58">
        <f t="shared" si="16"/>
        <v>3105.1460093791852</v>
      </c>
      <c r="AM51" s="59"/>
      <c r="AN51" s="12" t="s">
        <v>86</v>
      </c>
      <c r="AO51" s="60">
        <v>2954.22</v>
      </c>
      <c r="AP51" s="14">
        <f t="shared" si="17"/>
        <v>-8.4110469009648137E-2</v>
      </c>
      <c r="AQ51" s="15">
        <f t="shared" ref="AQ51:AQ61" si="43">+(1+AP51)*(1+AQ50)-1</f>
        <v>-8.5601619423173458E-2</v>
      </c>
      <c r="AR51" s="15">
        <f t="shared" si="18"/>
        <v>0.52260545087205723</v>
      </c>
      <c r="AS51" s="13">
        <f>(1+AR51)/(1+MAX(AR$2:AR51))-1</f>
        <v>-8.5601619423173458E-2</v>
      </c>
    </row>
    <row r="52" spans="1:54" s="61" customFormat="1" outlineLevel="1" x14ac:dyDescent="0.3">
      <c r="A52" s="61" t="s">
        <v>663</v>
      </c>
      <c r="B52" s="55" t="str">
        <f t="shared" si="4"/>
        <v>2020-3</v>
      </c>
      <c r="C52" s="11">
        <v>43891</v>
      </c>
      <c r="D52" s="12" t="s">
        <v>29</v>
      </c>
      <c r="E52" s="14">
        <v>-7.5700000000000003E-2</v>
      </c>
      <c r="F52" s="15">
        <f t="shared" si="38"/>
        <v>-8.8541743564000019E-2</v>
      </c>
      <c r="G52" s="15">
        <f t="shared" si="11"/>
        <v>-3.3021037406939624E-2</v>
      </c>
      <c r="H52" s="13">
        <f>(1+G52)/(1+MAX(G$2:G52))-1</f>
        <v>-0.12912453999999995</v>
      </c>
      <c r="I52" s="12" t="s">
        <v>51</v>
      </c>
      <c r="J52" s="16">
        <v>-8.8499999999999995E-2</v>
      </c>
      <c r="K52" s="17" t="s">
        <v>54</v>
      </c>
      <c r="L52" s="16">
        <v>-0.1027</v>
      </c>
      <c r="M52" s="14">
        <f t="shared" si="0"/>
        <v>-9.5599999999999991E-2</v>
      </c>
      <c r="N52" s="15">
        <f t="shared" si="39"/>
        <v>-0.11254962041500016</v>
      </c>
      <c r="O52" s="15">
        <f t="shared" si="12"/>
        <v>0.32851900124573064</v>
      </c>
      <c r="P52" s="13">
        <f>(1+O52)/(1+MAX(O$2:O52))-1</f>
        <v>-0.17080085999999994</v>
      </c>
      <c r="Q52" s="18" t="s">
        <v>52</v>
      </c>
      <c r="R52" s="16">
        <v>-3.0000000000000001E-3</v>
      </c>
      <c r="S52" s="56" t="s">
        <v>62</v>
      </c>
      <c r="T52" s="16">
        <v>-0.21790000000000001</v>
      </c>
      <c r="U52" s="14">
        <f t="shared" si="1"/>
        <v>-0.11045000000000001</v>
      </c>
      <c r="V52" s="15">
        <f t="shared" si="40"/>
        <v>0.12478227953812504</v>
      </c>
      <c r="W52" s="15">
        <f t="shared" si="13"/>
        <v>2.4976537523750952</v>
      </c>
      <c r="X52" s="13">
        <f>(1+W52)/(1+MAX(W$2:W52))-1</f>
        <v>-0.11045000000000005</v>
      </c>
      <c r="Y52" s="18" t="s">
        <v>59</v>
      </c>
      <c r="Z52" s="16">
        <v>-0.12970000000000001</v>
      </c>
      <c r="AA52" s="57" t="s">
        <v>58</v>
      </c>
      <c r="AB52" s="16">
        <v>-5.5199999999999999E-2</v>
      </c>
      <c r="AC52" s="14">
        <f t="shared" si="2"/>
        <v>-9.2450000000000004E-2</v>
      </c>
      <c r="AD52" s="15">
        <f t="shared" si="41"/>
        <v>-6.0038477390000899E-3</v>
      </c>
      <c r="AE52" s="15">
        <f t="shared" si="14"/>
        <v>5.1878350476347084</v>
      </c>
      <c r="AF52" s="13">
        <f>(1+AE52)/(1+MAX(AE$2:AE52))-1</f>
        <v>-0.12407811750000008</v>
      </c>
      <c r="AG52" s="19"/>
      <c r="AH52" s="20">
        <f t="shared" si="31"/>
        <v>-9.6100000000000005E-2</v>
      </c>
      <c r="AI52" s="15">
        <f t="shared" si="42"/>
        <v>-1.2115813860816282E-2</v>
      </c>
      <c r="AJ52" s="15">
        <f t="shared" si="15"/>
        <v>1.8067414778778463</v>
      </c>
      <c r="AK52" s="15">
        <f>(1+AJ52)/(1+MAX(AJ$2:AJ52))-1</f>
        <v>-0.13399923571428562</v>
      </c>
      <c r="AL52" s="58">
        <f t="shared" si="16"/>
        <v>2806.7414778778457</v>
      </c>
      <c r="AM52" s="59"/>
      <c r="AN52" s="12" t="s">
        <v>86</v>
      </c>
      <c r="AO52" s="60">
        <v>2584.59</v>
      </c>
      <c r="AP52" s="14">
        <f t="shared" si="17"/>
        <v>-0.12511932083595656</v>
      </c>
      <c r="AQ52" s="15">
        <f t="shared" si="43"/>
        <v>-0.2000105237744445</v>
      </c>
      <c r="AR52" s="15">
        <f t="shared" si="18"/>
        <v>0.33209809095781995</v>
      </c>
      <c r="AS52" s="13">
        <f>(1+AR52)/(1+MAX(AR$2:AR52))-1</f>
        <v>-0.20001052377444462</v>
      </c>
    </row>
    <row r="53" spans="1:54" s="61" customFormat="1" outlineLevel="1" x14ac:dyDescent="0.3">
      <c r="A53" s="61" t="s">
        <v>663</v>
      </c>
      <c r="B53" s="55" t="str">
        <f t="shared" si="4"/>
        <v>2020-4</v>
      </c>
      <c r="C53" s="11">
        <v>43922</v>
      </c>
      <c r="D53" s="12" t="s">
        <v>35</v>
      </c>
      <c r="E53" s="14">
        <v>8.77E-2</v>
      </c>
      <c r="F53" s="15">
        <f t="shared" si="38"/>
        <v>-8.6068544745628861E-3</v>
      </c>
      <c r="G53" s="15">
        <f t="shared" si="11"/>
        <v>5.1783017612471616E-2</v>
      </c>
      <c r="H53" s="13">
        <f>(1+G53)/(1+MAX(G$2:G53))-1</f>
        <v>-5.2748762158000173E-2</v>
      </c>
      <c r="I53" s="12" t="s">
        <v>51</v>
      </c>
      <c r="J53" s="16">
        <v>0.15340000000000001</v>
      </c>
      <c r="K53" s="17" t="s">
        <v>30</v>
      </c>
      <c r="L53" s="16">
        <v>0.14169999999999999</v>
      </c>
      <c r="M53" s="14">
        <f t="shared" si="0"/>
        <v>0.14755000000000001</v>
      </c>
      <c r="N53" s="15">
        <f t="shared" si="39"/>
        <v>1.8393683092766677E-2</v>
      </c>
      <c r="O53" s="15">
        <f t="shared" si="12"/>
        <v>0.52454197987953832</v>
      </c>
      <c r="P53" s="13">
        <f>(1+O53)/(1+MAX(O$2:O53))-1</f>
        <v>-4.8452526892999837E-2</v>
      </c>
      <c r="Q53" s="18" t="s">
        <v>52</v>
      </c>
      <c r="R53" s="16">
        <v>0.16819999999999999</v>
      </c>
      <c r="S53" s="56" t="s">
        <v>62</v>
      </c>
      <c r="T53" s="16">
        <v>0.51319999999999999</v>
      </c>
      <c r="U53" s="14">
        <f t="shared" si="1"/>
        <v>0.3407</v>
      </c>
      <c r="V53" s="15">
        <f t="shared" si="40"/>
        <v>0.5079956021767642</v>
      </c>
      <c r="W53" s="15">
        <f t="shared" si="13"/>
        <v>3.6893043858092902</v>
      </c>
      <c r="X53" s="13">
        <f>(1+W53)/(1+MAX(W$2:W53))-1</f>
        <v>0</v>
      </c>
      <c r="Y53" s="18" t="s">
        <v>59</v>
      </c>
      <c r="Z53" s="16">
        <v>9.9699999999999997E-2</v>
      </c>
      <c r="AA53" s="57" t="s">
        <v>49</v>
      </c>
      <c r="AB53" s="16">
        <v>0.2132</v>
      </c>
      <c r="AC53" s="14">
        <f t="shared" si="2"/>
        <v>0.15645000000000001</v>
      </c>
      <c r="AD53" s="15">
        <f t="shared" si="41"/>
        <v>0.14950685028223343</v>
      </c>
      <c r="AE53" s="15">
        <f t="shared" si="14"/>
        <v>6.1559218408371583</v>
      </c>
      <c r="AF53" s="13">
        <f>(1+AE53)/(1+MAX(AE$2:AE53))-1</f>
        <v>0</v>
      </c>
      <c r="AG53" s="19"/>
      <c r="AH53" s="20">
        <f t="shared" si="31"/>
        <v>0.19672857142857142</v>
      </c>
      <c r="AI53" s="15">
        <f t="shared" si="42"/>
        <v>0.18222923081522224</v>
      </c>
      <c r="AJ53" s="15">
        <f t="shared" si="15"/>
        <v>2.3589077191900722</v>
      </c>
      <c r="AK53" s="15">
        <f>(1+AJ53)/(1+MAX(AJ$2:AJ53))-1</f>
        <v>0</v>
      </c>
      <c r="AL53" s="58">
        <f t="shared" si="16"/>
        <v>3358.9077191900715</v>
      </c>
      <c r="AM53" s="59"/>
      <c r="AN53" s="12" t="s">
        <v>86</v>
      </c>
      <c r="AO53" s="60">
        <v>2912.43</v>
      </c>
      <c r="AP53" s="14">
        <f t="shared" si="17"/>
        <v>0.12684410293315374</v>
      </c>
      <c r="AQ53" s="15">
        <f t="shared" si="43"/>
        <v>-9.8536576306650359E-2</v>
      </c>
      <c r="AR53" s="15">
        <f t="shared" si="18"/>
        <v>0.50106687832433128</v>
      </c>
      <c r="AS53" s="13">
        <f>(1+AR53)/(1+MAX(AR$2:AR53))-1</f>
        <v>-9.853657630665047E-2</v>
      </c>
      <c r="AT53" s="62"/>
    </row>
    <row r="54" spans="1:54" s="61" customFormat="1" outlineLevel="1" x14ac:dyDescent="0.3">
      <c r="A54" s="61" t="s">
        <v>663</v>
      </c>
      <c r="B54" s="55" t="str">
        <f t="shared" si="4"/>
        <v>2020-5</v>
      </c>
      <c r="C54" s="11">
        <v>43952</v>
      </c>
      <c r="D54" s="12" t="s">
        <v>35</v>
      </c>
      <c r="E54" s="14">
        <v>7.1999999999999998E-3</v>
      </c>
      <c r="F54" s="15">
        <f t="shared" si="38"/>
        <v>-1.4688238267795972E-3</v>
      </c>
      <c r="G54" s="15">
        <f t="shared" si="11"/>
        <v>5.9355855339281449E-2</v>
      </c>
      <c r="H54" s="13">
        <f>(1+G54)/(1+MAX(G$2:G54))-1</f>
        <v>-4.5928553245537684E-2</v>
      </c>
      <c r="I54" s="12" t="s">
        <v>51</v>
      </c>
      <c r="J54" s="16">
        <v>5.2200000000000003E-2</v>
      </c>
      <c r="K54" s="17" t="s">
        <v>30</v>
      </c>
      <c r="L54" s="16">
        <v>1.41E-2</v>
      </c>
      <c r="M54" s="14">
        <f t="shared" si="0"/>
        <v>3.3149999999999999E-2</v>
      </c>
      <c r="N54" s="15">
        <f t="shared" si="39"/>
        <v>5.2153433687291972E-2</v>
      </c>
      <c r="O54" s="15">
        <f t="shared" si="12"/>
        <v>0.57508054651254503</v>
      </c>
      <c r="P54" s="13">
        <f>(1+O54)/(1+MAX(O$2:O54))-1</f>
        <v>-1.6908728159502839E-2</v>
      </c>
      <c r="Q54" s="18" t="s">
        <v>52</v>
      </c>
      <c r="R54" s="16">
        <v>8.2000000000000007E-3</v>
      </c>
      <c r="S54" s="56" t="s">
        <v>62</v>
      </c>
      <c r="T54" s="16">
        <v>4.8500000000000001E-2</v>
      </c>
      <c r="U54" s="14">
        <f t="shared" si="1"/>
        <v>2.835E-2</v>
      </c>
      <c r="V54" s="15">
        <f t="shared" si="40"/>
        <v>0.55074727749847563</v>
      </c>
      <c r="W54" s="15">
        <f t="shared" si="13"/>
        <v>3.8222461651469839</v>
      </c>
      <c r="X54" s="13">
        <f>(1+W54)/(1+MAX(W$2:W54))-1</f>
        <v>0</v>
      </c>
      <c r="Y54" s="18" t="s">
        <v>59</v>
      </c>
      <c r="Z54" s="16">
        <v>6.1100000000000002E-2</v>
      </c>
      <c r="AA54" s="57" t="s">
        <v>49</v>
      </c>
      <c r="AB54" s="16">
        <v>7.4200000000000002E-2</v>
      </c>
      <c r="AC54" s="14">
        <f t="shared" si="2"/>
        <v>6.7650000000000002E-2</v>
      </c>
      <c r="AD54" s="15">
        <f t="shared" si="41"/>
        <v>0.22727098870382645</v>
      </c>
      <c r="AE54" s="15">
        <f t="shared" si="14"/>
        <v>6.6400199533697917</v>
      </c>
      <c r="AF54" s="13">
        <f>(1+AE54)/(1+MAX(AE$2:AE54))-1</f>
        <v>0</v>
      </c>
      <c r="AG54" s="19"/>
      <c r="AH54" s="20">
        <f t="shared" si="31"/>
        <v>3.7928571428571423E-2</v>
      </c>
      <c r="AI54" s="15">
        <f t="shared" si="42"/>
        <v>0.22706949664114262</v>
      </c>
      <c r="AJ54" s="15">
        <f t="shared" si="15"/>
        <v>2.4863062905393534</v>
      </c>
      <c r="AK54" s="15">
        <f>(1+AJ54)/(1+MAX(AJ$2:AJ54))-1</f>
        <v>0</v>
      </c>
      <c r="AL54" s="58">
        <f t="shared" si="16"/>
        <v>3486.3062905393522</v>
      </c>
      <c r="AM54" s="59"/>
      <c r="AN54" s="12" t="s">
        <v>86</v>
      </c>
      <c r="AO54" s="60">
        <v>3044.31</v>
      </c>
      <c r="AP54" s="14">
        <f t="shared" si="17"/>
        <v>4.528177501261843E-2</v>
      </c>
      <c r="AQ54" s="15">
        <f t="shared" si="43"/>
        <v>-5.7716712372863355E-2</v>
      </c>
      <c r="AR54" s="15">
        <f t="shared" si="18"/>
        <v>0.56903785098750714</v>
      </c>
      <c r="AS54" s="13">
        <f>(1+AR54)/(1+MAX(AR$2:AR54))-1</f>
        <v>-5.7716712372863466E-2</v>
      </c>
      <c r="AT54" s="62"/>
      <c r="AY54" s="62"/>
      <c r="AZ54" s="62"/>
      <c r="BA54" s="62"/>
      <c r="BB54" s="62"/>
    </row>
    <row r="55" spans="1:54" s="61" customFormat="1" outlineLevel="1" x14ac:dyDescent="0.3">
      <c r="A55" s="61" t="s">
        <v>663</v>
      </c>
      <c r="B55" s="55" t="str">
        <f t="shared" si="4"/>
        <v>2020-6</v>
      </c>
      <c r="C55" s="11">
        <v>43983</v>
      </c>
      <c r="D55" s="12" t="s">
        <v>35</v>
      </c>
      <c r="E55" s="14">
        <v>1.2E-2</v>
      </c>
      <c r="F55" s="15">
        <f t="shared" si="38"/>
        <v>1.0513550287299056E-2</v>
      </c>
      <c r="G55" s="15">
        <f t="shared" si="11"/>
        <v>7.2068125603352851E-2</v>
      </c>
      <c r="H55" s="13">
        <f>(1+G55)/(1+MAX(G$2:G55))-1</f>
        <v>-3.4479695884484185E-2</v>
      </c>
      <c r="I55" s="12" t="s">
        <v>51</v>
      </c>
      <c r="J55" s="16">
        <v>5.3499999999999999E-2</v>
      </c>
      <c r="K55" s="17" t="s">
        <v>30</v>
      </c>
      <c r="L55" s="16">
        <v>-3.9E-2</v>
      </c>
      <c r="M55" s="14">
        <f t="shared" si="0"/>
        <v>7.2499999999999995E-3</v>
      </c>
      <c r="N55" s="15">
        <f t="shared" si="39"/>
        <v>5.978154608152475E-2</v>
      </c>
      <c r="O55" s="15">
        <f t="shared" si="12"/>
        <v>0.58649988047476098</v>
      </c>
      <c r="P55" s="13">
        <f>(1+O55)/(1+MAX(O$2:O55))-1</f>
        <v>-9.7813164386592044E-3</v>
      </c>
      <c r="Q55" s="18" t="s">
        <v>632</v>
      </c>
      <c r="R55" s="16">
        <v>2.5000000000000001E-3</v>
      </c>
      <c r="S55" s="56" t="s">
        <v>62</v>
      </c>
      <c r="T55" s="16">
        <v>0.27389999999999998</v>
      </c>
      <c r="U55" s="14">
        <f t="shared" si="1"/>
        <v>0.13819999999999999</v>
      </c>
      <c r="V55" s="15">
        <f t="shared" si="40"/>
        <v>0.76506055124876471</v>
      </c>
      <c r="W55" s="15">
        <f t="shared" si="13"/>
        <v>4.4886805851702967</v>
      </c>
      <c r="X55" s="13">
        <f>(1+W55)/(1+MAX(W$2:W55))-1</f>
        <v>0</v>
      </c>
      <c r="Y55" s="18" t="s">
        <v>58</v>
      </c>
      <c r="Z55" s="16">
        <v>6.5799999999999997E-2</v>
      </c>
      <c r="AA55" s="57" t="s">
        <v>49</v>
      </c>
      <c r="AB55" s="16">
        <v>0.1326</v>
      </c>
      <c r="AC55" s="14">
        <f t="shared" si="2"/>
        <v>9.9199999999999997E-2</v>
      </c>
      <c r="AD55" s="15">
        <f t="shared" si="41"/>
        <v>0.34901627078324604</v>
      </c>
      <c r="AE55" s="15">
        <f t="shared" si="14"/>
        <v>7.3979099327440743</v>
      </c>
      <c r="AF55" s="13">
        <f>(1+AE55)/(1+MAX(AE$2:AE55))-1</f>
        <v>0</v>
      </c>
      <c r="AG55" s="19"/>
      <c r="AH55" s="20">
        <f t="shared" si="31"/>
        <v>7.1614285714285714E-2</v>
      </c>
      <c r="AI55" s="15">
        <f t="shared" si="42"/>
        <v>0.31494520216488597</v>
      </c>
      <c r="AJ55" s="15">
        <f t="shared" si="15"/>
        <v>2.73597562531755</v>
      </c>
      <c r="AK55" s="15">
        <f>(1+AJ55)/(1+MAX(AJ$2:AJ55))-1</f>
        <v>0</v>
      </c>
      <c r="AL55" s="58">
        <f t="shared" si="16"/>
        <v>3735.9756253175487</v>
      </c>
      <c r="AM55" s="59"/>
      <c r="AN55" s="12" t="s">
        <v>86</v>
      </c>
      <c r="AO55" s="60">
        <v>3100.29</v>
      </c>
      <c r="AP55" s="14">
        <f t="shared" si="17"/>
        <v>1.8388403283502663E-2</v>
      </c>
      <c r="AQ55" s="15">
        <f t="shared" si="43"/>
        <v>-4.0389627272670814E-2</v>
      </c>
      <c r="AR55" s="15">
        <f t="shared" si="18"/>
        <v>0.59788995175854587</v>
      </c>
      <c r="AS55" s="13">
        <f>(1+AR55)/(1+MAX(AR$2:AR55))-1</f>
        <v>-4.0389627272670925E-2</v>
      </c>
      <c r="AT55" s="62"/>
      <c r="AY55" s="62"/>
      <c r="AZ55" s="62"/>
      <c r="BA55" s="62"/>
      <c r="BB55" s="62"/>
    </row>
    <row r="56" spans="1:54" s="61" customFormat="1" outlineLevel="1" x14ac:dyDescent="0.3">
      <c r="A56" s="61" t="s">
        <v>663</v>
      </c>
      <c r="B56" s="55" t="str">
        <f t="shared" si="4"/>
        <v>2020-7</v>
      </c>
      <c r="C56" s="11">
        <v>44013</v>
      </c>
      <c r="D56" s="12" t="s">
        <v>35</v>
      </c>
      <c r="E56" s="14">
        <v>4.9599999999999998E-2</v>
      </c>
      <c r="F56" s="15">
        <f t="shared" si="38"/>
        <v>6.0635022381549275E-2</v>
      </c>
      <c r="G56" s="15">
        <f t="shared" si="11"/>
        <v>0.12524270463327936</v>
      </c>
      <c r="H56" s="13">
        <f>(1+G56)/(1+MAX(G$2:G56))-1</f>
        <v>0</v>
      </c>
      <c r="I56" s="12" t="s">
        <v>51</v>
      </c>
      <c r="J56" s="16">
        <v>1.1999999999999999E-3</v>
      </c>
      <c r="K56" s="17" t="s">
        <v>30</v>
      </c>
      <c r="L56" s="16">
        <v>-1E-3</v>
      </c>
      <c r="M56" s="14">
        <f t="shared" si="0"/>
        <v>9.9999999999999937E-5</v>
      </c>
      <c r="N56" s="15">
        <f t="shared" si="39"/>
        <v>5.9887524236132972E-2</v>
      </c>
      <c r="O56" s="15">
        <f t="shared" si="12"/>
        <v>0.58665853046280847</v>
      </c>
      <c r="P56" s="13">
        <f>(1+O56)/(1+MAX(O$2:O56))-1</f>
        <v>-9.6822945703031182E-3</v>
      </c>
      <c r="Q56" s="18" t="s">
        <v>632</v>
      </c>
      <c r="R56" s="16">
        <v>-3.9899999999999998E-2</v>
      </c>
      <c r="S56" s="56" t="s">
        <v>62</v>
      </c>
      <c r="T56" s="16">
        <v>0.25530000000000003</v>
      </c>
      <c r="U56" s="14">
        <f t="shared" si="1"/>
        <v>0.10770000000000002</v>
      </c>
      <c r="V56" s="15">
        <f t="shared" si="40"/>
        <v>0.9551575726182564</v>
      </c>
      <c r="W56" s="15">
        <f t="shared" si="13"/>
        <v>5.0798114841931374</v>
      </c>
      <c r="X56" s="13">
        <f>(1+W56)/(1+MAX(W$2:W56))-1</f>
        <v>0</v>
      </c>
      <c r="Y56" s="18" t="s">
        <v>61</v>
      </c>
      <c r="Z56" s="16">
        <v>9.3799999999999994E-2</v>
      </c>
      <c r="AA56" s="57" t="s">
        <v>49</v>
      </c>
      <c r="AB56" s="16">
        <v>0.13339999999999999</v>
      </c>
      <c r="AC56" s="14">
        <f t="shared" si="2"/>
        <v>0.11359999999999999</v>
      </c>
      <c r="AD56" s="15">
        <f t="shared" si="41"/>
        <v>0.50226451914422277</v>
      </c>
      <c r="AE56" s="15">
        <f t="shared" si="14"/>
        <v>8.3519125011038007</v>
      </c>
      <c r="AF56" s="13">
        <f>(1+AE56)/(1+MAX(AE$2:AE56))-1</f>
        <v>0</v>
      </c>
      <c r="AG56" s="19"/>
      <c r="AH56" s="20">
        <f t="shared" si="31"/>
        <v>7.0342857142857151E-2</v>
      </c>
      <c r="AI56" s="15">
        <f t="shared" si="42"/>
        <v>0.40744220467145609</v>
      </c>
      <c r="AJ56" s="15">
        <f t="shared" si="15"/>
        <v>2.9987748250184594</v>
      </c>
      <c r="AK56" s="15">
        <f>(1+AJ56)/(1+MAX(AJ$2:AJ56))-1</f>
        <v>0</v>
      </c>
      <c r="AL56" s="58">
        <f t="shared" si="16"/>
        <v>3998.7748250184577</v>
      </c>
      <c r="AM56" s="59"/>
      <c r="AN56" s="12" t="s">
        <v>86</v>
      </c>
      <c r="AO56" s="60">
        <v>3271.12</v>
      </c>
      <c r="AP56" s="14">
        <f t="shared" si="17"/>
        <v>5.5101296975444303E-2</v>
      </c>
      <c r="AQ56" s="15">
        <f t="shared" si="43"/>
        <v>1.2486148855694656E-2</v>
      </c>
      <c r="AR56" s="15">
        <f t="shared" si="18"/>
        <v>0.6859357605244718</v>
      </c>
      <c r="AS56" s="13">
        <f>(1+AR56)/(1+MAX(AR$2:AR56))-1</f>
        <v>0</v>
      </c>
      <c r="AT56" s="62"/>
      <c r="AY56" s="62"/>
      <c r="AZ56" s="62"/>
      <c r="BA56" s="62"/>
      <c r="BB56" s="62"/>
    </row>
    <row r="57" spans="1:54" s="61" customFormat="1" outlineLevel="1" x14ac:dyDescent="0.3">
      <c r="A57" s="61" t="s">
        <v>663</v>
      </c>
      <c r="B57" s="55" t="str">
        <f t="shared" si="4"/>
        <v>2020-8</v>
      </c>
      <c r="C57" s="11">
        <v>44044</v>
      </c>
      <c r="D57" s="12" t="s">
        <v>29</v>
      </c>
      <c r="E57" s="14">
        <v>0.1052</v>
      </c>
      <c r="F57" s="15">
        <f t="shared" si="38"/>
        <v>0.1722138267360882</v>
      </c>
      <c r="G57" s="15">
        <f t="shared" si="11"/>
        <v>0.2436182371607003</v>
      </c>
      <c r="H57" s="13">
        <f>(1+G57)/(1+MAX(G$2:G57))-1</f>
        <v>0</v>
      </c>
      <c r="I57" s="12" t="s">
        <v>51</v>
      </c>
      <c r="J57" s="16">
        <v>0.1145</v>
      </c>
      <c r="K57" s="17" t="s">
        <v>30</v>
      </c>
      <c r="L57" s="16">
        <v>2.1899999999999999E-2</v>
      </c>
      <c r="M57" s="14">
        <f t="shared" si="0"/>
        <v>6.8199999999999997E-2</v>
      </c>
      <c r="N57" s="15">
        <f t="shared" si="39"/>
        <v>0.13217185338903725</v>
      </c>
      <c r="O57" s="15">
        <f t="shared" si="12"/>
        <v>0.69486864224037204</v>
      </c>
      <c r="P57" s="13">
        <f>(1+O57)/(1+MAX(O$2:O57))-1</f>
        <v>0</v>
      </c>
      <c r="Q57" s="18" t="s">
        <v>42</v>
      </c>
      <c r="R57" s="16">
        <v>0.25509999999999999</v>
      </c>
      <c r="S57" s="56" t="s">
        <v>62</v>
      </c>
      <c r="T57" s="16">
        <v>0.73470000000000002</v>
      </c>
      <c r="U57" s="14">
        <f t="shared" si="1"/>
        <v>0.49490000000000001</v>
      </c>
      <c r="V57" s="15">
        <f t="shared" si="40"/>
        <v>1.9227650553070315</v>
      </c>
      <c r="W57" s="15">
        <f t="shared" si="13"/>
        <v>8.08871018772032</v>
      </c>
      <c r="X57" s="13">
        <f>(1+W57)/(1+MAX(W$2:W57))-1</f>
        <v>0</v>
      </c>
      <c r="Y57" s="18" t="s">
        <v>61</v>
      </c>
      <c r="Z57" s="16">
        <v>-2.8E-3</v>
      </c>
      <c r="AA57" s="57" t="s">
        <v>49</v>
      </c>
      <c r="AB57" s="16">
        <v>0.33279999999999998</v>
      </c>
      <c r="AC57" s="14">
        <f t="shared" si="2"/>
        <v>0.16499999999999998</v>
      </c>
      <c r="AD57" s="15">
        <f t="shared" si="41"/>
        <v>0.75013816480301965</v>
      </c>
      <c r="AE57" s="15">
        <f t="shared" si="14"/>
        <v>9.8949780637859277</v>
      </c>
      <c r="AF57" s="13">
        <f>(1+AE57)/(1+MAX(AE$2:AE57))-1</f>
        <v>0</v>
      </c>
      <c r="AG57" s="19"/>
      <c r="AH57" s="20">
        <f t="shared" si="31"/>
        <v>0.22305714285714284</v>
      </c>
      <c r="AI57" s="15">
        <f t="shared" si="42"/>
        <v>0.72138224158202924</v>
      </c>
      <c r="AJ57" s="15">
        <f t="shared" si="15"/>
        <v>3.890730112416148</v>
      </c>
      <c r="AK57" s="15">
        <f>(1+AJ57)/(1+MAX(AJ$2:AJ57))-1</f>
        <v>0</v>
      </c>
      <c r="AL57" s="58">
        <f t="shared" si="16"/>
        <v>4890.7301124161459</v>
      </c>
      <c r="AM57" s="59"/>
      <c r="AN57" s="12" t="s">
        <v>86</v>
      </c>
      <c r="AO57" s="60">
        <v>3500.31</v>
      </c>
      <c r="AP57" s="14">
        <f t="shared" si="17"/>
        <v>7.0064687324219221E-2</v>
      </c>
      <c r="AQ57" s="15">
        <f t="shared" si="43"/>
        <v>8.3425674295371843E-2</v>
      </c>
      <c r="AR57" s="15">
        <f t="shared" si="18"/>
        <v>0.80406032243433856</v>
      </c>
      <c r="AS57" s="13">
        <f>(1+AR57)/(1+MAX(AR$2:AR57))-1</f>
        <v>0</v>
      </c>
      <c r="AT57" s="62"/>
      <c r="AY57" s="62"/>
      <c r="AZ57" s="62"/>
      <c r="BA57" s="62"/>
      <c r="BB57" s="62"/>
    </row>
    <row r="58" spans="1:54" s="61" customFormat="1" outlineLevel="1" x14ac:dyDescent="0.3">
      <c r="A58" s="61" t="s">
        <v>663</v>
      </c>
      <c r="B58" s="55" t="str">
        <f t="shared" si="4"/>
        <v>2020-9</v>
      </c>
      <c r="C58" s="11">
        <v>44075</v>
      </c>
      <c r="D58" s="12" t="s">
        <v>29</v>
      </c>
      <c r="E58" s="14">
        <v>-4.36E-2</v>
      </c>
      <c r="F58" s="15">
        <f t="shared" si="38"/>
        <v>0.12110530389039487</v>
      </c>
      <c r="G58" s="15">
        <f t="shared" si="11"/>
        <v>0.18939648202049386</v>
      </c>
      <c r="H58" s="13">
        <f>(1+G58)/(1+MAX(G$2:G58))-1</f>
        <v>-4.3599999999999972E-2</v>
      </c>
      <c r="I58" s="12" t="s">
        <v>51</v>
      </c>
      <c r="J58" s="16">
        <v>-3.9100000000000003E-2</v>
      </c>
      <c r="K58" s="17" t="s">
        <v>144</v>
      </c>
      <c r="L58" s="16">
        <v>-3.8999999999999998E-3</v>
      </c>
      <c r="M58" s="14">
        <f t="shared" si="0"/>
        <v>-2.1500000000000002E-2</v>
      </c>
      <c r="N58" s="15">
        <f t="shared" si="39"/>
        <v>0.10783015854117295</v>
      </c>
      <c r="O58" s="15">
        <f t="shared" si="12"/>
        <v>0.65842896643220405</v>
      </c>
      <c r="P58" s="13">
        <f>(1+O58)/(1+MAX(O$2:O58))-1</f>
        <v>-2.1499999999999964E-2</v>
      </c>
      <c r="Q58" s="18" t="s">
        <v>42</v>
      </c>
      <c r="R58" s="16">
        <v>2.7199999999999998E-2</v>
      </c>
      <c r="S58" s="56" t="s">
        <v>62</v>
      </c>
      <c r="T58" s="16">
        <v>-0.12620000000000001</v>
      </c>
      <c r="U58" s="14">
        <f t="shared" si="1"/>
        <v>-4.9500000000000002E-2</v>
      </c>
      <c r="V58" s="15">
        <f t="shared" si="40"/>
        <v>1.7780881850693335</v>
      </c>
      <c r="W58" s="15">
        <f t="shared" si="13"/>
        <v>7.6388190334281649</v>
      </c>
      <c r="X58" s="13">
        <f>(1+W58)/(1+MAX(W$2:W58))-1</f>
        <v>-4.9499999999999877E-2</v>
      </c>
      <c r="Y58" s="18" t="s">
        <v>61</v>
      </c>
      <c r="Z58" s="16">
        <v>0.1129</v>
      </c>
      <c r="AA58" s="57" t="s">
        <v>49</v>
      </c>
      <c r="AB58" s="16">
        <v>-5.5599999999999997E-2</v>
      </c>
      <c r="AC58" s="14">
        <f t="shared" si="2"/>
        <v>2.8650000000000002E-2</v>
      </c>
      <c r="AD58" s="15">
        <f t="shared" si="41"/>
        <v>0.80027962322462631</v>
      </c>
      <c r="AE58" s="15">
        <f t="shared" si="14"/>
        <v>10.207119185313395</v>
      </c>
      <c r="AF58" s="13">
        <f>(1+AE58)/(1+MAX(AE$2:AE58))-1</f>
        <v>0</v>
      </c>
      <c r="AG58" s="19"/>
      <c r="AH58" s="20">
        <f t="shared" si="31"/>
        <v>-1.8328571428571434E-2</v>
      </c>
      <c r="AI58" s="15">
        <f t="shared" si="42"/>
        <v>0.68983176421131853</v>
      </c>
      <c r="AJ58" s="15">
        <f t="shared" si="15"/>
        <v>3.8010900162128634</v>
      </c>
      <c r="AK58" s="15">
        <f>(1+AJ58)/(1+MAX(AJ$2:AJ58))-1</f>
        <v>-1.8328571428571472E-2</v>
      </c>
      <c r="AL58" s="58">
        <f t="shared" si="16"/>
        <v>4801.090016212861</v>
      </c>
      <c r="AM58" s="59"/>
      <c r="AN58" s="12" t="s">
        <v>86</v>
      </c>
      <c r="AO58" s="60">
        <v>3363</v>
      </c>
      <c r="AP58" s="14">
        <f t="shared" si="17"/>
        <v>-3.9227954095494399E-2</v>
      </c>
      <c r="AQ58" s="15">
        <f t="shared" si="43"/>
        <v>4.0925101678232823E-2</v>
      </c>
      <c r="AR58" s="15">
        <f t="shared" si="18"/>
        <v>0.73329072692038144</v>
      </c>
      <c r="AS58" s="13">
        <f>(1+AR58)/(1+MAX(AR$2:AR58))-1</f>
        <v>-3.9227954095494399E-2</v>
      </c>
      <c r="AT58" s="62"/>
      <c r="AY58" s="62"/>
    </row>
    <row r="59" spans="1:54" s="61" customFormat="1" outlineLevel="1" x14ac:dyDescent="0.3">
      <c r="A59" s="61" t="s">
        <v>663</v>
      </c>
      <c r="B59" s="55" t="str">
        <f t="shared" si="4"/>
        <v>2020-10</v>
      </c>
      <c r="C59" s="11">
        <v>44105</v>
      </c>
      <c r="D59" s="12" t="s">
        <v>29</v>
      </c>
      <c r="E59" s="14">
        <v>-2.52E-2</v>
      </c>
      <c r="F59" s="15">
        <f t="shared" si="38"/>
        <v>9.2853450232357027E-2</v>
      </c>
      <c r="G59" s="15">
        <f t="shared" si="11"/>
        <v>0.15942369067357731</v>
      </c>
      <c r="H59" s="13">
        <f>(1+G59)/(1+MAX(G$2:G59))-1</f>
        <v>-6.7701279999999975E-2</v>
      </c>
      <c r="I59" s="12" t="s">
        <v>51</v>
      </c>
      <c r="J59" s="16">
        <v>-4.4900000000000002E-2</v>
      </c>
      <c r="K59" s="17" t="s">
        <v>144</v>
      </c>
      <c r="L59" s="16">
        <v>-2.1999999999999999E-2</v>
      </c>
      <c r="M59" s="14">
        <f t="shared" si="0"/>
        <v>-3.3450000000000001E-2</v>
      </c>
      <c r="N59" s="15">
        <f t="shared" si="39"/>
        <v>7.0773239737970783E-2</v>
      </c>
      <c r="O59" s="15">
        <f t="shared" si="12"/>
        <v>0.60295451750504681</v>
      </c>
      <c r="P59" s="13">
        <f>(1+O59)/(1+MAX(O$2:O59))-1</f>
        <v>-5.4230824999999983E-2</v>
      </c>
      <c r="Q59" s="18" t="s">
        <v>42</v>
      </c>
      <c r="R59" s="16">
        <v>-6.8599999999999994E-2</v>
      </c>
      <c r="S59" s="56" t="s">
        <v>62</v>
      </c>
      <c r="T59" s="16">
        <v>-9.06E-2</v>
      </c>
      <c r="U59" s="14">
        <f t="shared" si="1"/>
        <v>-7.9600000000000004E-2</v>
      </c>
      <c r="V59" s="15">
        <f t="shared" si="40"/>
        <v>1.5569523655378146</v>
      </c>
      <c r="W59" s="15">
        <f t="shared" si="13"/>
        <v>6.9511690383672828</v>
      </c>
      <c r="X59" s="13">
        <f>(1+W59)/(1+MAX(W$2:W59))-1</f>
        <v>-0.12515979999999993</v>
      </c>
      <c r="Y59" s="18" t="s">
        <v>61</v>
      </c>
      <c r="Z59" s="16">
        <v>-7.9500000000000001E-2</v>
      </c>
      <c r="AA59" s="57" t="s">
        <v>49</v>
      </c>
      <c r="AB59" s="16">
        <v>3.4099999999999998E-2</v>
      </c>
      <c r="AC59" s="14">
        <f t="shared" si="2"/>
        <v>-2.2700000000000001E-2</v>
      </c>
      <c r="AD59" s="15">
        <f t="shared" si="41"/>
        <v>0.75941327577742723</v>
      </c>
      <c r="AE59" s="15">
        <f t="shared" si="14"/>
        <v>9.9527175798067802</v>
      </c>
      <c r="AF59" s="13">
        <f>(1+AE59)/(1+MAX(AE$2:AE59))-1</f>
        <v>-2.2700000000000053E-2</v>
      </c>
      <c r="AG59" s="21"/>
      <c r="AH59" s="20">
        <f t="shared" si="31"/>
        <v>-4.238571428571429E-2</v>
      </c>
      <c r="AI59" s="15">
        <f t="shared" si="42"/>
        <v>0.61820703786253306</v>
      </c>
      <c r="AJ59" s="15">
        <f t="shared" si="15"/>
        <v>3.5975923865256698</v>
      </c>
      <c r="AK59" s="15">
        <f>(1+AJ59)/(1+MAX(AJ$2:AJ59))-1</f>
        <v>-5.9937416122448961E-2</v>
      </c>
      <c r="AL59" s="58">
        <f t="shared" si="16"/>
        <v>4597.5923865256673</v>
      </c>
      <c r="AM59" s="59"/>
      <c r="AN59" s="12" t="s">
        <v>86</v>
      </c>
      <c r="AO59" s="60">
        <v>3269.96</v>
      </c>
      <c r="AP59" s="14">
        <f t="shared" si="17"/>
        <v>-2.7665774606006499E-2</v>
      </c>
      <c r="AQ59" s="15">
        <f t="shared" si="43"/>
        <v>1.2127102433468373E-2</v>
      </c>
      <c r="AR59" s="15">
        <f t="shared" si="18"/>
        <v>0.68533789634272102</v>
      </c>
      <c r="AS59" s="13">
        <f>(1+AR59)/(1+MAX(AR$2:AR59))-1</f>
        <v>-6.5808456965240181E-2</v>
      </c>
      <c r="AT59" s="62"/>
    </row>
    <row r="60" spans="1:54" s="61" customFormat="1" outlineLevel="1" x14ac:dyDescent="0.3">
      <c r="A60" s="61" t="s">
        <v>663</v>
      </c>
      <c r="B60" s="55" t="str">
        <f t="shared" si="4"/>
        <v>2020-11</v>
      </c>
      <c r="C60" s="11">
        <v>44136</v>
      </c>
      <c r="D60" s="12" t="s">
        <v>29</v>
      </c>
      <c r="E60" s="14">
        <v>8.5099999999999995E-2</v>
      </c>
      <c r="F60" s="15">
        <f t="shared" si="38"/>
        <v>0.1858552788471306</v>
      </c>
      <c r="G60" s="15">
        <f t="shared" si="11"/>
        <v>0.25809064674989868</v>
      </c>
      <c r="H60" s="13">
        <f>(1+G60)/(1+MAX(G$2:G60))-1</f>
        <v>0</v>
      </c>
      <c r="I60" s="12" t="s">
        <v>51</v>
      </c>
      <c r="J60" s="16">
        <v>8.6599999999999996E-2</v>
      </c>
      <c r="K60" s="17" t="s">
        <v>144</v>
      </c>
      <c r="L60" s="16">
        <v>7.3099999999999998E-2</v>
      </c>
      <c r="M60" s="14">
        <f t="shared" si="0"/>
        <v>7.9850000000000004E-2</v>
      </c>
      <c r="N60" s="15">
        <f t="shared" si="39"/>
        <v>0.15627448293104762</v>
      </c>
      <c r="O60" s="15">
        <f t="shared" si="12"/>
        <v>0.7309504357278247</v>
      </c>
      <c r="P60" s="13">
        <f>(1+O60)/(1+MAX(O$2:O60))-1</f>
        <v>0</v>
      </c>
      <c r="Q60" s="18" t="s">
        <v>42</v>
      </c>
      <c r="R60" s="16">
        <v>4.3099999999999999E-2</v>
      </c>
      <c r="S60" s="56" t="s">
        <v>62</v>
      </c>
      <c r="T60" s="16">
        <v>0.42699999999999999</v>
      </c>
      <c r="U60" s="14">
        <f t="shared" si="1"/>
        <v>0.23504999999999998</v>
      </c>
      <c r="V60" s="15">
        <f t="shared" si="40"/>
        <v>2.157964019057478</v>
      </c>
      <c r="W60" s="15">
        <f t="shared" si="13"/>
        <v>8.8200913208355125</v>
      </c>
      <c r="X60" s="13">
        <f>(1+W60)/(1+MAX(W$2:W60))-1</f>
        <v>0</v>
      </c>
      <c r="Y60" s="18" t="s">
        <v>61</v>
      </c>
      <c r="Z60" s="16">
        <v>0.1067</v>
      </c>
      <c r="AA60" s="57" t="s">
        <v>49</v>
      </c>
      <c r="AB60" s="16">
        <v>0.17599999999999999</v>
      </c>
      <c r="AC60" s="14">
        <f t="shared" si="2"/>
        <v>0.14135</v>
      </c>
      <c r="AD60" s="15">
        <f t="shared" si="41"/>
        <v>1.0081063423085665</v>
      </c>
      <c r="AE60" s="15">
        <f t="shared" si="14"/>
        <v>11.500884209712469</v>
      </c>
      <c r="AF60" s="13">
        <f>(1+AE60)/(1+MAX(AE$2:AE60))-1</f>
        <v>0</v>
      </c>
      <c r="AG60" s="21"/>
      <c r="AH60" s="20">
        <f t="shared" si="31"/>
        <v>0.14251428571428573</v>
      </c>
      <c r="AI60" s="15">
        <f t="shared" si="42"/>
        <v>0.84882465800134232</v>
      </c>
      <c r="AJ60" s="15">
        <f t="shared" si="15"/>
        <v>4.2528149814968144</v>
      </c>
      <c r="AK60" s="15">
        <f>(1+AJ60)/(1+MAX(AJ$2:AJ60))-1</f>
        <v>0</v>
      </c>
      <c r="AL60" s="58">
        <f t="shared" si="16"/>
        <v>5252.814981496811</v>
      </c>
      <c r="AM60" s="59"/>
      <c r="AN60" s="12" t="s">
        <v>86</v>
      </c>
      <c r="AO60" s="60">
        <v>3621.63</v>
      </c>
      <c r="AP60" s="14">
        <f t="shared" si="17"/>
        <v>0.10754565805086314</v>
      </c>
      <c r="AQ60" s="15">
        <f t="shared" si="43"/>
        <v>0.12097697769578919</v>
      </c>
      <c r="AR60" s="15">
        <f t="shared" si="18"/>
        <v>0.86658866944295632</v>
      </c>
      <c r="AS60" s="13">
        <f>(1+AR60)/(1+MAX(AR$2:AR60))-1</f>
        <v>0</v>
      </c>
      <c r="AT60" s="62"/>
    </row>
    <row r="61" spans="1:54" s="27" customFormat="1" ht="15" thickBot="1" x14ac:dyDescent="0.35">
      <c r="A61" s="27" t="s">
        <v>663</v>
      </c>
      <c r="B61" s="63" t="str">
        <f t="shared" si="4"/>
        <v>2020-12</v>
      </c>
      <c r="C61" s="22">
        <v>44166</v>
      </c>
      <c r="D61" s="23" t="s">
        <v>29</v>
      </c>
      <c r="E61" s="24">
        <v>2.1000000000000001E-2</v>
      </c>
      <c r="F61" s="25">
        <f t="shared" si="38"/>
        <v>0.21075823970292018</v>
      </c>
      <c r="G61" s="25">
        <f t="shared" si="11"/>
        <v>0.28451055033164652</v>
      </c>
      <c r="H61" s="26">
        <f>(1+G61)/(1+MAX(G$2:G61))-1</f>
        <v>0</v>
      </c>
      <c r="I61" s="23" t="s">
        <v>51</v>
      </c>
      <c r="J61" s="31">
        <v>2.7199999999999998E-2</v>
      </c>
      <c r="K61" s="28" t="s">
        <v>144</v>
      </c>
      <c r="L61" s="31">
        <v>-3.0999999999999999E-3</v>
      </c>
      <c r="M61" s="24">
        <f t="shared" si="0"/>
        <v>1.205E-2</v>
      </c>
      <c r="N61" s="25">
        <f t="shared" si="39"/>
        <v>0.1702075904503666</v>
      </c>
      <c r="O61" s="25">
        <f t="shared" si="12"/>
        <v>0.75180838847834486</v>
      </c>
      <c r="P61" s="26">
        <f>(1+O61)/(1+MAX(O$2:O61))-1</f>
        <v>0</v>
      </c>
      <c r="Q61" s="29" t="s">
        <v>42</v>
      </c>
      <c r="R61" s="143">
        <v>-4.1300000000000003E-2</v>
      </c>
      <c r="S61" s="65" t="s">
        <v>62</v>
      </c>
      <c r="T61" s="28">
        <v>0.19589999999999999</v>
      </c>
      <c r="U61" s="24">
        <f t="shared" si="1"/>
        <v>7.7299999999999994E-2</v>
      </c>
      <c r="V61" s="25">
        <f t="shared" si="40"/>
        <v>2.402074637730621</v>
      </c>
      <c r="W61" s="25">
        <f t="shared" si="13"/>
        <v>9.5791843799360965</v>
      </c>
      <c r="X61" s="26">
        <f>(1+W61)/(1+MAX(W$2:W61))-1</f>
        <v>0</v>
      </c>
      <c r="Y61" s="29" t="s">
        <v>61</v>
      </c>
      <c r="Z61" s="28">
        <v>0.18909999999999999</v>
      </c>
      <c r="AA61" s="65" t="s">
        <v>49</v>
      </c>
      <c r="AB61" s="28">
        <v>0.20369999999999999</v>
      </c>
      <c r="AC61" s="24">
        <f t="shared" si="2"/>
        <v>0.19639999999999999</v>
      </c>
      <c r="AD61" s="25">
        <f t="shared" si="41"/>
        <v>1.4024984279379686</v>
      </c>
      <c r="AE61" s="25">
        <f t="shared" si="14"/>
        <v>13.956057868499997</v>
      </c>
      <c r="AF61" s="26">
        <f>(1+AE61)/(1+MAX(AE$2:AE61))-1</f>
        <v>0</v>
      </c>
      <c r="AG61" s="31"/>
      <c r="AH61" s="32">
        <f t="shared" si="31"/>
        <v>8.4642857142857145E-2</v>
      </c>
      <c r="AI61" s="25">
        <f t="shared" si="42"/>
        <v>1.0053144594107417</v>
      </c>
      <c r="AJ61" s="25">
        <f t="shared" si="15"/>
        <v>4.6974282495735098</v>
      </c>
      <c r="AK61" s="25">
        <f>(1+AJ61)/(1+MAX(AJ$2:AJ61))-1</f>
        <v>0</v>
      </c>
      <c r="AL61" s="66">
        <f t="shared" si="16"/>
        <v>5697.428249573506</v>
      </c>
      <c r="AM61" s="22"/>
      <c r="AN61" s="23" t="s">
        <v>86</v>
      </c>
      <c r="AO61" s="67">
        <v>3756.07</v>
      </c>
      <c r="AP61" s="24">
        <f t="shared" si="17"/>
        <v>3.712140665943231E-2</v>
      </c>
      <c r="AQ61" s="25">
        <f t="shared" si="43"/>
        <v>0.16258921994069597</v>
      </c>
      <c r="AR61" s="25">
        <f t="shared" si="18"/>
        <v>0.93587906650723696</v>
      </c>
      <c r="AS61" s="26">
        <f>(1+AR61)/(1+MAX(AR$2:AR61))-1</f>
        <v>0</v>
      </c>
      <c r="AT61" s="68"/>
    </row>
    <row r="62" spans="1:54" s="54" customFormat="1" outlineLevel="1" x14ac:dyDescent="0.3">
      <c r="A62" s="54" t="s">
        <v>664</v>
      </c>
      <c r="B62" s="48" t="str">
        <f t="shared" si="4"/>
        <v>2021-1</v>
      </c>
      <c r="C62" s="1">
        <v>44197</v>
      </c>
      <c r="D62" s="2" t="s">
        <v>29</v>
      </c>
      <c r="E62" s="4">
        <v>1.7500000000000002E-2</v>
      </c>
      <c r="F62" s="5">
        <f>+E62</f>
        <v>1.7500000000000002E-2</v>
      </c>
      <c r="G62" s="5">
        <f t="shared" si="11"/>
        <v>0.30698948496245038</v>
      </c>
      <c r="H62" s="3">
        <f>(1+G62)/(1+MAX(G$2:G62))-1</f>
        <v>0</v>
      </c>
      <c r="I62" s="2" t="s">
        <v>51</v>
      </c>
      <c r="J62" s="6">
        <v>6.3E-3</v>
      </c>
      <c r="K62" s="7" t="s">
        <v>144</v>
      </c>
      <c r="L62" s="6">
        <v>2.2599999999999999E-2</v>
      </c>
      <c r="M62" s="4">
        <f t="shared" si="0"/>
        <v>1.4449999999999999E-2</v>
      </c>
      <c r="N62" s="5">
        <f>+M62</f>
        <v>1.4449999999999999E-2</v>
      </c>
      <c r="O62" s="5">
        <f t="shared" si="12"/>
        <v>0.77712201969185712</v>
      </c>
      <c r="P62" s="3">
        <f>(1+O62)/(1+MAX(O$2:O62))-1</f>
        <v>0</v>
      </c>
      <c r="Q62" s="8" t="s">
        <v>633</v>
      </c>
      <c r="R62" s="6">
        <v>-2.2599999999999999E-2</v>
      </c>
      <c r="S62" s="49" t="s">
        <v>62</v>
      </c>
      <c r="T62" s="6">
        <v>0.14119999999999999</v>
      </c>
      <c r="U62" s="4">
        <f t="shared" si="1"/>
        <v>5.9299999999999999E-2</v>
      </c>
      <c r="V62" s="5">
        <f>+U62</f>
        <v>5.9299999999999999E-2</v>
      </c>
      <c r="W62" s="5">
        <f t="shared" si="13"/>
        <v>10.206530013666306</v>
      </c>
      <c r="X62" s="3">
        <f>(1+W62)/(1+MAX(W$2:W62))-1</f>
        <v>0</v>
      </c>
      <c r="Y62" s="8" t="s">
        <v>61</v>
      </c>
      <c r="Z62" s="6">
        <v>-9.74E-2</v>
      </c>
      <c r="AA62" s="50" t="s">
        <v>49</v>
      </c>
      <c r="AB62" s="6">
        <v>-0.10150000000000001</v>
      </c>
      <c r="AC62" s="4">
        <f t="shared" si="2"/>
        <v>-9.9450000000000011E-2</v>
      </c>
      <c r="AD62" s="5">
        <f>+AC62</f>
        <v>-9.9450000000000011E-2</v>
      </c>
      <c r="AE62" s="5">
        <f t="shared" si="14"/>
        <v>12.468677913477672</v>
      </c>
      <c r="AF62" s="3">
        <f>(1+AE62)/(1+MAX(AE$2:AE62))-1</f>
        <v>-9.9450000000000038E-2</v>
      </c>
      <c r="AG62" s="9"/>
      <c r="AH62" s="10">
        <f t="shared" si="31"/>
        <v>-4.8428571428571487E-3</v>
      </c>
      <c r="AI62" s="5">
        <f>+AH62</f>
        <v>-4.8428571428571487E-3</v>
      </c>
      <c r="AJ62" s="5">
        <f t="shared" si="15"/>
        <v>4.6698364184791465</v>
      </c>
      <c r="AK62" s="5">
        <f>(1+AJ62)/(1+MAX(AJ$2:AJ62))-1</f>
        <v>-4.8428571428571487E-3</v>
      </c>
      <c r="AL62" s="51">
        <f t="shared" si="16"/>
        <v>5669.8364184791426</v>
      </c>
      <c r="AM62" s="52"/>
      <c r="AN62" s="2" t="s">
        <v>86</v>
      </c>
      <c r="AO62" s="53">
        <v>3714.24</v>
      </c>
      <c r="AP62" s="4">
        <f t="shared" si="17"/>
        <v>-1.1136640158463607E-2</v>
      </c>
      <c r="AQ62" s="5">
        <f>+AP62</f>
        <v>-1.1136640158463607E-2</v>
      </c>
      <c r="AR62" s="5">
        <f t="shared" si="18"/>
        <v>0.91431987795324332</v>
      </c>
      <c r="AS62" s="3">
        <f>(1+AR62)/(1+MAX(AR$2:AR62))-1</f>
        <v>-1.1136640158463607E-2</v>
      </c>
    </row>
    <row r="63" spans="1:54" s="61" customFormat="1" outlineLevel="1" x14ac:dyDescent="0.3">
      <c r="A63" s="61" t="s">
        <v>664</v>
      </c>
      <c r="B63" s="55" t="str">
        <f t="shared" si="4"/>
        <v>2021-2</v>
      </c>
      <c r="C63" s="11">
        <v>44228</v>
      </c>
      <c r="D63" s="12" t="s">
        <v>29</v>
      </c>
      <c r="E63" s="14">
        <v>-4.7000000000000002E-3</v>
      </c>
      <c r="F63" s="15">
        <f t="shared" ref="F63:F73" si="44">+(1+E63)*(1+F62)-1</f>
        <v>1.2717749999999972E-2</v>
      </c>
      <c r="G63" s="15">
        <f t="shared" si="11"/>
        <v>0.30084663438312687</v>
      </c>
      <c r="H63" s="13">
        <f>(1+G63)/(1+MAX(G$2:G63))-1</f>
        <v>-4.7000000000000375E-3</v>
      </c>
      <c r="I63" s="12" t="s">
        <v>51</v>
      </c>
      <c r="J63" s="16">
        <v>1.03E-2</v>
      </c>
      <c r="K63" s="17" t="s">
        <v>144</v>
      </c>
      <c r="L63" s="16">
        <v>-8.6E-3</v>
      </c>
      <c r="M63" s="14">
        <f t="shared" si="0"/>
        <v>8.5000000000000006E-4</v>
      </c>
      <c r="N63" s="15">
        <f t="shared" ref="N63:N73" si="45">+(1+M63)*(1+N62)-1</f>
        <v>1.5312282500000052E-2</v>
      </c>
      <c r="O63" s="15">
        <f t="shared" si="12"/>
        <v>0.77863257340859526</v>
      </c>
      <c r="P63" s="13">
        <f>(1+O63)/(1+MAX(O$2:O63))-1</f>
        <v>0</v>
      </c>
      <c r="Q63" s="18" t="s">
        <v>63</v>
      </c>
      <c r="R63" s="16">
        <v>-0.1089</v>
      </c>
      <c r="S63" s="56" t="s">
        <v>62</v>
      </c>
      <c r="T63" s="16">
        <v>-0.15160000000000001</v>
      </c>
      <c r="U63" s="14">
        <f t="shared" si="1"/>
        <v>-0.13025</v>
      </c>
      <c r="V63" s="15">
        <f t="shared" ref="V63:V73" si="46">+(1+U63)*(1+V62)-1</f>
        <v>-7.8673825000000086E-2</v>
      </c>
      <c r="W63" s="15">
        <f t="shared" si="13"/>
        <v>8.7468794793862692</v>
      </c>
      <c r="X63" s="13">
        <f>(1+W63)/(1+MAX(W$2:W63))-1</f>
        <v>-0.13025000000000009</v>
      </c>
      <c r="Y63" s="18" t="s">
        <v>61</v>
      </c>
      <c r="Z63" s="16">
        <v>0.1143</v>
      </c>
      <c r="AA63" s="57" t="s">
        <v>49</v>
      </c>
      <c r="AB63" s="16">
        <v>-0.12429999999999999</v>
      </c>
      <c r="AC63" s="14">
        <f t="shared" si="2"/>
        <v>-4.9999999999999975E-3</v>
      </c>
      <c r="AD63" s="15">
        <f t="shared" ref="AD63:AD73" si="47">+(1+AC63)*(1+AD62)-1</f>
        <v>-0.10395275000000004</v>
      </c>
      <c r="AE63" s="15">
        <f t="shared" si="14"/>
        <v>12.401334523910283</v>
      </c>
      <c r="AF63" s="13">
        <f>(1+AE63)/(1+MAX(AE$2:AE63))-1</f>
        <v>-0.10395275000000004</v>
      </c>
      <c r="AG63" s="19"/>
      <c r="AH63" s="20">
        <f t="shared" si="31"/>
        <v>-3.9071428571428576E-2</v>
      </c>
      <c r="AI63" s="15">
        <f t="shared" ref="AI63:AI73" si="48">+(1+AH63)*(1+AI62)-1</f>
        <v>-4.3725068367346909E-2</v>
      </c>
      <c r="AJ63" s="15">
        <f t="shared" si="15"/>
        <v>4.4483078098428548</v>
      </c>
      <c r="AK63" s="15">
        <f>(1+AJ63)/(1+MAX(AJ$2:AJ63))-1</f>
        <v>-4.3725068367346798E-2</v>
      </c>
      <c r="AL63" s="58">
        <f t="shared" si="16"/>
        <v>5448.3078098428505</v>
      </c>
      <c r="AM63" s="59"/>
      <c r="AN63" s="12" t="s">
        <v>86</v>
      </c>
      <c r="AO63" s="60">
        <v>3811.15</v>
      </c>
      <c r="AP63" s="14">
        <f t="shared" si="17"/>
        <v>2.6091474971999817E-2</v>
      </c>
      <c r="AQ63" s="15">
        <f t="shared" ref="AQ63:AQ73" si="49">+(1+AP63)*(1+AQ62)-1</f>
        <v>1.4664263445569592E-2</v>
      </c>
      <c r="AR63" s="15">
        <f t="shared" si="18"/>
        <v>0.96426730713726205</v>
      </c>
      <c r="AS63" s="13">
        <f>(1+AR63)/(1+MAX(AR$2:AR63))-1</f>
        <v>0</v>
      </c>
    </row>
    <row r="64" spans="1:54" s="61" customFormat="1" outlineLevel="1" x14ac:dyDescent="0.3">
      <c r="A64" s="61" t="s">
        <v>664</v>
      </c>
      <c r="B64" s="55" t="str">
        <f t="shared" si="4"/>
        <v>2021-3</v>
      </c>
      <c r="C64" s="11">
        <v>44256</v>
      </c>
      <c r="D64" s="12" t="s">
        <v>40</v>
      </c>
      <c r="E64" s="14">
        <v>5.1700000000000003E-2</v>
      </c>
      <c r="F64" s="15">
        <f t="shared" si="44"/>
        <v>6.5075257674999998E-2</v>
      </c>
      <c r="G64" s="15">
        <f t="shared" si="11"/>
        <v>0.36810040538073463</v>
      </c>
      <c r="H64" s="13">
        <f>(1+G64)/(1+MAX(G$2:G64))-1</f>
        <v>0</v>
      </c>
      <c r="I64" s="12" t="s">
        <v>51</v>
      </c>
      <c r="J64" s="16">
        <v>5.6300000000000003E-2</v>
      </c>
      <c r="K64" s="17" t="s">
        <v>144</v>
      </c>
      <c r="L64" s="16">
        <v>8.3500000000000005E-2</v>
      </c>
      <c r="M64" s="14">
        <f t="shared" si="0"/>
        <v>6.9900000000000004E-2</v>
      </c>
      <c r="N64" s="15">
        <f t="shared" si="45"/>
        <v>8.6282611046750057E-2</v>
      </c>
      <c r="O64" s="15">
        <f t="shared" si="12"/>
        <v>0.90295899028985627</v>
      </c>
      <c r="P64" s="13">
        <f>(1+O64)/(1+MAX(O$2:O64))-1</f>
        <v>0</v>
      </c>
      <c r="Q64" s="18" t="s">
        <v>63</v>
      </c>
      <c r="R64" s="16">
        <v>-0.1226</v>
      </c>
      <c r="S64" s="56" t="s">
        <v>62</v>
      </c>
      <c r="T64" s="16">
        <v>2.5600000000000001E-2</v>
      </c>
      <c r="U64" s="14">
        <f>AVERAGE(R64,T64)</f>
        <v>-4.8500000000000001E-2</v>
      </c>
      <c r="V64" s="15">
        <f t="shared" si="46"/>
        <v>-0.12335814448750004</v>
      </c>
      <c r="W64" s="15">
        <f t="shared" si="13"/>
        <v>8.2741558246360345</v>
      </c>
      <c r="X64" s="13">
        <f>(1+W64)/(1+MAX(W$2:W64))-1</f>
        <v>-0.17243287500000015</v>
      </c>
      <c r="Y64" s="18" t="s">
        <v>61</v>
      </c>
      <c r="Z64" s="16">
        <v>-6.4999999999999997E-3</v>
      </c>
      <c r="AA64" s="57" t="s">
        <v>49</v>
      </c>
      <c r="AB64" s="16">
        <v>-2.8000000000000001E-2</v>
      </c>
      <c r="AC64" s="14">
        <f t="shared" si="2"/>
        <v>-1.7250000000000001E-2</v>
      </c>
      <c r="AD64" s="15">
        <f t="shared" si="47"/>
        <v>-0.1194095650625</v>
      </c>
      <c r="AE64" s="15">
        <f t="shared" si="14"/>
        <v>12.17016150337283</v>
      </c>
      <c r="AF64" s="13">
        <f>(1+AE64)/(1+MAX(AE$2:AE64))-1</f>
        <v>-0.11940956506250011</v>
      </c>
      <c r="AG64" s="19"/>
      <c r="AH64" s="20">
        <f t="shared" si="31"/>
        <v>8.5714285714285719E-3</v>
      </c>
      <c r="AI64" s="15">
        <f t="shared" si="48"/>
        <v>-3.5528426096209764E-2</v>
      </c>
      <c r="AJ64" s="15">
        <f t="shared" si="15"/>
        <v>4.4950075910700802</v>
      </c>
      <c r="AK64" s="15">
        <f>(1+AJ64)/(1+MAX(AJ$2:AJ64))-1</f>
        <v>-3.5528426096209653E-2</v>
      </c>
      <c r="AL64" s="58">
        <f t="shared" si="16"/>
        <v>5495.0075910700753</v>
      </c>
      <c r="AM64" s="59"/>
      <c r="AN64" s="12" t="s">
        <v>86</v>
      </c>
      <c r="AO64" s="60">
        <v>3972.89</v>
      </c>
      <c r="AP64" s="14">
        <f t="shared" si="17"/>
        <v>4.2438634008107767E-2</v>
      </c>
      <c r="AQ64" s="15">
        <f t="shared" si="49"/>
        <v>5.7725228763042313E-2</v>
      </c>
      <c r="AR64" s="15">
        <f t="shared" si="18"/>
        <v>1.0476281284789519</v>
      </c>
      <c r="AS64" s="13">
        <f>(1+AR64)/(1+MAX(AR$2:AR64))-1</f>
        <v>0</v>
      </c>
    </row>
    <row r="65" spans="1:54" s="61" customFormat="1" outlineLevel="1" x14ac:dyDescent="0.3">
      <c r="A65" s="61" t="s">
        <v>664</v>
      </c>
      <c r="B65" s="55" t="str">
        <f t="shared" si="4"/>
        <v>2021-4</v>
      </c>
      <c r="C65" s="11">
        <v>44287</v>
      </c>
      <c r="D65" s="12" t="s">
        <v>40</v>
      </c>
      <c r="E65" s="14">
        <v>-1.6E-2</v>
      </c>
      <c r="F65" s="15">
        <f t="shared" si="44"/>
        <v>4.8034053552199918E-2</v>
      </c>
      <c r="G65" s="15">
        <f t="shared" si="11"/>
        <v>0.34621079889464279</v>
      </c>
      <c r="H65" s="13">
        <f>(1+G65)/(1+MAX(G$2:G65))-1</f>
        <v>-1.6000000000000014E-2</v>
      </c>
      <c r="I65" s="12" t="s">
        <v>44</v>
      </c>
      <c r="J65" s="16">
        <v>2.9499999999999998E-2</v>
      </c>
      <c r="K65" s="17" t="s">
        <v>51</v>
      </c>
      <c r="L65" s="16">
        <v>1.6899999999999998E-2</v>
      </c>
      <c r="M65" s="14">
        <f t="shared" si="0"/>
        <v>2.3199999999999998E-2</v>
      </c>
      <c r="N65" s="15">
        <f t="shared" si="45"/>
        <v>0.11148436762303482</v>
      </c>
      <c r="O65" s="15">
        <f t="shared" si="12"/>
        <v>0.94710763886458116</v>
      </c>
      <c r="P65" s="13">
        <f>(1+O65)/(1+MAX(O$2:O65))-1</f>
        <v>0</v>
      </c>
      <c r="Q65" s="18" t="s">
        <v>63</v>
      </c>
      <c r="R65" s="16">
        <v>0.3201</v>
      </c>
      <c r="S65" s="56" t="s">
        <v>62</v>
      </c>
      <c r="T65" s="16">
        <v>2.6800000000000001E-2</v>
      </c>
      <c r="U65" s="14">
        <f>AVERAGE(R65,T65)</f>
        <v>0.17344999999999999</v>
      </c>
      <c r="V65" s="15">
        <f t="shared" si="46"/>
        <v>2.869538535114291E-2</v>
      </c>
      <c r="W65" s="15">
        <f t="shared" si="13"/>
        <v>9.8827581524191537</v>
      </c>
      <c r="X65" s="13">
        <f>(1+W65)/(1+MAX(W$2:W65))-1</f>
        <v>-2.8891357168750242E-2</v>
      </c>
      <c r="Y65" s="18" t="s">
        <v>49</v>
      </c>
      <c r="Z65" s="16">
        <v>-5.67E-2</v>
      </c>
      <c r="AA65" s="57" t="s">
        <v>65</v>
      </c>
      <c r="AB65" s="16">
        <v>-6.4699999999999994E-2</v>
      </c>
      <c r="AC65" s="14">
        <f t="shared" si="2"/>
        <v>-6.0699999999999997E-2</v>
      </c>
      <c r="AD65" s="15">
        <f t="shared" si="47"/>
        <v>-0.17286140446320619</v>
      </c>
      <c r="AE65" s="15">
        <f t="shared" si="14"/>
        <v>11.370732700118099</v>
      </c>
      <c r="AF65" s="13">
        <f>(1+AE65)/(1+MAX(AE$2:AE65))-1</f>
        <v>-0.1728614044632063</v>
      </c>
      <c r="AG65" s="19"/>
      <c r="AH65" s="20">
        <f t="shared" si="31"/>
        <v>3.6557142857142851E-2</v>
      </c>
      <c r="AI65" s="15">
        <f t="shared" si="48"/>
        <v>-2.7010098735535948E-4</v>
      </c>
      <c r="AJ65" s="15">
        <f t="shared" si="15"/>
        <v>4.6958893685779142</v>
      </c>
      <c r="AK65" s="15">
        <f>(1+AJ65)/(1+MAX(AJ$2:AJ65))-1</f>
        <v>-2.7010098735524846E-4</v>
      </c>
      <c r="AL65" s="58">
        <f t="shared" si="16"/>
        <v>5695.8893685779094</v>
      </c>
      <c r="AM65" s="59"/>
      <c r="AN65" s="12" t="s">
        <v>86</v>
      </c>
      <c r="AO65" s="60">
        <v>4181.17</v>
      </c>
      <c r="AP65" s="14">
        <f t="shared" si="17"/>
        <v>5.242531255584737E-2</v>
      </c>
      <c r="AQ65" s="15">
        <f t="shared" si="49"/>
        <v>0.11317680447914991</v>
      </c>
      <c r="AR65" s="15">
        <f t="shared" si="18"/>
        <v>1.154975673112606</v>
      </c>
      <c r="AS65" s="13">
        <f>(1+AR65)/(1+MAX(AR$2:AR65))-1</f>
        <v>0</v>
      </c>
      <c r="AT65" s="62"/>
    </row>
    <row r="66" spans="1:54" s="61" customFormat="1" outlineLevel="1" x14ac:dyDescent="0.3">
      <c r="A66" s="61" t="s">
        <v>664</v>
      </c>
      <c r="B66" s="55" t="str">
        <f t="shared" si="4"/>
        <v>2021-5</v>
      </c>
      <c r="C66" s="11">
        <v>44317</v>
      </c>
      <c r="D66" s="12" t="s">
        <v>40</v>
      </c>
      <c r="E66" s="14">
        <v>-2.7000000000000001E-3</v>
      </c>
      <c r="F66" s="15">
        <f t="shared" si="44"/>
        <v>4.5204361607608989E-2</v>
      </c>
      <c r="G66" s="15">
        <f t="shared" si="11"/>
        <v>0.34257602973762724</v>
      </c>
      <c r="H66" s="13">
        <f>(1+G66)/(1+MAX(G$2:G66))-1</f>
        <v>-1.8656800000000029E-2</v>
      </c>
      <c r="I66" s="12" t="s">
        <v>41</v>
      </c>
      <c r="J66" s="16">
        <v>5.1400000000000001E-2</v>
      </c>
      <c r="K66" s="17" t="s">
        <v>44</v>
      </c>
      <c r="L66" s="16">
        <v>4.2000000000000003E-2</v>
      </c>
      <c r="M66" s="14">
        <f t="shared" ref="M66:M103" si="50">AVERAGE(J66,L66)</f>
        <v>4.6700000000000005E-2</v>
      </c>
      <c r="N66" s="15">
        <f t="shared" si="45"/>
        <v>0.16339068759103048</v>
      </c>
      <c r="O66" s="15">
        <f t="shared" si="12"/>
        <v>1.0380375655995571</v>
      </c>
      <c r="P66" s="13">
        <f>(1+O66)/(1+MAX(O$2:O66))-1</f>
        <v>0</v>
      </c>
      <c r="Q66" s="18" t="s">
        <v>63</v>
      </c>
      <c r="R66" s="16">
        <v>2.9000000000000001E-2</v>
      </c>
      <c r="S66" s="56" t="s">
        <v>62</v>
      </c>
      <c r="T66" s="16">
        <v>-0.1235</v>
      </c>
      <c r="U66" s="14">
        <f>AVERAGE(R66,T66)</f>
        <v>-4.725E-2</v>
      </c>
      <c r="V66" s="15">
        <f t="shared" si="46"/>
        <v>-1.9910471606698565E-2</v>
      </c>
      <c r="W66" s="15">
        <f t="shared" si="13"/>
        <v>9.3685478297173486</v>
      </c>
      <c r="X66" s="13">
        <f>(1+W66)/(1+MAX(W$2:W66))-1</f>
        <v>-7.477624054252674E-2</v>
      </c>
      <c r="Y66" s="18" t="s">
        <v>61</v>
      </c>
      <c r="Z66" s="16">
        <v>-7.3999999999999996E-2</v>
      </c>
      <c r="AA66" s="57" t="s">
        <v>65</v>
      </c>
      <c r="AB66" s="16">
        <v>0.17710000000000001</v>
      </c>
      <c r="AC66" s="14">
        <f t="shared" ref="AC66:AC118" si="51">AVERAGE(Z66,AB66)</f>
        <v>5.1550000000000006E-2</v>
      </c>
      <c r="AD66" s="15">
        <f t="shared" si="47"/>
        <v>-0.13022240986328448</v>
      </c>
      <c r="AE66" s="15">
        <f t="shared" si="14"/>
        <v>12.008443970809187</v>
      </c>
      <c r="AF66" s="13">
        <f>(1+AE66)/(1+MAX(AE$2:AE66))-1</f>
        <v>-0.13022240986328459</v>
      </c>
      <c r="AG66" s="19"/>
      <c r="AH66" s="20">
        <f t="shared" ref="AH66:AH97" si="52">(E66+2*M66+2*U66+2*AC66)/7</f>
        <v>1.4185714285714289E-2</v>
      </c>
      <c r="AI66" s="15">
        <f t="shared" si="48"/>
        <v>1.3911781722923955E-2</v>
      </c>
      <c r="AJ66" s="15">
        <f t="shared" si="15"/>
        <v>4.7766896277635977</v>
      </c>
      <c r="AK66" s="15">
        <f>(1+AJ66)/(1+MAX(AJ$2:AJ66))-1</f>
        <v>0</v>
      </c>
      <c r="AL66" s="58">
        <f t="shared" si="16"/>
        <v>5776.6896277635933</v>
      </c>
      <c r="AM66" s="59"/>
      <c r="AN66" s="12" t="s">
        <v>86</v>
      </c>
      <c r="AO66" s="60">
        <v>4204.1099999999997</v>
      </c>
      <c r="AP66" s="14">
        <f t="shared" si="17"/>
        <v>5.4865025818131574E-3</v>
      </c>
      <c r="AQ66" s="15">
        <f t="shared" si="49"/>
        <v>0.11928425189093939</v>
      </c>
      <c r="AR66" s="15">
        <f t="shared" si="18"/>
        <v>1.1667989527068827</v>
      </c>
      <c r="AS66" s="13">
        <f>(1+AR66)/(1+MAX(AR$2:AR66))-1</f>
        <v>0</v>
      </c>
      <c r="AT66" s="62"/>
      <c r="AY66" s="62"/>
      <c r="AZ66" s="62"/>
      <c r="BA66" s="62"/>
      <c r="BB66" s="62"/>
    </row>
    <row r="67" spans="1:54" s="61" customFormat="1" outlineLevel="1" x14ac:dyDescent="0.3">
      <c r="A67" s="61" t="s">
        <v>664</v>
      </c>
      <c r="B67" s="55" t="str">
        <f t="shared" ref="B67:B121" si="53">YEAR(C67)&amp;"-"&amp;MONTH(C67)</f>
        <v>2021-6</v>
      </c>
      <c r="C67" s="11">
        <v>44348</v>
      </c>
      <c r="D67" s="12" t="s">
        <v>40</v>
      </c>
      <c r="E67" s="14">
        <v>4.36E-2</v>
      </c>
      <c r="F67" s="15">
        <f t="shared" si="44"/>
        <v>9.0775271773700927E-2</v>
      </c>
      <c r="G67" s="15">
        <f t="shared" si="11"/>
        <v>0.40111234463418799</v>
      </c>
      <c r="H67" s="13">
        <f>(1+G67)/(1+MAX(G$2:G67))-1</f>
        <v>0</v>
      </c>
      <c r="I67" s="12" t="s">
        <v>41</v>
      </c>
      <c r="J67" s="16">
        <v>6.7799999999999999E-2</v>
      </c>
      <c r="K67" s="17" t="s">
        <v>44</v>
      </c>
      <c r="L67" s="16">
        <v>-6.7000000000000002E-3</v>
      </c>
      <c r="M67" s="14">
        <f t="shared" si="50"/>
        <v>3.0550000000000001E-2</v>
      </c>
      <c r="N67" s="15">
        <f t="shared" si="45"/>
        <v>0.19893227309693651</v>
      </c>
      <c r="O67" s="15">
        <f t="shared" si="12"/>
        <v>1.1002996132286236</v>
      </c>
      <c r="P67" s="13">
        <f>(1+O67)/(1+MAX(O$2:O67))-1</f>
        <v>0</v>
      </c>
      <c r="Q67" s="18" t="s">
        <v>634</v>
      </c>
      <c r="R67" s="16">
        <v>-0.1101</v>
      </c>
      <c r="S67" s="56" t="s">
        <v>62</v>
      </c>
      <c r="T67" s="16">
        <v>0.1137</v>
      </c>
      <c r="U67" s="14">
        <f t="shared" ref="U67:U77" si="54">AVERAGE(R67,T67)</f>
        <v>1.799999999999996E-3</v>
      </c>
      <c r="V67" s="15">
        <f t="shared" si="46"/>
        <v>-1.8146310455590564E-2</v>
      </c>
      <c r="W67" s="15">
        <f t="shared" si="13"/>
        <v>9.3872112158108401</v>
      </c>
      <c r="X67" s="13">
        <f>(1+W67)/(1+MAX(W$2:W67))-1</f>
        <v>-7.3110837775503312E-2</v>
      </c>
      <c r="Y67" s="18" t="s">
        <v>64</v>
      </c>
      <c r="Z67" s="16">
        <v>-2.98E-2</v>
      </c>
      <c r="AA67" s="57" t="s">
        <v>65</v>
      </c>
      <c r="AB67" s="16">
        <v>1.7600000000000001E-2</v>
      </c>
      <c r="AC67" s="14">
        <f t="shared" si="51"/>
        <v>-6.0999999999999995E-3</v>
      </c>
      <c r="AD67" s="15">
        <f t="shared" si="47"/>
        <v>-0.13552805316311844</v>
      </c>
      <c r="AE67" s="15">
        <f t="shared" si="14"/>
        <v>11.929092462587251</v>
      </c>
      <c r="AF67" s="13">
        <f>(1+AE67)/(1+MAX(AE$2:AE67))-1</f>
        <v>-0.13552805316311856</v>
      </c>
      <c r="AG67" s="19"/>
      <c r="AH67" s="20">
        <f t="shared" si="52"/>
        <v>1.3728571428571427E-2</v>
      </c>
      <c r="AI67" s="15">
        <f t="shared" si="48"/>
        <v>2.7831342040577356E-2</v>
      </c>
      <c r="AJ67" s="15">
        <f t="shared" si="15"/>
        <v>4.8559953239390383</v>
      </c>
      <c r="AK67" s="15">
        <f>(1+AJ67)/(1+MAX(AJ$2:AJ67))-1</f>
        <v>0</v>
      </c>
      <c r="AL67" s="58">
        <f t="shared" si="16"/>
        <v>5855.9953239390343</v>
      </c>
      <c r="AM67" s="59"/>
      <c r="AN67" s="12" t="s">
        <v>86</v>
      </c>
      <c r="AO67" s="60">
        <v>4297.5</v>
      </c>
      <c r="AP67" s="14">
        <f t="shared" si="17"/>
        <v>2.221397632316946E-2</v>
      </c>
      <c r="AQ67" s="15">
        <f t="shared" si="49"/>
        <v>0.14414800576134112</v>
      </c>
      <c r="AR67" s="15">
        <f t="shared" si="18"/>
        <v>1.2149321733393816</v>
      </c>
      <c r="AS67" s="13">
        <f>(1+AR67)/(1+MAX(AR$2:AR67))-1</f>
        <v>0</v>
      </c>
      <c r="AT67" s="62"/>
      <c r="AY67" s="62"/>
      <c r="AZ67" s="62"/>
      <c r="BA67" s="62"/>
      <c r="BB67" s="62"/>
    </row>
    <row r="68" spans="1:54" s="61" customFormat="1" outlineLevel="1" x14ac:dyDescent="0.3">
      <c r="A68" s="61" t="s">
        <v>664</v>
      </c>
      <c r="B68" s="55" t="str">
        <f t="shared" si="53"/>
        <v>2021-7</v>
      </c>
      <c r="C68" s="11">
        <v>44378</v>
      </c>
      <c r="D68" s="12" t="s">
        <v>40</v>
      </c>
      <c r="E68" s="14">
        <v>-3.5499999999999997E-2</v>
      </c>
      <c r="F68" s="15">
        <f t="shared" si="44"/>
        <v>5.2052749625734585E-2</v>
      </c>
      <c r="G68" s="15">
        <f t="shared" ref="G68:G119" si="55">+(1+E68)*(1+G67)-1</f>
        <v>0.3513728563996743</v>
      </c>
      <c r="H68" s="13">
        <f>(1+G68)/(1+MAX(G$2:G68))-1</f>
        <v>-3.5499999999999976E-2</v>
      </c>
      <c r="I68" s="12" t="s">
        <v>41</v>
      </c>
      <c r="J68" s="16">
        <v>-8.2500000000000004E-2</v>
      </c>
      <c r="K68" s="17" t="s">
        <v>44</v>
      </c>
      <c r="L68" s="16">
        <v>-3.8999999999999998E-3</v>
      </c>
      <c r="M68" s="14">
        <f t="shared" si="50"/>
        <v>-4.3200000000000002E-2</v>
      </c>
      <c r="N68" s="15">
        <f t="shared" si="45"/>
        <v>0.14713839889914881</v>
      </c>
      <c r="O68" s="15">
        <f t="shared" ref="O68:O119" si="56">+(1+M68)*(1+O67)-1</f>
        <v>1.0095666699371471</v>
      </c>
      <c r="P68" s="13">
        <f>(1+O68)/(1+MAX(O$2:O68))-1</f>
        <v>-4.3200000000000016E-2</v>
      </c>
      <c r="Q68" s="18" t="s">
        <v>66</v>
      </c>
      <c r="R68" s="16">
        <v>-0.11409999999999999</v>
      </c>
      <c r="S68" s="56" t="s">
        <v>63</v>
      </c>
      <c r="T68" s="16">
        <v>0.50590000000000002</v>
      </c>
      <c r="U68" s="14">
        <f t="shared" si="54"/>
        <v>0.19590000000000002</v>
      </c>
      <c r="V68" s="15">
        <f t="shared" si="46"/>
        <v>0.17419882732615921</v>
      </c>
      <c r="W68" s="15">
        <f t="shared" ref="W68:W119" si="57">+(1+U68)*(1+W67)-1</f>
        <v>11.422065892988183</v>
      </c>
      <c r="X68" s="13">
        <f>(1+W68)/(1+MAX(W$2:W68))-1</f>
        <v>0</v>
      </c>
      <c r="Y68" s="18" t="s">
        <v>37</v>
      </c>
      <c r="Z68" s="16">
        <v>2.69E-2</v>
      </c>
      <c r="AA68" s="57" t="s">
        <v>65</v>
      </c>
      <c r="AB68" s="16">
        <v>-2.12E-2</v>
      </c>
      <c r="AC68" s="14">
        <f t="shared" si="51"/>
        <v>2.8500000000000001E-3</v>
      </c>
      <c r="AD68" s="15">
        <f t="shared" si="47"/>
        <v>-0.13306430811463332</v>
      </c>
      <c r="AE68" s="15">
        <f t="shared" ref="AE68:AE119" si="58">+(1+AC68)*(1+AE67)-1</f>
        <v>11.965940376105625</v>
      </c>
      <c r="AF68" s="13">
        <f>(1+AE68)/(1+MAX(AE$2:AE68))-1</f>
        <v>-0.13306430811463343</v>
      </c>
      <c r="AG68" s="19"/>
      <c r="AH68" s="20">
        <f t="shared" si="52"/>
        <v>3.9371428571428571E-2</v>
      </c>
      <c r="AI68" s="15">
        <f t="shared" si="48"/>
        <v>6.8298530307203453E-2</v>
      </c>
      <c r="AJ68" s="15">
        <f t="shared" ref="AJ68:AJ121" si="59">+(1+AH68)*(1+AJ67)-1</f>
        <v>5.0865542255501239</v>
      </c>
      <c r="AK68" s="15">
        <f>(1+AJ68)/(1+MAX(AJ$2:AJ68))-1</f>
        <v>0</v>
      </c>
      <c r="AL68" s="58">
        <f t="shared" ref="AL68:AL121" si="60">AL67*(1+AH68)</f>
        <v>6086.5542255501196</v>
      </c>
      <c r="AM68" s="59"/>
      <c r="AN68" s="12" t="s">
        <v>86</v>
      </c>
      <c r="AO68" s="60">
        <v>4395.26</v>
      </c>
      <c r="AP68" s="14">
        <f t="shared" ref="AP68:AP121" si="61">AO68/AO67-1</f>
        <v>2.274810936591054E-2</v>
      </c>
      <c r="AQ68" s="15">
        <f t="shared" si="49"/>
        <v>0.17017520972718847</v>
      </c>
      <c r="AR68" s="15">
        <f t="shared" ref="AR68:AR121" si="62">+(1+AP68)*(1+AR67)-1</f>
        <v>1.2653176926565797</v>
      </c>
      <c r="AS68" s="13">
        <f>(1+AR68)/(1+MAX(AR$2:AR68))-1</f>
        <v>0</v>
      </c>
      <c r="AT68" s="62"/>
      <c r="AY68" s="62"/>
      <c r="AZ68" s="62"/>
      <c r="BA68" s="62"/>
      <c r="BB68" s="62"/>
    </row>
    <row r="69" spans="1:54" s="61" customFormat="1" outlineLevel="1" x14ac:dyDescent="0.3">
      <c r="A69" s="61" t="s">
        <v>664</v>
      </c>
      <c r="B69" s="55" t="str">
        <f t="shared" si="53"/>
        <v>2021-8</v>
      </c>
      <c r="C69" s="11">
        <v>44409</v>
      </c>
      <c r="D69" s="12" t="s">
        <v>50</v>
      </c>
      <c r="E69" s="14">
        <v>-8.3999999999999995E-3</v>
      </c>
      <c r="F69" s="15">
        <f t="shared" si="44"/>
        <v>4.32155065288784E-2</v>
      </c>
      <c r="G69" s="15">
        <f t="shared" si="55"/>
        <v>0.34002132440591715</v>
      </c>
      <c r="H69" s="13">
        <f>(1+G69)/(1+MAX(G$2:G69))-1</f>
        <v>-4.3601799999999913E-2</v>
      </c>
      <c r="I69" s="12" t="s">
        <v>41</v>
      </c>
      <c r="J69" s="16">
        <v>-1.21E-2</v>
      </c>
      <c r="K69" s="17" t="s">
        <v>44</v>
      </c>
      <c r="L69" s="16">
        <v>0.06</v>
      </c>
      <c r="M69" s="14">
        <f t="shared" si="50"/>
        <v>2.3949999999999999E-2</v>
      </c>
      <c r="N69" s="15">
        <f t="shared" si="45"/>
        <v>0.17461236355278342</v>
      </c>
      <c r="O69" s="15">
        <f t="shared" si="56"/>
        <v>1.0576957916821415</v>
      </c>
      <c r="P69" s="13">
        <f>(1+O69)/(1+MAX(O$2:O69))-1</f>
        <v>-2.0284640000000076E-2</v>
      </c>
      <c r="Q69" s="18" t="s">
        <v>63</v>
      </c>
      <c r="R69" s="16">
        <v>7.3999999999999996E-2</v>
      </c>
      <c r="S69" s="56" t="s">
        <v>635</v>
      </c>
      <c r="T69" s="16">
        <v>0.1394</v>
      </c>
      <c r="U69" s="14">
        <f t="shared" si="54"/>
        <v>0.10669999999999999</v>
      </c>
      <c r="V69" s="15">
        <f t="shared" si="46"/>
        <v>0.29948584220186047</v>
      </c>
      <c r="W69" s="15">
        <f t="shared" si="57"/>
        <v>12.747500323770023</v>
      </c>
      <c r="X69" s="13">
        <f>(1+W69)/(1+MAX(W$2:W69))-1</f>
        <v>0</v>
      </c>
      <c r="Y69" s="18" t="s">
        <v>37</v>
      </c>
      <c r="Z69" s="16">
        <v>1.32E-2</v>
      </c>
      <c r="AA69" s="57" t="s">
        <v>65</v>
      </c>
      <c r="AB69" s="16">
        <v>4.6199999999999998E-2</v>
      </c>
      <c r="AC69" s="14">
        <f t="shared" si="51"/>
        <v>2.9699999999999997E-2</v>
      </c>
      <c r="AD69" s="15">
        <f t="shared" si="47"/>
        <v>-0.10731631806563791</v>
      </c>
      <c r="AE69" s="15">
        <f t="shared" si="58"/>
        <v>12.351028805275963</v>
      </c>
      <c r="AF69" s="13">
        <f>(1+AE69)/(1+MAX(AE$2:AE69))-1</f>
        <v>-0.10731631806563802</v>
      </c>
      <c r="AG69" s="19"/>
      <c r="AH69" s="20">
        <f t="shared" si="52"/>
        <v>4.461428571428571E-2</v>
      </c>
      <c r="AI69" s="15">
        <f t="shared" si="48"/>
        <v>0.11595990616648044</v>
      </c>
      <c r="AJ69" s="15">
        <f t="shared" si="59"/>
        <v>5.35810149478431</v>
      </c>
      <c r="AK69" s="15">
        <f>(1+AJ69)/(1+MAX(AJ$2:AJ69))-1</f>
        <v>0</v>
      </c>
      <c r="AL69" s="58">
        <f t="shared" si="60"/>
        <v>6358.1014947843059</v>
      </c>
      <c r="AM69" s="59"/>
      <c r="AN69" s="12" t="s">
        <v>86</v>
      </c>
      <c r="AO69" s="60">
        <v>4522.68</v>
      </c>
      <c r="AP69" s="14">
        <f t="shared" si="61"/>
        <v>2.8990321391681118E-2</v>
      </c>
      <c r="AQ69" s="15">
        <f t="shared" si="49"/>
        <v>0.20409896514175752</v>
      </c>
      <c r="AR69" s="15">
        <f t="shared" si="62"/>
        <v>1.3309899806209553</v>
      </c>
      <c r="AS69" s="13">
        <f>(1+AR69)/(1+MAX(AR$2:AR69))-1</f>
        <v>0</v>
      </c>
      <c r="AT69" s="62"/>
      <c r="AY69" s="62"/>
      <c r="AZ69" s="62"/>
      <c r="BA69" s="62"/>
      <c r="BB69" s="62"/>
    </row>
    <row r="70" spans="1:54" s="61" customFormat="1" outlineLevel="1" x14ac:dyDescent="0.3">
      <c r="A70" s="61" t="s">
        <v>664</v>
      </c>
      <c r="B70" s="55" t="str">
        <f t="shared" si="53"/>
        <v>2021-9</v>
      </c>
      <c r="C70" s="11">
        <v>44440</v>
      </c>
      <c r="D70" s="12" t="s">
        <v>50</v>
      </c>
      <c r="E70" s="14">
        <v>6.9800000000000001E-2</v>
      </c>
      <c r="F70" s="15">
        <f t="shared" si="44"/>
        <v>0.11603194888459423</v>
      </c>
      <c r="G70" s="15">
        <f t="shared" si="55"/>
        <v>0.43355481284945019</v>
      </c>
      <c r="H70" s="13">
        <f>(1+G70)/(1+MAX(G$2:G70))-1</f>
        <v>0</v>
      </c>
      <c r="I70" s="12" t="s">
        <v>44</v>
      </c>
      <c r="J70" s="16">
        <v>-1.9E-3</v>
      </c>
      <c r="K70" s="17" t="s">
        <v>56</v>
      </c>
      <c r="L70" s="16">
        <v>-4.6699999999999998E-2</v>
      </c>
      <c r="M70" s="14">
        <f t="shared" si="50"/>
        <v>-2.4299999999999999E-2</v>
      </c>
      <c r="N70" s="15">
        <f t="shared" si="45"/>
        <v>0.14606928311845091</v>
      </c>
      <c r="O70" s="15">
        <f t="shared" si="56"/>
        <v>1.0076937839442652</v>
      </c>
      <c r="P70" s="13">
        <f>(1+O70)/(1+MAX(O$2:O70))-1</f>
        <v>-4.4091723248000259E-2</v>
      </c>
      <c r="Q70" s="18" t="s">
        <v>63</v>
      </c>
      <c r="R70" s="16">
        <v>3.8899999999999997E-2</v>
      </c>
      <c r="S70" s="56" t="s">
        <v>635</v>
      </c>
      <c r="T70" s="16">
        <v>-0.1447</v>
      </c>
      <c r="U70" s="14">
        <f t="shared" si="54"/>
        <v>-5.2900000000000003E-2</v>
      </c>
      <c r="V70" s="15">
        <f t="shared" si="46"/>
        <v>0.23074304114938204</v>
      </c>
      <c r="W70" s="15">
        <f t="shared" si="57"/>
        <v>12.020257556642589</v>
      </c>
      <c r="X70" s="13">
        <f>(1+W70)/(1+MAX(W$2:W70))-1</f>
        <v>-5.2899999999999947E-2</v>
      </c>
      <c r="Y70" s="18" t="s">
        <v>37</v>
      </c>
      <c r="Z70" s="16">
        <v>-4.3E-3</v>
      </c>
      <c r="AA70" s="57" t="s">
        <v>65</v>
      </c>
      <c r="AB70" s="16">
        <v>-2.1399999999999999E-2</v>
      </c>
      <c r="AC70" s="14">
        <f t="shared" si="51"/>
        <v>-1.285E-2</v>
      </c>
      <c r="AD70" s="15">
        <f t="shared" si="47"/>
        <v>-0.11878730337849452</v>
      </c>
      <c r="AE70" s="15">
        <f t="shared" si="58"/>
        <v>12.179468085128166</v>
      </c>
      <c r="AF70" s="13">
        <f>(1+AE70)/(1+MAX(AE$2:AE70))-1</f>
        <v>-0.11878730337849464</v>
      </c>
      <c r="AG70" s="19"/>
      <c r="AH70" s="20">
        <f t="shared" si="52"/>
        <v>-1.5757142857142858E-2</v>
      </c>
      <c r="AI70" s="15">
        <f t="shared" si="48"/>
        <v>9.8375566502171496E-2</v>
      </c>
      <c r="AJ70" s="15">
        <f t="shared" si="59"/>
        <v>5.2579159812307807</v>
      </c>
      <c r="AK70" s="15">
        <f>(1+AJ70)/(1+MAX(AJ$2:AJ70))-1</f>
        <v>-1.5757142857142803E-2</v>
      </c>
      <c r="AL70" s="58">
        <f t="shared" si="60"/>
        <v>6257.9159812307762</v>
      </c>
      <c r="AM70" s="59"/>
      <c r="AN70" s="12" t="s">
        <v>86</v>
      </c>
      <c r="AO70" s="60">
        <v>4307.54</v>
      </c>
      <c r="AP70" s="14">
        <f t="shared" si="61"/>
        <v>-4.7569140421166334E-2</v>
      </c>
      <c r="AQ70" s="15">
        <f t="shared" si="49"/>
        <v>0.14682101238794809</v>
      </c>
      <c r="AR70" s="15">
        <f t="shared" si="62"/>
        <v>1.2201067909124652</v>
      </c>
      <c r="AS70" s="13">
        <f>(1+AR70)/(1+MAX(AR$2:AR70))-1</f>
        <v>-4.7569140421166334E-2</v>
      </c>
      <c r="AT70" s="62"/>
      <c r="AY70" s="62"/>
    </row>
    <row r="71" spans="1:54" s="61" customFormat="1" outlineLevel="1" x14ac:dyDescent="0.3">
      <c r="A71" s="61" t="s">
        <v>664</v>
      </c>
      <c r="B71" s="55" t="str">
        <f t="shared" si="53"/>
        <v>2021-10</v>
      </c>
      <c r="C71" s="11">
        <v>44470</v>
      </c>
      <c r="D71" s="12" t="s">
        <v>50</v>
      </c>
      <c r="E71" s="14">
        <v>5.0599999999999999E-2</v>
      </c>
      <c r="F71" s="15">
        <f t="shared" si="44"/>
        <v>0.17250316549815459</v>
      </c>
      <c r="G71" s="15">
        <f t="shared" si="55"/>
        <v>0.50609268637963223</v>
      </c>
      <c r="H71" s="13">
        <f>(1+G71)/(1+MAX(G$2:G71))-1</f>
        <v>0</v>
      </c>
      <c r="I71" s="12" t="s">
        <v>41</v>
      </c>
      <c r="J71" s="16">
        <v>9.5500000000000002E-2</v>
      </c>
      <c r="K71" s="17" t="s">
        <v>44</v>
      </c>
      <c r="L71" s="16">
        <v>6.5199999999999994E-2</v>
      </c>
      <c r="M71" s="14">
        <f t="shared" si="50"/>
        <v>8.0350000000000005E-2</v>
      </c>
      <c r="N71" s="15">
        <f t="shared" si="45"/>
        <v>0.23815595001701828</v>
      </c>
      <c r="O71" s="15">
        <f t="shared" si="56"/>
        <v>1.1690119794841869</v>
      </c>
      <c r="P71" s="13">
        <f>(1+O71)/(1+MAX(O$2:O71))-1</f>
        <v>0</v>
      </c>
      <c r="Q71" s="18" t="s">
        <v>66</v>
      </c>
      <c r="R71" s="16">
        <v>0.1208</v>
      </c>
      <c r="S71" s="56" t="s">
        <v>63</v>
      </c>
      <c r="T71" s="16">
        <v>-0.10929999999999999</v>
      </c>
      <c r="U71" s="14">
        <f t="shared" si="54"/>
        <v>5.7500000000000051E-3</v>
      </c>
      <c r="V71" s="15">
        <f t="shared" si="46"/>
        <v>0.23781981363599081</v>
      </c>
      <c r="W71" s="15">
        <f t="shared" si="57"/>
        <v>12.095124037593283</v>
      </c>
      <c r="X71" s="13">
        <f>(1+W71)/(1+MAX(W$2:W71))-1</f>
        <v>-4.7454175000000043E-2</v>
      </c>
      <c r="Y71" s="18" t="s">
        <v>146</v>
      </c>
      <c r="Z71" s="16">
        <v>-4.02E-2</v>
      </c>
      <c r="AA71" s="57" t="s">
        <v>65</v>
      </c>
      <c r="AB71" s="16">
        <v>3.9899999999999998E-2</v>
      </c>
      <c r="AC71" s="14">
        <f t="shared" si="51"/>
        <v>-1.5000000000000083E-4</v>
      </c>
      <c r="AD71" s="15">
        <f t="shared" si="47"/>
        <v>-0.11891948528298768</v>
      </c>
      <c r="AE71" s="15">
        <f t="shared" si="58"/>
        <v>12.177491164915397</v>
      </c>
      <c r="AF71" s="13">
        <f>(1+AE71)/(1+MAX(AE$2:AE71))-1</f>
        <v>-0.1189194852829879</v>
      </c>
      <c r="AG71" s="21"/>
      <c r="AH71" s="20">
        <f t="shared" si="52"/>
        <v>3.1785714285714292E-2</v>
      </c>
      <c r="AI71" s="15">
        <f t="shared" si="48"/>
        <v>0.13328821843741911</v>
      </c>
      <c r="AJ71" s="15">
        <f t="shared" si="59"/>
        <v>5.4568283106341875</v>
      </c>
      <c r="AK71" s="15">
        <f>(1+AJ71)/(1+MAX(AJ$2:AJ71))-1</f>
        <v>0</v>
      </c>
      <c r="AL71" s="58">
        <f t="shared" si="60"/>
        <v>6456.8283106341833</v>
      </c>
      <c r="AM71" s="59"/>
      <c r="AN71" s="12" t="s">
        <v>86</v>
      </c>
      <c r="AO71" s="60">
        <v>4605.38</v>
      </c>
      <c r="AP71" s="14">
        <f t="shared" si="61"/>
        <v>6.9143873301234615E-2</v>
      </c>
      <c r="AQ71" s="15">
        <f t="shared" si="49"/>
        <v>0.22611665916769397</v>
      </c>
      <c r="AR71" s="15">
        <f t="shared" si="62"/>
        <v>1.3736135735785271</v>
      </c>
      <c r="AS71" s="13">
        <f>(1+AR71)/(1+MAX(AR$2:AR71))-1</f>
        <v>0</v>
      </c>
      <c r="AT71" s="62"/>
    </row>
    <row r="72" spans="1:54" s="61" customFormat="1" outlineLevel="1" x14ac:dyDescent="0.3">
      <c r="A72" s="61" t="s">
        <v>664</v>
      </c>
      <c r="B72" s="55" t="str">
        <f t="shared" si="53"/>
        <v>2021-11</v>
      </c>
      <c r="C72" s="11">
        <v>44501</v>
      </c>
      <c r="D72" s="12" t="s">
        <v>50</v>
      </c>
      <c r="E72" s="14">
        <v>-5.6099999999999997E-2</v>
      </c>
      <c r="F72" s="15">
        <f t="shared" si="44"/>
        <v>0.1067257379137081</v>
      </c>
      <c r="G72" s="15">
        <f t="shared" si="55"/>
        <v>0.42160088667373485</v>
      </c>
      <c r="H72" s="13">
        <f>(1+G72)/(1+MAX(G$2:G72))-1</f>
        <v>-5.6100000000000039E-2</v>
      </c>
      <c r="I72" s="12" t="s">
        <v>41</v>
      </c>
      <c r="J72" s="16">
        <v>-1.7299999999999999E-2</v>
      </c>
      <c r="K72" s="17" t="s">
        <v>44</v>
      </c>
      <c r="L72" s="16">
        <v>-2.46E-2</v>
      </c>
      <c r="M72" s="14">
        <f t="shared" si="50"/>
        <v>-2.095E-2</v>
      </c>
      <c r="N72" s="15">
        <f t="shared" si="45"/>
        <v>0.21221658286416178</v>
      </c>
      <c r="O72" s="15">
        <f t="shared" si="56"/>
        <v>1.123571178513993</v>
      </c>
      <c r="P72" s="13">
        <f>(1+O72)/(1+MAX(O$2:O72))-1</f>
        <v>-2.0950000000000024E-2</v>
      </c>
      <c r="Q72" s="18" t="s">
        <v>66</v>
      </c>
      <c r="R72" s="16">
        <v>8.5699999999999998E-2</v>
      </c>
      <c r="S72" s="56" t="s">
        <v>63</v>
      </c>
      <c r="T72" s="16">
        <v>5.62E-2</v>
      </c>
      <c r="U72" s="14">
        <f t="shared" si="54"/>
        <v>7.0949999999999999E-2</v>
      </c>
      <c r="V72" s="15">
        <f t="shared" si="46"/>
        <v>0.32564312941346452</v>
      </c>
      <c r="W72" s="15">
        <f t="shared" si="57"/>
        <v>13.024223088060527</v>
      </c>
      <c r="X72" s="13">
        <f>(1+W72)/(1+MAX(W$2:W72))-1</f>
        <v>0</v>
      </c>
      <c r="Y72" s="18" t="s">
        <v>59</v>
      </c>
      <c r="Z72" s="16">
        <v>1.38E-2</v>
      </c>
      <c r="AA72" s="57" t="s">
        <v>65</v>
      </c>
      <c r="AB72" s="16">
        <v>-0.1232</v>
      </c>
      <c r="AC72" s="14">
        <f t="shared" si="51"/>
        <v>-5.4699999999999999E-2</v>
      </c>
      <c r="AD72" s="15">
        <f t="shared" si="47"/>
        <v>-0.16711458943800828</v>
      </c>
      <c r="AE72" s="15">
        <f t="shared" si="58"/>
        <v>11.456682398194525</v>
      </c>
      <c r="AF72" s="13">
        <f>(1+AE72)/(1+MAX(AE$2:AE72))-1</f>
        <v>-0.16711458943800839</v>
      </c>
      <c r="AG72" s="21"/>
      <c r="AH72" s="20">
        <f t="shared" si="52"/>
        <v>-9.3571428571428573E-3</v>
      </c>
      <c r="AI72" s="15">
        <f t="shared" si="48"/>
        <v>0.12268387867918329</v>
      </c>
      <c r="AJ72" s="15">
        <f t="shared" si="59"/>
        <v>5.396410845727539</v>
      </c>
      <c r="AK72" s="15">
        <f>(1+AJ72)/(1+MAX(AJ$2:AJ72))-1</f>
        <v>-9.3571428571428417E-3</v>
      </c>
      <c r="AL72" s="58">
        <f t="shared" si="60"/>
        <v>6396.4108457275352</v>
      </c>
      <c r="AM72" s="59"/>
      <c r="AN72" s="12" t="s">
        <v>86</v>
      </c>
      <c r="AO72" s="60">
        <v>4567</v>
      </c>
      <c r="AP72" s="14">
        <f t="shared" si="61"/>
        <v>-8.3337314184714906E-3</v>
      </c>
      <c r="AQ72" s="15">
        <f t="shared" si="49"/>
        <v>0.2158985322424769</v>
      </c>
      <c r="AR72" s="15">
        <f t="shared" si="62"/>
        <v>1.3538325155650854</v>
      </c>
      <c r="AS72" s="13">
        <f>(1+AR72)/(1+MAX(AR$2:AR72))-1</f>
        <v>-8.3337314184714906E-3</v>
      </c>
      <c r="AT72" s="62"/>
    </row>
    <row r="73" spans="1:54" s="27" customFormat="1" ht="15" thickBot="1" x14ac:dyDescent="0.35">
      <c r="A73" s="27" t="s">
        <v>664</v>
      </c>
      <c r="B73" s="63" t="str">
        <f t="shared" si="53"/>
        <v>2021-12</v>
      </c>
      <c r="C73" s="22">
        <v>44531</v>
      </c>
      <c r="D73" s="23" t="s">
        <v>50</v>
      </c>
      <c r="E73" s="24">
        <v>6.3799999999999996E-2</v>
      </c>
      <c r="F73" s="25">
        <f t="shared" si="44"/>
        <v>0.17733483999260269</v>
      </c>
      <c r="G73" s="25">
        <f t="shared" si="55"/>
        <v>0.51229902324351917</v>
      </c>
      <c r="H73" s="26">
        <f>(1+G73)/(1+MAX(G$2:G73))-1</f>
        <v>0</v>
      </c>
      <c r="I73" s="23" t="s">
        <v>41</v>
      </c>
      <c r="J73" s="31">
        <v>2.7E-2</v>
      </c>
      <c r="K73" s="28" t="s">
        <v>51</v>
      </c>
      <c r="L73" s="31">
        <v>2.9600000000000001E-2</v>
      </c>
      <c r="M73" s="24">
        <f t="shared" si="50"/>
        <v>2.8299999999999999E-2</v>
      </c>
      <c r="N73" s="25">
        <f t="shared" si="45"/>
        <v>0.24652231215921749</v>
      </c>
      <c r="O73" s="25">
        <f t="shared" si="56"/>
        <v>1.1836682428659389</v>
      </c>
      <c r="P73" s="26">
        <f>(1+O73)/(1+MAX(O$2:O73))-1</f>
        <v>0</v>
      </c>
      <c r="Q73" s="29" t="s">
        <v>66</v>
      </c>
      <c r="R73" s="143">
        <v>5.1900000000000002E-2</v>
      </c>
      <c r="S73" s="65" t="s">
        <v>63</v>
      </c>
      <c r="T73" s="28">
        <v>-0.2903</v>
      </c>
      <c r="U73" s="24">
        <f t="shared" si="54"/>
        <v>-0.1192</v>
      </c>
      <c r="V73" s="25">
        <f t="shared" si="46"/>
        <v>0.1676264683873796</v>
      </c>
      <c r="W73" s="25">
        <f t="shared" si="57"/>
        <v>11.352535695963713</v>
      </c>
      <c r="X73" s="26">
        <f>(1+W73)/(1+MAX(W$2:W73))-1</f>
        <v>-0.11919999999999997</v>
      </c>
      <c r="Y73" s="29" t="s">
        <v>59</v>
      </c>
      <c r="Z73" s="28">
        <v>-2.0400000000000001E-2</v>
      </c>
      <c r="AA73" s="65" t="s">
        <v>65</v>
      </c>
      <c r="AB73" s="28">
        <v>0.10349999999999999</v>
      </c>
      <c r="AC73" s="24">
        <f t="shared" si="51"/>
        <v>4.1549999999999997E-2</v>
      </c>
      <c r="AD73" s="25">
        <f t="shared" si="47"/>
        <v>-0.13250820062915758</v>
      </c>
      <c r="AE73" s="25">
        <f t="shared" si="58"/>
        <v>11.974257551839507</v>
      </c>
      <c r="AF73" s="26">
        <f>(1+AE73)/(1+MAX(AE$2:AE73))-1</f>
        <v>-0.13250820062915769</v>
      </c>
      <c r="AG73" s="31"/>
      <c r="AH73" s="32">
        <f t="shared" si="52"/>
        <v>-4.9857142857142878E-3</v>
      </c>
      <c r="AI73" s="25">
        <f t="shared" si="48"/>
        <v>0.11708649762691148</v>
      </c>
      <c r="AJ73" s="25">
        <f t="shared" si="59"/>
        <v>5.3645201687966972</v>
      </c>
      <c r="AK73" s="25">
        <f>(1+AJ73)/(1+MAX(AJ$2:AJ73))-1</f>
        <v>-1.4296205102040882E-2</v>
      </c>
      <c r="AL73" s="66">
        <f t="shared" si="60"/>
        <v>6364.5201687966937</v>
      </c>
      <c r="AM73" s="22"/>
      <c r="AN73" s="23" t="s">
        <v>86</v>
      </c>
      <c r="AO73" s="67">
        <v>4766.18</v>
      </c>
      <c r="AP73" s="24">
        <f t="shared" si="61"/>
        <v>4.3612874972629889E-2</v>
      </c>
      <c r="AQ73" s="25">
        <f t="shared" si="49"/>
        <v>0.26892736290857222</v>
      </c>
      <c r="AR73" s="25">
        <f t="shared" si="62"/>
        <v>1.4564899187729363</v>
      </c>
      <c r="AS73" s="26">
        <f>(1+AR73)/(1+MAX(AR$2:AR73))-1</f>
        <v>0</v>
      </c>
      <c r="AT73" s="68"/>
    </row>
    <row r="74" spans="1:54" s="54" customFormat="1" outlineLevel="1" x14ac:dyDescent="0.3">
      <c r="A74" s="54" t="s">
        <v>664</v>
      </c>
      <c r="B74" s="48" t="str">
        <f t="shared" si="53"/>
        <v>2022-1</v>
      </c>
      <c r="C74" s="1">
        <v>44562</v>
      </c>
      <c r="D74" s="2" t="s">
        <v>50</v>
      </c>
      <c r="E74" s="4">
        <v>9.5600000000000004E-2</v>
      </c>
      <c r="F74" s="5">
        <f>+E74</f>
        <v>9.5600000000000004E-2</v>
      </c>
      <c r="G74" s="5">
        <f t="shared" si="55"/>
        <v>0.65687480986559943</v>
      </c>
      <c r="H74" s="3">
        <f>(1+G74)/(1+MAX(G$2:G74))-1</f>
        <v>0</v>
      </c>
      <c r="I74" s="2" t="s">
        <v>41</v>
      </c>
      <c r="J74" s="6">
        <v>0.20610000000000001</v>
      </c>
      <c r="K74" s="7" t="s">
        <v>51</v>
      </c>
      <c r="L74" s="6">
        <v>-5.3999999999999999E-2</v>
      </c>
      <c r="M74" s="4">
        <f t="shared" si="50"/>
        <v>7.6050000000000006E-2</v>
      </c>
      <c r="N74" s="5">
        <f>+M74</f>
        <v>7.6050000000000006E-2</v>
      </c>
      <c r="O74" s="5">
        <f t="shared" si="56"/>
        <v>1.3497362127358934</v>
      </c>
      <c r="P74" s="3">
        <f>(1+O74)/(1+MAX(O$2:O74))-1</f>
        <v>0</v>
      </c>
      <c r="Q74" s="8" t="s">
        <v>66</v>
      </c>
      <c r="R74" s="6">
        <v>0.1658</v>
      </c>
      <c r="S74" s="49" t="s">
        <v>63</v>
      </c>
      <c r="T74" s="6">
        <v>-0.32300000000000001</v>
      </c>
      <c r="U74" s="4">
        <f t="shared" si="54"/>
        <v>-7.8600000000000003E-2</v>
      </c>
      <c r="V74" s="5">
        <f>+U74</f>
        <v>-7.8600000000000003E-2</v>
      </c>
      <c r="W74" s="5">
        <f t="shared" si="57"/>
        <v>10.381626390260966</v>
      </c>
      <c r="X74" s="3">
        <f>(1+W74)/(1+MAX(W$2:W74))-1</f>
        <v>-0.18843087999999997</v>
      </c>
      <c r="Y74" s="8" t="s">
        <v>59</v>
      </c>
      <c r="Z74" s="6">
        <v>-0.22309999999999999</v>
      </c>
      <c r="AA74" s="50" t="s">
        <v>618</v>
      </c>
      <c r="AB74" s="6">
        <v>-0.21829999999999999</v>
      </c>
      <c r="AC74" s="4">
        <f t="shared" si="51"/>
        <v>-0.22070000000000001</v>
      </c>
      <c r="AD74" s="5">
        <f>+AC74</f>
        <v>-0.22070000000000001</v>
      </c>
      <c r="AE74" s="5">
        <f t="shared" si="58"/>
        <v>9.1108389101485283</v>
      </c>
      <c r="AF74" s="3">
        <f>(1+AE74)/(1+MAX(AE$2:AE74))-1</f>
        <v>-0.32396364075030248</v>
      </c>
      <c r="AG74" s="9"/>
      <c r="AH74" s="10">
        <f t="shared" si="52"/>
        <v>-5.0128571428571425E-2</v>
      </c>
      <c r="AI74" s="5">
        <f>+AH74</f>
        <v>-5.0128571428571425E-2</v>
      </c>
      <c r="AJ74" s="5">
        <f t="shared" si="59"/>
        <v>5.0454758649065887</v>
      </c>
      <c r="AK74" s="5">
        <f>(1+AJ74)/(1+MAX(AJ$2:AJ74))-1</f>
        <v>-6.3708128191997115E-2</v>
      </c>
      <c r="AL74" s="51">
        <f t="shared" si="60"/>
        <v>6045.4758649065852</v>
      </c>
      <c r="AM74" s="52"/>
      <c r="AN74" s="2" t="s">
        <v>86</v>
      </c>
      <c r="AO74" s="53">
        <v>4515.55</v>
      </c>
      <c r="AP74" s="4">
        <f t="shared" si="61"/>
        <v>-5.2585089106999772E-2</v>
      </c>
      <c r="AQ74" s="5">
        <f>+AP74</f>
        <v>-5.2585089106999772E-2</v>
      </c>
      <c r="AR74" s="5">
        <f t="shared" si="62"/>
        <v>1.3273151775038148</v>
      </c>
      <c r="AS74" s="3">
        <f>(1+AR74)/(1+MAX(AR$2:AR74))-1</f>
        <v>-5.2585089106999772E-2</v>
      </c>
    </row>
    <row r="75" spans="1:54" s="61" customFormat="1" outlineLevel="1" x14ac:dyDescent="0.3">
      <c r="A75" s="61" t="s">
        <v>664</v>
      </c>
      <c r="B75" s="55" t="str">
        <f t="shared" si="53"/>
        <v>2022-2</v>
      </c>
      <c r="C75" s="11">
        <v>44593</v>
      </c>
      <c r="D75" s="12" t="s">
        <v>50</v>
      </c>
      <c r="E75" s="14">
        <v>6.1899999999999997E-2</v>
      </c>
      <c r="F75" s="15">
        <f t="shared" ref="F75:F85" si="63">+(1+E75)*(1+F74)-1</f>
        <v>0.16341764000000003</v>
      </c>
      <c r="G75" s="15">
        <f t="shared" si="55"/>
        <v>0.75943536059628025</v>
      </c>
      <c r="H75" s="13">
        <f>(1+G75)/(1+MAX(G$2:G75))-1</f>
        <v>0</v>
      </c>
      <c r="I75" s="12" t="s">
        <v>41</v>
      </c>
      <c r="J75" s="16">
        <v>6.7900000000000002E-2</v>
      </c>
      <c r="K75" s="17" t="s">
        <v>51</v>
      </c>
      <c r="L75" s="16">
        <v>-5.1200000000000002E-2</v>
      </c>
      <c r="M75" s="14">
        <f t="shared" si="50"/>
        <v>8.3499999999999998E-3</v>
      </c>
      <c r="N75" s="15">
        <f t="shared" ref="N75:N85" si="64">+(1+M75)*(1+N74)-1</f>
        <v>8.5035017500000087E-2</v>
      </c>
      <c r="O75" s="15">
        <f t="shared" si="56"/>
        <v>1.3693565101122385</v>
      </c>
      <c r="P75" s="13">
        <f>(1+O75)/(1+MAX(O$2:O75))-1</f>
        <v>0</v>
      </c>
      <c r="Q75" s="18" t="s">
        <v>66</v>
      </c>
      <c r="R75" s="16">
        <v>0.17460000000000001</v>
      </c>
      <c r="S75" s="56" t="s">
        <v>63</v>
      </c>
      <c r="T75" s="16">
        <v>-9.5200000000000007E-2</v>
      </c>
      <c r="U75" s="14">
        <f t="shared" si="54"/>
        <v>3.9699999999999999E-2</v>
      </c>
      <c r="V75" s="15">
        <f t="shared" ref="V75:V85" si="65">+(1+U75)*(1+V74)-1</f>
        <v>-4.2020419999999947E-2</v>
      </c>
      <c r="W75" s="15">
        <f t="shared" si="57"/>
        <v>10.833476957954327</v>
      </c>
      <c r="X75" s="13">
        <f>(1+W75)/(1+MAX(W$2:W75))-1</f>
        <v>-0.15621158593599982</v>
      </c>
      <c r="Y75" s="18" t="s">
        <v>59</v>
      </c>
      <c r="Z75" s="16">
        <v>-4.5699999999999998E-2</v>
      </c>
      <c r="AA75" s="57" t="s">
        <v>65</v>
      </c>
      <c r="AB75" s="16">
        <v>-3.44E-2</v>
      </c>
      <c r="AC75" s="14">
        <f t="shared" si="51"/>
        <v>-4.0050000000000002E-2</v>
      </c>
      <c r="AD75" s="15">
        <f t="shared" ref="AD75:AD85" si="66">+(1+AC75)*(1+AD74)-1</f>
        <v>-0.25191096499999999</v>
      </c>
      <c r="AE75" s="15">
        <f t="shared" si="58"/>
        <v>8.7058998117970798</v>
      </c>
      <c r="AF75" s="13">
        <f>(1+AE75)/(1+MAX(AE$2:AE75))-1</f>
        <v>-0.35103889693825296</v>
      </c>
      <c r="AG75" s="19"/>
      <c r="AH75" s="20">
        <f t="shared" si="52"/>
        <v>1.1128571428571429E-2</v>
      </c>
      <c r="AI75" s="15">
        <f t="shared" ref="AI75:AI85" si="67">+(1+AH75)*(1+AI74)-1</f>
        <v>-3.9557859387755134E-2</v>
      </c>
      <c r="AJ75" s="15">
        <f t="shared" si="59"/>
        <v>5.1127533748889062</v>
      </c>
      <c r="AK75" s="15">
        <f>(1+AJ75)/(1+MAX(AJ$2:AJ75))-1</f>
        <v>-5.3288537218590837E-2</v>
      </c>
      <c r="AL75" s="58">
        <f t="shared" si="60"/>
        <v>6112.7533748889027</v>
      </c>
      <c r="AM75" s="59"/>
      <c r="AN75" s="12" t="s">
        <v>86</v>
      </c>
      <c r="AO75" s="60">
        <v>4373.9399999999996</v>
      </c>
      <c r="AP75" s="14">
        <f t="shared" si="61"/>
        <v>-3.1360520866782648E-2</v>
      </c>
      <c r="AQ75" s="15">
        <f t="shared" ref="AQ75:AQ85" si="68">+(1+AP75)*(1+AQ74)-1</f>
        <v>-8.2296514189560743E-2</v>
      </c>
      <c r="AR75" s="15">
        <f t="shared" si="62"/>
        <v>1.2543293613161266</v>
      </c>
      <c r="AS75" s="13">
        <f>(1+AR75)/(1+MAX(AR$2:AR75))-1</f>
        <v>-8.2296514189560632E-2</v>
      </c>
    </row>
    <row r="76" spans="1:54" s="61" customFormat="1" outlineLevel="1" x14ac:dyDescent="0.3">
      <c r="A76" s="61" t="s">
        <v>664</v>
      </c>
      <c r="B76" s="55" t="str">
        <f t="shared" si="53"/>
        <v>2022-3</v>
      </c>
      <c r="C76" s="11">
        <v>44621</v>
      </c>
      <c r="D76" s="12" t="s">
        <v>50</v>
      </c>
      <c r="E76" s="14">
        <v>9.3600000000000003E-2</v>
      </c>
      <c r="F76" s="15">
        <f t="shared" si="63"/>
        <v>0.27231353110399992</v>
      </c>
      <c r="G76" s="15">
        <f t="shared" si="55"/>
        <v>0.924118510348092</v>
      </c>
      <c r="H76" s="13">
        <f>(1+G76)/(1+MAX(G$2:G76))-1</f>
        <v>0</v>
      </c>
      <c r="I76" s="12" t="s">
        <v>41</v>
      </c>
      <c r="J76" s="16">
        <v>9.5299999999999996E-2</v>
      </c>
      <c r="K76" s="17" t="s">
        <v>33</v>
      </c>
      <c r="L76" s="16">
        <v>1.9599999999999999E-2</v>
      </c>
      <c r="M76" s="14">
        <f t="shared" si="50"/>
        <v>5.7450000000000001E-2</v>
      </c>
      <c r="N76" s="15">
        <f t="shared" si="64"/>
        <v>0.14737027925537505</v>
      </c>
      <c r="O76" s="15">
        <f t="shared" si="56"/>
        <v>1.5054760416181865</v>
      </c>
      <c r="P76" s="13">
        <f>(1+O76)/(1+MAX(O$2:O76))-1</f>
        <v>0</v>
      </c>
      <c r="Q76" s="18" t="s">
        <v>67</v>
      </c>
      <c r="R76" s="16">
        <v>0.16200000000000001</v>
      </c>
      <c r="S76" s="56" t="s">
        <v>66</v>
      </c>
      <c r="T76" s="16">
        <v>1.14E-2</v>
      </c>
      <c r="U76" s="14">
        <f t="shared" si="54"/>
        <v>8.6699999999999999E-2</v>
      </c>
      <c r="V76" s="15">
        <f t="shared" si="65"/>
        <v>4.1036409586000078E-2</v>
      </c>
      <c r="W76" s="15">
        <f t="shared" si="57"/>
        <v>11.859439410208967</v>
      </c>
      <c r="X76" s="13">
        <f>(1+W76)/(1+MAX(W$2:W76))-1</f>
        <v>-8.3055130436651026E-2</v>
      </c>
      <c r="Y76" s="18" t="s">
        <v>619</v>
      </c>
      <c r="Z76" s="16">
        <v>-3.8899999999999997E-2</v>
      </c>
      <c r="AA76" s="57" t="s">
        <v>65</v>
      </c>
      <c r="AB76" s="16">
        <v>-9.6799999999999997E-2</v>
      </c>
      <c r="AC76" s="14">
        <f t="shared" si="51"/>
        <v>-6.7849999999999994E-2</v>
      </c>
      <c r="AD76" s="15">
        <f t="shared" si="66"/>
        <v>-0.30266880602474999</v>
      </c>
      <c r="AE76" s="15">
        <f t="shared" si="58"/>
        <v>8.0473545095666488</v>
      </c>
      <c r="AF76" s="13">
        <f>(1+AE76)/(1+MAX(AE$2:AE76))-1</f>
        <v>-0.39507090778099241</v>
      </c>
      <c r="AG76" s="19"/>
      <c r="AH76" s="20">
        <f t="shared" si="52"/>
        <v>3.5171428571428576E-2</v>
      </c>
      <c r="AI76" s="15">
        <f t="shared" si="67"/>
        <v>-5.7777372422215256E-3</v>
      </c>
      <c r="AJ76" s="15">
        <f t="shared" si="59"/>
        <v>5.3277476435885704</v>
      </c>
      <c r="AK76" s="15">
        <f>(1+AJ76)/(1+MAX(AJ$2:AJ76))-1</f>
        <v>-1.9991342627621922E-2</v>
      </c>
      <c r="AL76" s="58">
        <f t="shared" si="60"/>
        <v>6327.7476435885674</v>
      </c>
      <c r="AM76" s="59"/>
      <c r="AN76" s="12" t="s">
        <v>86</v>
      </c>
      <c r="AO76" s="60">
        <v>4530.41</v>
      </c>
      <c r="AP76" s="14">
        <f t="shared" si="61"/>
        <v>3.5773238773280092E-2</v>
      </c>
      <c r="AQ76" s="15">
        <f t="shared" si="68"/>
        <v>-4.946728826859248E-2</v>
      </c>
      <c r="AR76" s="15">
        <f t="shared" si="62"/>
        <v>1.3349740238321046</v>
      </c>
      <c r="AS76" s="13">
        <f>(1+AR76)/(1+MAX(AR$2:AR76))-1</f>
        <v>-4.9467288268592258E-2</v>
      </c>
    </row>
    <row r="77" spans="1:54" s="61" customFormat="1" outlineLevel="1" x14ac:dyDescent="0.3">
      <c r="A77" s="61" t="s">
        <v>664</v>
      </c>
      <c r="B77" s="55" t="str">
        <f t="shared" si="53"/>
        <v>2022-4</v>
      </c>
      <c r="C77" s="11">
        <v>44652</v>
      </c>
      <c r="D77" s="12" t="s">
        <v>50</v>
      </c>
      <c r="E77" s="14">
        <v>0.1225</v>
      </c>
      <c r="F77" s="15">
        <f t="shared" si="63"/>
        <v>0.42817193866423997</v>
      </c>
      <c r="G77" s="15">
        <f t="shared" si="55"/>
        <v>1.1598230278657335</v>
      </c>
      <c r="H77" s="13">
        <f>(1+G77)/(1+MAX(G$2:G77))-1</f>
        <v>0</v>
      </c>
      <c r="I77" s="12" t="s">
        <v>41</v>
      </c>
      <c r="J77" s="16">
        <v>4.4699999999999997E-2</v>
      </c>
      <c r="K77" s="17" t="s">
        <v>54</v>
      </c>
      <c r="L77" s="16">
        <v>1.6899999999999998E-2</v>
      </c>
      <c r="M77" s="14">
        <f t="shared" si="50"/>
        <v>3.0799999999999998E-2</v>
      </c>
      <c r="N77" s="15">
        <f t="shared" si="64"/>
        <v>0.18270928385644059</v>
      </c>
      <c r="O77" s="15">
        <f t="shared" si="56"/>
        <v>1.5826447037000264</v>
      </c>
      <c r="P77" s="13">
        <f>(1+O77)/(1+MAX(O$2:O77))-1</f>
        <v>0</v>
      </c>
      <c r="Q77" s="18" t="s">
        <v>67</v>
      </c>
      <c r="R77" s="16">
        <v>5.5300000000000002E-2</v>
      </c>
      <c r="S77" s="56" t="s">
        <v>66</v>
      </c>
      <c r="T77" s="16">
        <v>4.5400000000000003E-2</v>
      </c>
      <c r="U77" s="14">
        <f t="shared" si="54"/>
        <v>5.0350000000000006E-2</v>
      </c>
      <c r="V77" s="15">
        <f t="shared" si="65"/>
        <v>9.3452592808655144E-2</v>
      </c>
      <c r="W77" s="15">
        <f t="shared" si="57"/>
        <v>12.506912184512988</v>
      </c>
      <c r="X77" s="13">
        <f>(1+W77)/(1+MAX(W$2:W77))-1</f>
        <v>-3.6886956254136405E-2</v>
      </c>
      <c r="Y77" s="18" t="s">
        <v>77</v>
      </c>
      <c r="Z77" s="16">
        <v>0.1182</v>
      </c>
      <c r="AA77" s="57" t="s">
        <v>68</v>
      </c>
      <c r="AB77" s="16">
        <v>3.6700000000000003E-2</v>
      </c>
      <c r="AC77" s="14">
        <f t="shared" si="51"/>
        <v>7.7450000000000005E-2</v>
      </c>
      <c r="AD77" s="15">
        <f t="shared" si="66"/>
        <v>-0.24866050505136683</v>
      </c>
      <c r="AE77" s="15">
        <f t="shared" si="58"/>
        <v>8.7480721163325867</v>
      </c>
      <c r="AF77" s="13">
        <f>(1+AE77)/(1+MAX(AE$2:AE77))-1</f>
        <v>-0.34821914958863021</v>
      </c>
      <c r="AG77" s="19"/>
      <c r="AH77" s="20">
        <f t="shared" si="52"/>
        <v>6.2814285714285711E-2</v>
      </c>
      <c r="AI77" s="15">
        <f t="shared" si="67"/>
        <v>5.6673624034149217E-2</v>
      </c>
      <c r="AJ77" s="15">
        <f t="shared" si="59"/>
        <v>5.7252205920008414</v>
      </c>
      <c r="AK77" s="15">
        <f>(1+AJ77)/(1+MAX(AJ$2:AJ77))-1</f>
        <v>0</v>
      </c>
      <c r="AL77" s="58">
        <f t="shared" si="60"/>
        <v>6725.2205920008382</v>
      </c>
      <c r="AM77" s="59"/>
      <c r="AN77" s="12" t="s">
        <v>86</v>
      </c>
      <c r="AO77" s="60">
        <v>4131.93</v>
      </c>
      <c r="AP77" s="14">
        <f t="shared" si="61"/>
        <v>-8.7956719149039353E-2</v>
      </c>
      <c r="AQ77" s="15">
        <f t="shared" si="68"/>
        <v>-0.13307302703632673</v>
      </c>
      <c r="AR77" s="15">
        <f t="shared" si="62"/>
        <v>1.1295973693976018</v>
      </c>
      <c r="AS77" s="13">
        <f>(1+AR77)/(1+MAX(AR$2:AR77))-1</f>
        <v>-0.13307302703632651</v>
      </c>
      <c r="AT77" s="62"/>
    </row>
    <row r="78" spans="1:54" s="61" customFormat="1" outlineLevel="1" x14ac:dyDescent="0.3">
      <c r="A78" s="61" t="s">
        <v>664</v>
      </c>
      <c r="B78" s="55" t="str">
        <f t="shared" si="53"/>
        <v>2022-5</v>
      </c>
      <c r="C78" s="11">
        <v>44682</v>
      </c>
      <c r="D78" s="12" t="s">
        <v>50</v>
      </c>
      <c r="E78" s="14">
        <v>0.02</v>
      </c>
      <c r="F78" s="15">
        <f t="shared" si="63"/>
        <v>0.4567353774375249</v>
      </c>
      <c r="G78" s="15">
        <f t="shared" si="55"/>
        <v>1.2030194884230481</v>
      </c>
      <c r="H78" s="13">
        <f>(1+G78)/(1+MAX(G$2:G78))-1</f>
        <v>0</v>
      </c>
      <c r="I78" s="12" t="s">
        <v>41</v>
      </c>
      <c r="J78" s="16">
        <v>0.1313</v>
      </c>
      <c r="K78" s="17" t="s">
        <v>54</v>
      </c>
      <c r="L78" s="16">
        <v>1.7000000000000001E-2</v>
      </c>
      <c r="M78" s="14">
        <f t="shared" si="50"/>
        <v>7.4149999999999994E-2</v>
      </c>
      <c r="N78" s="15">
        <f t="shared" si="64"/>
        <v>0.27040717725439567</v>
      </c>
      <c r="O78" s="15">
        <f t="shared" si="56"/>
        <v>1.7741478084793831</v>
      </c>
      <c r="P78" s="13">
        <f>(1+O78)/(1+MAX(O$2:O78))-1</f>
        <v>0</v>
      </c>
      <c r="Q78" s="18" t="s">
        <v>67</v>
      </c>
      <c r="R78" s="16">
        <v>0.1198</v>
      </c>
      <c r="S78" s="56" t="s">
        <v>66</v>
      </c>
      <c r="T78" s="16">
        <v>0.25540000000000002</v>
      </c>
      <c r="U78" s="14">
        <f t="shared" ref="U78:U113" si="69">AVERAGE(R78,T78)</f>
        <v>0.18760000000000002</v>
      </c>
      <c r="V78" s="15">
        <f t="shared" si="65"/>
        <v>0.29858429921955887</v>
      </c>
      <c r="W78" s="15">
        <f t="shared" si="57"/>
        <v>15.040808910327623</v>
      </c>
      <c r="X78" s="13">
        <f>(1+W78)/(1+MAX(W$2:W78))-1</f>
        <v>0</v>
      </c>
      <c r="Y78" s="18" t="s">
        <v>77</v>
      </c>
      <c r="Z78" s="16">
        <v>-0.1072</v>
      </c>
      <c r="AA78" s="57" t="s">
        <v>143</v>
      </c>
      <c r="AB78" s="16">
        <v>7.4700000000000003E-2</v>
      </c>
      <c r="AC78" s="14">
        <f t="shared" si="51"/>
        <v>-1.6250000000000001E-2</v>
      </c>
      <c r="AD78" s="15">
        <f t="shared" si="66"/>
        <v>-0.26086977184428206</v>
      </c>
      <c r="AE78" s="15">
        <f t="shared" si="58"/>
        <v>8.5896659444421815</v>
      </c>
      <c r="AF78" s="13">
        <f>(1+AE78)/(1+MAX(AE$2:AE78))-1</f>
        <v>-0.35881058840781499</v>
      </c>
      <c r="AG78" s="19"/>
      <c r="AH78" s="20">
        <f t="shared" si="52"/>
        <v>7.2999999999999995E-2</v>
      </c>
      <c r="AI78" s="15">
        <f t="shared" si="67"/>
        <v>0.13381079858864209</v>
      </c>
      <c r="AJ78" s="15">
        <f t="shared" si="59"/>
        <v>6.2161616952169023</v>
      </c>
      <c r="AK78" s="15">
        <f>(1+AJ78)/(1+MAX(AJ$2:AJ78))-1</f>
        <v>0</v>
      </c>
      <c r="AL78" s="58">
        <f t="shared" si="60"/>
        <v>7216.1616952168988</v>
      </c>
      <c r="AM78" s="59"/>
      <c r="AN78" s="12" t="s">
        <v>86</v>
      </c>
      <c r="AO78" s="60">
        <v>4132.1499999999996</v>
      </c>
      <c r="AP78" s="14">
        <f t="shared" si="61"/>
        <v>5.3243883608722342E-5</v>
      </c>
      <c r="AQ78" s="15">
        <f t="shared" si="68"/>
        <v>-0.13302686847748102</v>
      </c>
      <c r="AR78" s="15">
        <f t="shared" si="62"/>
        <v>1.1297107574320715</v>
      </c>
      <c r="AS78" s="13">
        <f>(1+AR78)/(1+MAX(AR$2:AR78))-1</f>
        <v>-0.1330268684774808</v>
      </c>
      <c r="AT78" s="62"/>
      <c r="AY78" s="62"/>
      <c r="AZ78" s="62"/>
      <c r="BA78" s="62"/>
      <c r="BB78" s="62"/>
    </row>
    <row r="79" spans="1:54" s="61" customFormat="1" outlineLevel="1" x14ac:dyDescent="0.3">
      <c r="A79" s="61" t="s">
        <v>664</v>
      </c>
      <c r="B79" s="55" t="str">
        <f t="shared" si="53"/>
        <v>2022-6</v>
      </c>
      <c r="C79" s="11">
        <v>44713</v>
      </c>
      <c r="D79" s="12" t="s">
        <v>50</v>
      </c>
      <c r="E79" s="14">
        <v>-4.6100000000000002E-2</v>
      </c>
      <c r="F79" s="15">
        <f t="shared" si="63"/>
        <v>0.38957987653765502</v>
      </c>
      <c r="G79" s="15">
        <f t="shared" si="55"/>
        <v>1.1014602900067456</v>
      </c>
      <c r="H79" s="13">
        <f>(1+G79)/(1+MAX(G$2:G79))-1</f>
        <v>-4.6099999999999919E-2</v>
      </c>
      <c r="I79" s="12" t="s">
        <v>41</v>
      </c>
      <c r="J79" s="16">
        <v>-0.14480000000000001</v>
      </c>
      <c r="K79" s="17" t="s">
        <v>54</v>
      </c>
      <c r="L79" s="16">
        <v>-1.9199999999999998E-2</v>
      </c>
      <c r="M79" s="14">
        <f t="shared" si="50"/>
        <v>-8.2000000000000003E-2</v>
      </c>
      <c r="N79" s="15">
        <f t="shared" si="64"/>
        <v>0.16623378871953531</v>
      </c>
      <c r="O79" s="15">
        <f t="shared" si="56"/>
        <v>1.546667688184074</v>
      </c>
      <c r="P79" s="13">
        <f>(1+O79)/(1+MAX(O$2:O79))-1</f>
        <v>-8.1999999999999962E-2</v>
      </c>
      <c r="Q79" s="18" t="s">
        <v>67</v>
      </c>
      <c r="R79" s="16">
        <v>-0.2344</v>
      </c>
      <c r="S79" s="56" t="s">
        <v>66</v>
      </c>
      <c r="T79" s="16">
        <v>-0.2286</v>
      </c>
      <c r="U79" s="14">
        <f t="shared" si="69"/>
        <v>-0.23149999999999998</v>
      </c>
      <c r="V79" s="15">
        <f t="shared" si="65"/>
        <v>-2.0379660497690244E-3</v>
      </c>
      <c r="W79" s="15">
        <f t="shared" si="57"/>
        <v>11.327361647586779</v>
      </c>
      <c r="X79" s="13">
        <f>(1+W79)/(1+MAX(W$2:W79))-1</f>
        <v>-0.23150000000000004</v>
      </c>
      <c r="Y79" s="18" t="s">
        <v>77</v>
      </c>
      <c r="Z79" s="16">
        <v>0.1699</v>
      </c>
      <c r="AA79" s="57" t="s">
        <v>143</v>
      </c>
      <c r="AB79" s="16">
        <v>-0.2147</v>
      </c>
      <c r="AC79" s="14">
        <f t="shared" si="51"/>
        <v>-2.2400000000000003E-2</v>
      </c>
      <c r="AD79" s="15">
        <f t="shared" si="66"/>
        <v>-0.27742628895497012</v>
      </c>
      <c r="AE79" s="15">
        <f t="shared" si="58"/>
        <v>8.3748574272866776</v>
      </c>
      <c r="AF79" s="13">
        <f>(1+AE79)/(1+MAX(AE$2:AE79))-1</f>
        <v>-0.37317323122747992</v>
      </c>
      <c r="AG79" s="19"/>
      <c r="AH79" s="20">
        <f t="shared" si="52"/>
        <v>-0.10255714285714286</v>
      </c>
      <c r="AI79" s="15">
        <f t="shared" si="67"/>
        <v>1.7530402544815527E-2</v>
      </c>
      <c r="AJ79" s="15">
        <f t="shared" si="59"/>
        <v>5.4760927693603003</v>
      </c>
      <c r="AK79" s="15">
        <f>(1+AJ79)/(1+MAX(AJ$2:AJ79))-1</f>
        <v>-0.1025571428571429</v>
      </c>
      <c r="AL79" s="58">
        <f t="shared" si="60"/>
        <v>6476.0927693602971</v>
      </c>
      <c r="AM79" s="59"/>
      <c r="AN79" s="12" t="s">
        <v>86</v>
      </c>
      <c r="AO79" s="60">
        <v>3785.38</v>
      </c>
      <c r="AP79" s="14">
        <f t="shared" si="61"/>
        <v>-8.3919993223866451E-2</v>
      </c>
      <c r="AQ79" s="15">
        <f t="shared" si="68"/>
        <v>-0.20578324780012514</v>
      </c>
      <c r="AR79" s="15">
        <f t="shared" si="62"/>
        <v>0.9509854450995765</v>
      </c>
      <c r="AS79" s="13">
        <f>(1+AR79)/(1+MAX(AR$2:AR79))-1</f>
        <v>-0.20578324780012491</v>
      </c>
      <c r="AT79" s="62"/>
      <c r="AY79" s="62"/>
      <c r="AZ79" s="62"/>
      <c r="BA79" s="62"/>
      <c r="BB79" s="62"/>
    </row>
    <row r="80" spans="1:54" s="61" customFormat="1" outlineLevel="1" x14ac:dyDescent="0.3">
      <c r="A80" s="61" t="s">
        <v>664</v>
      </c>
      <c r="B80" s="55" t="str">
        <f t="shared" si="53"/>
        <v>2022-7</v>
      </c>
      <c r="C80" s="11">
        <v>44743</v>
      </c>
      <c r="D80" s="12" t="s">
        <v>50</v>
      </c>
      <c r="E80" s="14">
        <v>4.5999999999999999E-3</v>
      </c>
      <c r="F80" s="15">
        <f t="shared" si="63"/>
        <v>0.39597194396972824</v>
      </c>
      <c r="G80" s="15">
        <f t="shared" si="55"/>
        <v>1.1111270073407766</v>
      </c>
      <c r="H80" s="13">
        <f>(1+G80)/(1+MAX(G$2:G80))-1</f>
        <v>-4.171205999999994E-2</v>
      </c>
      <c r="I80" s="12" t="s">
        <v>41</v>
      </c>
      <c r="J80" s="16">
        <v>0.124</v>
      </c>
      <c r="K80" s="17" t="s">
        <v>54</v>
      </c>
      <c r="L80" s="16">
        <v>8.0799999999999997E-2</v>
      </c>
      <c r="M80" s="14">
        <f t="shared" si="50"/>
        <v>0.10239999999999999</v>
      </c>
      <c r="N80" s="15">
        <f t="shared" si="64"/>
        <v>0.2856561286844157</v>
      </c>
      <c r="O80" s="15">
        <f t="shared" si="56"/>
        <v>1.8074464594541233</v>
      </c>
      <c r="P80" s="13">
        <f>(1+O80)/(1+MAX(O$2:O80))-1</f>
        <v>0</v>
      </c>
      <c r="Q80" s="18" t="s">
        <v>66</v>
      </c>
      <c r="R80" s="16">
        <v>0.16889999999999999</v>
      </c>
      <c r="S80" s="56" t="s">
        <v>142</v>
      </c>
      <c r="T80" s="16">
        <v>0.14449999999999999</v>
      </c>
      <c r="U80" s="14">
        <f t="shared" si="69"/>
        <v>0.15670000000000001</v>
      </c>
      <c r="V80" s="15">
        <f t="shared" si="65"/>
        <v>0.15434268467023227</v>
      </c>
      <c r="W80" s="15">
        <f t="shared" si="57"/>
        <v>13.259059217763628</v>
      </c>
      <c r="X80" s="13">
        <f>(1+W80)/(1+MAX(W$2:W80))-1</f>
        <v>-0.11107604999999987</v>
      </c>
      <c r="Y80" s="18" t="s">
        <v>77</v>
      </c>
      <c r="Z80" s="16">
        <v>-0.18820000000000001</v>
      </c>
      <c r="AA80" s="57" t="s">
        <v>68</v>
      </c>
      <c r="AB80" s="16">
        <v>4.4900000000000002E-2</v>
      </c>
      <c r="AC80" s="14">
        <f t="shared" si="51"/>
        <v>-7.1650000000000005E-2</v>
      </c>
      <c r="AD80" s="15">
        <f t="shared" si="66"/>
        <v>-0.32919869535134649</v>
      </c>
      <c r="AE80" s="15">
        <f t="shared" si="58"/>
        <v>7.7031488926215879</v>
      </c>
      <c r="AF80" s="13">
        <f>(1+AE80)/(1+MAX(AE$2:AE80))-1</f>
        <v>-0.41808536921003092</v>
      </c>
      <c r="AG80" s="19"/>
      <c r="AH80" s="20">
        <f t="shared" si="52"/>
        <v>5.4214285714285708E-2</v>
      </c>
      <c r="AI80" s="15">
        <f t="shared" si="67"/>
        <v>7.2695086511352258E-2</v>
      </c>
      <c r="AJ80" s="15">
        <f t="shared" si="59"/>
        <v>5.8271895130706195</v>
      </c>
      <c r="AK80" s="15">
        <f>(1+AJ80)/(1+MAX(AJ$2:AJ80))-1</f>
        <v>-5.3902919387755044E-2</v>
      </c>
      <c r="AL80" s="58">
        <f t="shared" si="60"/>
        <v>6827.1895130706162</v>
      </c>
      <c r="AM80" s="59"/>
      <c r="AN80" s="12" t="s">
        <v>86</v>
      </c>
      <c r="AO80" s="60">
        <v>4130.29</v>
      </c>
      <c r="AP80" s="14">
        <f t="shared" si="61"/>
        <v>9.1116347632205885E-2</v>
      </c>
      <c r="AQ80" s="15">
        <f t="shared" si="68"/>
        <v>-0.13341711811135981</v>
      </c>
      <c r="AR80" s="15">
        <f t="shared" si="62"/>
        <v>1.1287521131406435</v>
      </c>
      <c r="AS80" s="13">
        <f>(1+AR80)/(1+MAX(AR$2:AR80))-1</f>
        <v>-0.13341711811135948</v>
      </c>
      <c r="AT80" s="62"/>
      <c r="AY80" s="62"/>
      <c r="AZ80" s="62"/>
      <c r="BA80" s="62"/>
      <c r="BB80" s="62"/>
    </row>
    <row r="81" spans="1:54" s="61" customFormat="1" outlineLevel="1" x14ac:dyDescent="0.3">
      <c r="A81" s="61" t="s">
        <v>664</v>
      </c>
      <c r="B81" s="55" t="str">
        <f t="shared" si="53"/>
        <v>2022-8</v>
      </c>
      <c r="C81" s="11">
        <v>44774</v>
      </c>
      <c r="D81" s="12" t="s">
        <v>50</v>
      </c>
      <c r="E81" s="14">
        <v>1.5E-3</v>
      </c>
      <c r="F81" s="15">
        <f t="shared" si="63"/>
        <v>0.39806590188568292</v>
      </c>
      <c r="G81" s="15">
        <f t="shared" si="55"/>
        <v>1.1142936978517879</v>
      </c>
      <c r="H81" s="13">
        <f>(1+G81)/(1+MAX(G$2:G81))-1</f>
        <v>-4.0274628089999931E-2</v>
      </c>
      <c r="I81" s="12" t="s">
        <v>41</v>
      </c>
      <c r="J81" s="16">
        <v>4.3700000000000003E-2</v>
      </c>
      <c r="K81" s="17" t="s">
        <v>54</v>
      </c>
      <c r="L81" s="16">
        <v>2.1999999999999999E-2</v>
      </c>
      <c r="M81" s="14">
        <f t="shared" si="50"/>
        <v>3.2850000000000004E-2</v>
      </c>
      <c r="N81" s="15">
        <f t="shared" si="64"/>
        <v>0.32788993251169885</v>
      </c>
      <c r="O81" s="15">
        <f t="shared" si="56"/>
        <v>1.8996710756471913</v>
      </c>
      <c r="P81" s="13">
        <f>(1+O81)/(1+MAX(O$2:O81))-1</f>
        <v>0</v>
      </c>
      <c r="Q81" s="18" t="s">
        <v>66</v>
      </c>
      <c r="R81" s="16">
        <v>0.1424</v>
      </c>
      <c r="S81" s="56" t="s">
        <v>142</v>
      </c>
      <c r="T81" s="16">
        <v>9.7900000000000001E-2</v>
      </c>
      <c r="U81" s="14">
        <f t="shared" si="69"/>
        <v>0.12015000000000001</v>
      </c>
      <c r="V81" s="15">
        <f t="shared" si="65"/>
        <v>0.29303695823336073</v>
      </c>
      <c r="W81" s="15">
        <f t="shared" si="57"/>
        <v>14.972285182777927</v>
      </c>
      <c r="X81" s="13">
        <f>(1+W81)/(1+MAX(W$2:W81))-1</f>
        <v>-4.2718374074999232E-3</v>
      </c>
      <c r="Y81" s="18" t="s">
        <v>77</v>
      </c>
      <c r="Z81" s="16">
        <v>-0.1143</v>
      </c>
      <c r="AA81" s="57" t="s">
        <v>68</v>
      </c>
      <c r="AB81" s="16">
        <v>2.9100000000000001E-2</v>
      </c>
      <c r="AC81" s="14">
        <f t="shared" si="51"/>
        <v>-4.2599999999999999E-2</v>
      </c>
      <c r="AD81" s="15">
        <f t="shared" si="66"/>
        <v>-0.35777483092937912</v>
      </c>
      <c r="AE81" s="15">
        <f t="shared" si="58"/>
        <v>7.3323947497959079</v>
      </c>
      <c r="AF81" s="13">
        <f>(1+AE81)/(1+MAX(AE$2:AE81))-1</f>
        <v>-0.44287493248168364</v>
      </c>
      <c r="AG81" s="19"/>
      <c r="AH81" s="20">
        <f t="shared" si="52"/>
        <v>3.1757142857142859E-2</v>
      </c>
      <c r="AI81" s="15">
        <f t="shared" si="67"/>
        <v>0.10676081761584855</v>
      </c>
      <c r="AJ81" s="15">
        <f t="shared" si="59"/>
        <v>6.0440015457499907</v>
      </c>
      <c r="AK81" s="15">
        <f>(1+AJ81)/(1+MAX(AJ$2:AJ81))-1</f>
        <v>-2.385757924202625E-2</v>
      </c>
      <c r="AL81" s="58">
        <f t="shared" si="60"/>
        <v>7044.0015457499867</v>
      </c>
      <c r="AM81" s="59"/>
      <c r="AN81" s="12" t="s">
        <v>86</v>
      </c>
      <c r="AO81" s="60">
        <v>3955</v>
      </c>
      <c r="AP81" s="14">
        <f t="shared" si="61"/>
        <v>-4.2440119216810457E-2</v>
      </c>
      <c r="AQ81" s="15">
        <f t="shared" si="68"/>
        <v>-0.17019499892996093</v>
      </c>
      <c r="AR81" s="15">
        <f t="shared" si="62"/>
        <v>1.0384076196759175</v>
      </c>
      <c r="AS81" s="13">
        <f>(1+AR81)/(1+MAX(AR$2:AR81))-1</f>
        <v>-0.17019499892996059</v>
      </c>
      <c r="AT81" s="62"/>
      <c r="AY81" s="62"/>
      <c r="AZ81" s="62"/>
      <c r="BA81" s="62"/>
      <c r="BB81" s="62"/>
    </row>
    <row r="82" spans="1:54" s="61" customFormat="1" outlineLevel="1" x14ac:dyDescent="0.3">
      <c r="A82" s="61" t="s">
        <v>664</v>
      </c>
      <c r="B82" s="55" t="str">
        <f t="shared" si="53"/>
        <v>2022-9</v>
      </c>
      <c r="C82" s="11">
        <v>44805</v>
      </c>
      <c r="D82" s="12" t="s">
        <v>50</v>
      </c>
      <c r="E82" s="14">
        <v>-5.1900000000000002E-2</v>
      </c>
      <c r="F82" s="15">
        <f t="shared" si="63"/>
        <v>0.3255062815778158</v>
      </c>
      <c r="G82" s="15">
        <f t="shared" si="55"/>
        <v>1.00456185493328</v>
      </c>
      <c r="H82" s="13">
        <f>(1+G82)/(1+MAX(G$2:G82))-1</f>
        <v>-9.0084374892128949E-2</v>
      </c>
      <c r="I82" s="12" t="s">
        <v>41</v>
      </c>
      <c r="J82" s="16">
        <v>-7.7600000000000002E-2</v>
      </c>
      <c r="K82" s="17" t="s">
        <v>54</v>
      </c>
      <c r="L82" s="16">
        <v>-9.5200000000000007E-2</v>
      </c>
      <c r="M82" s="14">
        <f t="shared" si="50"/>
        <v>-8.6400000000000005E-2</v>
      </c>
      <c r="N82" s="15">
        <f t="shared" si="64"/>
        <v>0.21316024234268793</v>
      </c>
      <c r="O82" s="15">
        <f t="shared" si="56"/>
        <v>1.6491394947112741</v>
      </c>
      <c r="P82" s="13">
        <f>(1+O82)/(1+MAX(O$2:O82))-1</f>
        <v>-8.6399999999999921E-2</v>
      </c>
      <c r="Q82" s="18" t="s">
        <v>66</v>
      </c>
      <c r="R82" s="16">
        <v>-0.1116</v>
      </c>
      <c r="S82" s="56" t="s">
        <v>142</v>
      </c>
      <c r="T82" s="16">
        <v>-0.11550000000000001</v>
      </c>
      <c r="U82" s="14">
        <f t="shared" si="69"/>
        <v>-0.11355000000000001</v>
      </c>
      <c r="V82" s="15">
        <f t="shared" si="65"/>
        <v>0.14621261162596255</v>
      </c>
      <c r="W82" s="15">
        <f t="shared" si="57"/>
        <v>13.158632200273493</v>
      </c>
      <c r="X82" s="13">
        <f>(1+W82)/(1+MAX(W$2:W82))-1</f>
        <v>-0.11733677026987843</v>
      </c>
      <c r="Y82" s="18" t="s">
        <v>77</v>
      </c>
      <c r="Z82" s="16">
        <v>-1.2999999999999999E-3</v>
      </c>
      <c r="AA82" s="57" t="s">
        <v>68</v>
      </c>
      <c r="AB82" s="16">
        <v>-3.1E-2</v>
      </c>
      <c r="AC82" s="14">
        <f t="shared" si="51"/>
        <v>-1.6150000000000001E-2</v>
      </c>
      <c r="AD82" s="15">
        <f t="shared" si="66"/>
        <v>-0.36814676740986962</v>
      </c>
      <c r="AE82" s="15">
        <f t="shared" si="58"/>
        <v>7.1978265745867045</v>
      </c>
      <c r="AF82" s="13">
        <f>(1+AE82)/(1+MAX(AE$2:AE82))-1</f>
        <v>-0.45187250232210441</v>
      </c>
      <c r="AG82" s="19"/>
      <c r="AH82" s="20">
        <f t="shared" si="52"/>
        <v>-6.9157142857142861E-2</v>
      </c>
      <c r="AI82" s="15">
        <f t="shared" si="67"/>
        <v>3.0220401643300976E-2</v>
      </c>
      <c r="AJ82" s="15">
        <f t="shared" si="59"/>
        <v>5.5568585245646229</v>
      </c>
      <c r="AK82" s="15">
        <f>(1+AJ82)/(1+MAX(AJ$2:AJ82))-1</f>
        <v>-9.1364800083302722E-2</v>
      </c>
      <c r="AL82" s="58">
        <f t="shared" si="60"/>
        <v>6556.8585245646191</v>
      </c>
      <c r="AM82" s="59"/>
      <c r="AN82" s="12" t="s">
        <v>86</v>
      </c>
      <c r="AO82" s="60">
        <v>3585.62</v>
      </c>
      <c r="AP82" s="14">
        <f t="shared" si="61"/>
        <v>-9.3395701643489315E-2</v>
      </c>
      <c r="AQ82" s="15">
        <f t="shared" si="68"/>
        <v>-0.24769521923217364</v>
      </c>
      <c r="AR82" s="15">
        <f t="shared" si="62"/>
        <v>0.84802910980085033</v>
      </c>
      <c r="AS82" s="13">
        <f>(1+AR82)/(1+MAX(AR$2:AR82))-1</f>
        <v>-0.2476952192321733</v>
      </c>
      <c r="AT82" s="62"/>
      <c r="AY82" s="62"/>
    </row>
    <row r="83" spans="1:54" s="61" customFormat="1" outlineLevel="1" x14ac:dyDescent="0.3">
      <c r="A83" s="61" t="s">
        <v>664</v>
      </c>
      <c r="B83" s="55" t="str">
        <f t="shared" si="53"/>
        <v>2022-10</v>
      </c>
      <c r="C83" s="11">
        <v>44835</v>
      </c>
      <c r="D83" s="12" t="s">
        <v>50</v>
      </c>
      <c r="E83" s="14">
        <v>3.7400000000000003E-2</v>
      </c>
      <c r="F83" s="15">
        <f t="shared" si="63"/>
        <v>0.37508021650882628</v>
      </c>
      <c r="G83" s="15">
        <f t="shared" si="55"/>
        <v>1.0795324683077849</v>
      </c>
      <c r="H83" s="13">
        <f>(1+G83)/(1+MAX(G$2:G83))-1</f>
        <v>-5.6053530513094474E-2</v>
      </c>
      <c r="I83" s="12" t="s">
        <v>41</v>
      </c>
      <c r="J83" s="16">
        <v>0.2339</v>
      </c>
      <c r="K83" s="17" t="s">
        <v>54</v>
      </c>
      <c r="L83" s="16">
        <v>6.4999999999999997E-3</v>
      </c>
      <c r="M83" s="14">
        <f t="shared" si="50"/>
        <v>0.1202</v>
      </c>
      <c r="N83" s="15">
        <f t="shared" si="64"/>
        <v>0.3589821034722791</v>
      </c>
      <c r="O83" s="15">
        <f t="shared" si="56"/>
        <v>1.9675660619755693</v>
      </c>
      <c r="P83" s="13">
        <f>(1+O83)/(1+MAX(O$2:O83))-1</f>
        <v>0</v>
      </c>
      <c r="Q83" s="18" t="s">
        <v>66</v>
      </c>
      <c r="R83" s="16">
        <v>0.2702</v>
      </c>
      <c r="S83" s="56" t="s">
        <v>142</v>
      </c>
      <c r="T83" s="16">
        <v>0.1666</v>
      </c>
      <c r="U83" s="14">
        <f t="shared" si="69"/>
        <v>0.21839999999999998</v>
      </c>
      <c r="V83" s="15">
        <f t="shared" si="65"/>
        <v>0.3965454460050728</v>
      </c>
      <c r="W83" s="15">
        <f t="shared" si="57"/>
        <v>16.250877472813222</v>
      </c>
      <c r="X83" s="13">
        <f>(1+W83)/(1+MAX(W$2:W83))-1</f>
        <v>0</v>
      </c>
      <c r="Y83" s="18" t="s">
        <v>617</v>
      </c>
      <c r="Z83" s="16">
        <v>7.1400000000000005E-2</v>
      </c>
      <c r="AA83" s="57" t="s">
        <v>77</v>
      </c>
      <c r="AB83" s="16">
        <v>3.9800000000000002E-2</v>
      </c>
      <c r="AC83" s="14">
        <f t="shared" si="51"/>
        <v>5.5600000000000004E-2</v>
      </c>
      <c r="AD83" s="15">
        <f t="shared" si="66"/>
        <v>-0.33301572767785836</v>
      </c>
      <c r="AE83" s="15">
        <f t="shared" si="58"/>
        <v>7.653625732133726</v>
      </c>
      <c r="AF83" s="13">
        <f>(1+AE83)/(1+MAX(AE$2:AE83))-1</f>
        <v>-0.42139661345121338</v>
      </c>
      <c r="AG83" s="21"/>
      <c r="AH83" s="20">
        <f t="shared" si="52"/>
        <v>0.11797142857142855</v>
      </c>
      <c r="AI83" s="15">
        <f t="shared" si="67"/>
        <v>0.15175697416859224</v>
      </c>
      <c r="AJ83" s="15">
        <f t="shared" si="59"/>
        <v>6.3303804916482616</v>
      </c>
      <c r="AK83" s="15">
        <f>(1+AJ83)/(1+MAX(AJ$2:AJ83))-1</f>
        <v>0</v>
      </c>
      <c r="AL83" s="58">
        <f t="shared" si="60"/>
        <v>7330.3804916482568</v>
      </c>
      <c r="AM83" s="59"/>
      <c r="AN83" s="12" t="s">
        <v>86</v>
      </c>
      <c r="AO83" s="60">
        <v>3871.98</v>
      </c>
      <c r="AP83" s="14">
        <f t="shared" si="61"/>
        <v>7.9863454576893256E-2</v>
      </c>
      <c r="AQ83" s="15">
        <f t="shared" si="68"/>
        <v>-0.18761356054534273</v>
      </c>
      <c r="AR83" s="15">
        <f t="shared" si="62"/>
        <v>0.99561909866820697</v>
      </c>
      <c r="AS83" s="13">
        <f>(1+AR83)/(1+MAX(AR$2:AR83))-1</f>
        <v>-0.18761356054534228</v>
      </c>
      <c r="AT83" s="62"/>
    </row>
    <row r="84" spans="1:54" s="61" customFormat="1" outlineLevel="1" x14ac:dyDescent="0.3">
      <c r="A84" s="61" t="s">
        <v>664</v>
      </c>
      <c r="B84" s="55" t="str">
        <f t="shared" si="53"/>
        <v>2022-11</v>
      </c>
      <c r="C84" s="11">
        <v>44866</v>
      </c>
      <c r="D84" s="12" t="s">
        <v>50</v>
      </c>
      <c r="E84" s="14">
        <v>-2.1600000000000001E-2</v>
      </c>
      <c r="F84" s="15">
        <f t="shared" si="63"/>
        <v>0.34537848383223579</v>
      </c>
      <c r="G84" s="15">
        <f t="shared" si="55"/>
        <v>1.034614566992337</v>
      </c>
      <c r="H84" s="13">
        <f>(1+G84)/(1+MAX(G$2:G84))-1</f>
        <v>-7.6442774254011581E-2</v>
      </c>
      <c r="I84" s="12" t="s">
        <v>41</v>
      </c>
      <c r="J84" s="16">
        <v>-2.35E-2</v>
      </c>
      <c r="K84" s="17" t="s">
        <v>54</v>
      </c>
      <c r="L84" s="16">
        <v>3.1399999999999997E-2</v>
      </c>
      <c r="M84" s="14">
        <f t="shared" si="50"/>
        <v>3.9499999999999987E-3</v>
      </c>
      <c r="N84" s="15">
        <f t="shared" si="64"/>
        <v>0.36435008278099446</v>
      </c>
      <c r="O84" s="15">
        <f t="shared" si="56"/>
        <v>1.9792879479203727</v>
      </c>
      <c r="P84" s="13">
        <f>(1+O84)/(1+MAX(O$2:O84))-1</f>
        <v>0</v>
      </c>
      <c r="Q84" s="18" t="s">
        <v>66</v>
      </c>
      <c r="R84" s="16">
        <v>-0.1459</v>
      </c>
      <c r="S84" s="56" t="s">
        <v>142</v>
      </c>
      <c r="T84" s="16">
        <v>-7.7100000000000002E-2</v>
      </c>
      <c r="U84" s="14">
        <f t="shared" si="69"/>
        <v>-0.1115</v>
      </c>
      <c r="V84" s="15">
        <f t="shared" si="65"/>
        <v>0.24083062877550709</v>
      </c>
      <c r="W84" s="15">
        <f t="shared" si="57"/>
        <v>14.327404634594547</v>
      </c>
      <c r="X84" s="13">
        <f>(1+W84)/(1+MAX(W$2:W84))-1</f>
        <v>-0.11150000000000004</v>
      </c>
      <c r="Y84" s="18" t="s">
        <v>617</v>
      </c>
      <c r="Z84" s="16">
        <v>-1.2200000000000001E-2</v>
      </c>
      <c r="AA84" s="57" t="s">
        <v>77</v>
      </c>
      <c r="AB84" s="16">
        <v>0.18179999999999999</v>
      </c>
      <c r="AC84" s="14">
        <f t="shared" si="51"/>
        <v>8.48E-2</v>
      </c>
      <c r="AD84" s="15">
        <f t="shared" si="66"/>
        <v>-0.27645546138494081</v>
      </c>
      <c r="AE84" s="15">
        <f t="shared" si="58"/>
        <v>8.387453194218665</v>
      </c>
      <c r="AF84" s="13">
        <f>(1+AE84)/(1+MAX(AE$2:AE84))-1</f>
        <v>-0.3723310462718763</v>
      </c>
      <c r="AG84" s="21"/>
      <c r="AH84" s="20">
        <f t="shared" si="52"/>
        <v>-9.5857142857142894E-3</v>
      </c>
      <c r="AI84" s="15">
        <f t="shared" si="67"/>
        <v>0.14071656088763329</v>
      </c>
      <c r="AJ84" s="15">
        <f t="shared" si="59"/>
        <v>6.2601135586497474</v>
      </c>
      <c r="AK84" s="15">
        <f>(1+AJ84)/(1+MAX(AJ$2:AJ84))-1</f>
        <v>-9.5857142857143085E-3</v>
      </c>
      <c r="AL84" s="58">
        <f t="shared" si="60"/>
        <v>7260.113558649743</v>
      </c>
      <c r="AM84" s="59"/>
      <c r="AN84" s="12" t="s">
        <v>86</v>
      </c>
      <c r="AO84" s="60">
        <v>4080.11</v>
      </c>
      <c r="AP84" s="14">
        <f t="shared" si="61"/>
        <v>5.3752860293699856E-2</v>
      </c>
      <c r="AQ84" s="15">
        <f t="shared" si="68"/>
        <v>-0.14394546576084033</v>
      </c>
      <c r="AR84" s="15">
        <f t="shared" si="62"/>
        <v>1.1028893332783585</v>
      </c>
      <c r="AS84" s="13">
        <f>(1+AR84)/(1+MAX(AR$2:AR84))-1</f>
        <v>-0.14394546576083977</v>
      </c>
      <c r="AT84" s="62"/>
    </row>
    <row r="85" spans="1:54" s="27" customFormat="1" ht="15" thickBot="1" x14ac:dyDescent="0.35">
      <c r="A85" s="27" t="s">
        <v>664</v>
      </c>
      <c r="B85" s="63" t="str">
        <f t="shared" si="53"/>
        <v>2022-12</v>
      </c>
      <c r="C85" s="22">
        <v>44896</v>
      </c>
      <c r="D85" s="23" t="s">
        <v>50</v>
      </c>
      <c r="E85" s="24">
        <v>-5.7799999999999997E-2</v>
      </c>
      <c r="F85" s="25">
        <f t="shared" si="63"/>
        <v>0.26761560746673263</v>
      </c>
      <c r="G85" s="25">
        <f t="shared" si="55"/>
        <v>0.91701384502017991</v>
      </c>
      <c r="H85" s="26">
        <f>(1+G85)/(1+MAX(G$2:G85))-1</f>
        <v>-0.12982438190212964</v>
      </c>
      <c r="I85" s="23" t="s">
        <v>41</v>
      </c>
      <c r="J85" s="31">
        <v>-6.1100000000000002E-2</v>
      </c>
      <c r="K85" s="28" t="s">
        <v>54</v>
      </c>
      <c r="L85" s="31">
        <v>-3.6299999999999999E-2</v>
      </c>
      <c r="M85" s="24">
        <f t="shared" si="50"/>
        <v>-4.87E-2</v>
      </c>
      <c r="N85" s="25">
        <f t="shared" si="64"/>
        <v>0.29790623374956016</v>
      </c>
      <c r="O85" s="25">
        <f t="shared" si="56"/>
        <v>1.8341966248566508</v>
      </c>
      <c r="P85" s="26">
        <f>(1+O85)/(1+MAX(O$2:O85))-1</f>
        <v>-4.8699999999999855E-2</v>
      </c>
      <c r="Q85" s="29" t="s">
        <v>636</v>
      </c>
      <c r="R85" s="143">
        <v>-0.1996</v>
      </c>
      <c r="S85" s="65" t="s">
        <v>142</v>
      </c>
      <c r="T85" s="28">
        <v>-0.1203</v>
      </c>
      <c r="U85" s="24">
        <f t="shared" si="69"/>
        <v>-0.15995000000000001</v>
      </c>
      <c r="V85" s="25">
        <f t="shared" si="65"/>
        <v>4.2359769702864591E-2</v>
      </c>
      <c r="W85" s="25">
        <f t="shared" si="57"/>
        <v>11.875786263291149</v>
      </c>
      <c r="X85" s="26">
        <f>(1+W85)/(1+MAX(W$2:W85))-1</f>
        <v>-0.25361557500000009</v>
      </c>
      <c r="Y85" s="29" t="s">
        <v>617</v>
      </c>
      <c r="Z85" s="28">
        <v>-0.1069</v>
      </c>
      <c r="AA85" s="65" t="s">
        <v>77</v>
      </c>
      <c r="AB85" s="28">
        <v>-4.2999999999999997E-2</v>
      </c>
      <c r="AC85" s="24">
        <f t="shared" si="51"/>
        <v>-7.4949999999999989E-2</v>
      </c>
      <c r="AD85" s="25">
        <f t="shared" si="66"/>
        <v>-0.33068512455413945</v>
      </c>
      <c r="AE85" s="25">
        <f t="shared" si="58"/>
        <v>7.6838635773119766</v>
      </c>
      <c r="AF85" s="26">
        <f>(1+AE85)/(1+MAX(AE$2:AE85))-1</f>
        <v>-0.41937483435379908</v>
      </c>
      <c r="AG85" s="31"/>
      <c r="AH85" s="32">
        <f t="shared" si="52"/>
        <v>-8.9285714285714288E-2</v>
      </c>
      <c r="AI85" s="25">
        <f t="shared" si="67"/>
        <v>3.8866867951237394E-2</v>
      </c>
      <c r="AJ85" s="25">
        <f t="shared" si="59"/>
        <v>5.6118891337703056</v>
      </c>
      <c r="AK85" s="25">
        <f>(1+AJ85)/(1+MAX(AJ$2:AJ85))-1</f>
        <v>-9.8015561224489844E-2</v>
      </c>
      <c r="AL85" s="66">
        <f t="shared" si="60"/>
        <v>6611.8891337703017</v>
      </c>
      <c r="AM85" s="22"/>
      <c r="AN85" s="23" t="s">
        <v>86</v>
      </c>
      <c r="AO85" s="67">
        <v>3839.5</v>
      </c>
      <c r="AP85" s="24">
        <f t="shared" si="61"/>
        <v>-5.8971449299161094E-2</v>
      </c>
      <c r="AQ85" s="25">
        <f t="shared" si="68"/>
        <v>-0.19442824232404188</v>
      </c>
      <c r="AR85" s="25">
        <f t="shared" si="62"/>
        <v>0.978878901579187</v>
      </c>
      <c r="AS85" s="26">
        <f>(1+AR85)/(1+MAX(AR$2:AR85))-1</f>
        <v>-0.19442824232404143</v>
      </c>
      <c r="AT85" s="68"/>
    </row>
    <row r="86" spans="1:54" s="54" customFormat="1" outlineLevel="1" x14ac:dyDescent="0.3">
      <c r="A86" s="54" t="s">
        <v>664</v>
      </c>
      <c r="B86" s="48" t="str">
        <f t="shared" si="53"/>
        <v>2023-1</v>
      </c>
      <c r="C86" s="1">
        <v>44927</v>
      </c>
      <c r="D86" s="2" t="s">
        <v>50</v>
      </c>
      <c r="E86" s="4">
        <v>-8.6999999999999994E-3</v>
      </c>
      <c r="F86" s="5">
        <f>+E86</f>
        <v>-8.6999999999999994E-3</v>
      </c>
      <c r="G86" s="5">
        <f t="shared" si="55"/>
        <v>0.90033582456850425</v>
      </c>
      <c r="H86" s="3">
        <f>(1+G86)/(1+MAX(G$2:G86))-1</f>
        <v>-0.13739490977958124</v>
      </c>
      <c r="I86" s="2" t="s">
        <v>41</v>
      </c>
      <c r="J86" s="6">
        <v>1.01E-2</v>
      </c>
      <c r="K86" s="7" t="s">
        <v>54</v>
      </c>
      <c r="L86" s="6">
        <v>-3.7199999999999997E-2</v>
      </c>
      <c r="M86" s="4">
        <f t="shared" si="50"/>
        <v>-1.355E-2</v>
      </c>
      <c r="N86" s="5">
        <f>+M86</f>
        <v>-1.355E-2</v>
      </c>
      <c r="O86" s="5">
        <f t="shared" si="56"/>
        <v>1.7957932605898432</v>
      </c>
      <c r="P86" s="3">
        <f>(1+O86)/(1+MAX(O$2:O86))-1</f>
        <v>-6.159011499999989E-2</v>
      </c>
      <c r="Q86" s="8" t="s">
        <v>69</v>
      </c>
      <c r="R86" s="6">
        <v>0.16489999999999999</v>
      </c>
      <c r="S86" s="49" t="s">
        <v>142</v>
      </c>
      <c r="T86" s="6">
        <v>1.06E-2</v>
      </c>
      <c r="U86" s="4">
        <f t="shared" si="69"/>
        <v>8.7749999999999995E-2</v>
      </c>
      <c r="V86" s="5">
        <f>+U86</f>
        <v>8.7749999999999995E-2</v>
      </c>
      <c r="W86" s="5">
        <f t="shared" si="57"/>
        <v>13.005636507894947</v>
      </c>
      <c r="X86" s="3">
        <f>(1+W86)/(1+MAX(W$2:W86))-1</f>
        <v>-0.18812034170625014</v>
      </c>
      <c r="Y86" s="8" t="s">
        <v>77</v>
      </c>
      <c r="Z86" s="6">
        <v>0.1502</v>
      </c>
      <c r="AA86" s="50" t="s">
        <v>143</v>
      </c>
      <c r="AB86" s="6">
        <v>-2.0999999999999999E-3</v>
      </c>
      <c r="AC86" s="4">
        <f t="shared" si="51"/>
        <v>7.4050000000000005E-2</v>
      </c>
      <c r="AD86" s="5">
        <f>+AC86</f>
        <v>7.4050000000000005E-2</v>
      </c>
      <c r="AE86" s="5">
        <f t="shared" si="58"/>
        <v>8.3269036752119288</v>
      </c>
      <c r="AF86" s="3">
        <f>(1+AE86)/(1+MAX(AE$2:AE86))-1</f>
        <v>-0.37637954083769798</v>
      </c>
      <c r="AG86" s="9"/>
      <c r="AH86" s="10">
        <f t="shared" si="52"/>
        <v>4.1114285714285714E-2</v>
      </c>
      <c r="AI86" s="5">
        <f>+AH86</f>
        <v>4.1114285714285714E-2</v>
      </c>
      <c r="AJ86" s="5">
        <f t="shared" si="59"/>
        <v>5.8837322327273185</v>
      </c>
      <c r="AK86" s="5">
        <f>(1+AJ86)/(1+MAX(AJ$2:AJ86))-1</f>
        <v>-6.0931115298833882E-2</v>
      </c>
      <c r="AL86" s="51">
        <f t="shared" si="60"/>
        <v>6883.7322327273141</v>
      </c>
      <c r="AM86" s="52"/>
      <c r="AN86" s="2" t="s">
        <v>86</v>
      </c>
      <c r="AO86" s="53">
        <v>4076.6</v>
      </c>
      <c r="AP86" s="4">
        <f t="shared" si="61"/>
        <v>6.1752832400052027E-2</v>
      </c>
      <c r="AQ86" s="5">
        <f>+AP86</f>
        <v>6.1752832400052027E-2</v>
      </c>
      <c r="AR86" s="5">
        <f t="shared" si="62"/>
        <v>1.1010802787284057</v>
      </c>
      <c r="AS86" s="3">
        <f>(1+AR86)/(1+MAX(AR$2:AR86))-1</f>
        <v>-0.14468190458606256</v>
      </c>
    </row>
    <row r="87" spans="1:54" s="61" customFormat="1" outlineLevel="1" x14ac:dyDescent="0.3">
      <c r="A87" s="61" t="s">
        <v>664</v>
      </c>
      <c r="B87" s="55" t="str">
        <f t="shared" si="53"/>
        <v>2023-2</v>
      </c>
      <c r="C87" s="11">
        <v>44958</v>
      </c>
      <c r="D87" s="12" t="s">
        <v>50</v>
      </c>
      <c r="E87" s="14">
        <v>-2.3099999999999999E-2</v>
      </c>
      <c r="F87" s="15">
        <f t="shared" ref="F87:F97" si="70">+(1+E87)*(1+F86)-1</f>
        <v>-3.1599030000000083E-2</v>
      </c>
      <c r="G87" s="15">
        <f t="shared" si="55"/>
        <v>0.85643806702097169</v>
      </c>
      <c r="H87" s="13">
        <f>(1+G87)/(1+MAX(G$2:G87))-1</f>
        <v>-0.1573210873636729</v>
      </c>
      <c r="I87" s="12" t="s">
        <v>41</v>
      </c>
      <c r="J87" s="16">
        <v>-4.8399999999999999E-2</v>
      </c>
      <c r="K87" s="17" t="s">
        <v>54</v>
      </c>
      <c r="L87" s="16">
        <v>-3.7999999999999999E-2</v>
      </c>
      <c r="M87" s="14">
        <f t="shared" si="50"/>
        <v>-4.3200000000000002E-2</v>
      </c>
      <c r="N87" s="15">
        <f t="shared" ref="N87:N97" si="71">+(1+M87)*(1+N86)-1</f>
        <v>-5.6164639999999988E-2</v>
      </c>
      <c r="O87" s="15">
        <f t="shared" si="56"/>
        <v>1.675014991732362</v>
      </c>
      <c r="P87" s="13">
        <f>(1+O87)/(1+MAX(O$2:O87))-1</f>
        <v>-0.10212942203199993</v>
      </c>
      <c r="Q87" s="18" t="s">
        <v>69</v>
      </c>
      <c r="R87" s="16">
        <v>-2.6100000000000002E-2</v>
      </c>
      <c r="S87" s="56" t="s">
        <v>142</v>
      </c>
      <c r="T87" s="16">
        <v>-7.5800000000000006E-2</v>
      </c>
      <c r="U87" s="14">
        <f t="shared" si="69"/>
        <v>-5.0950000000000002E-2</v>
      </c>
      <c r="V87" s="15">
        <f t="shared" ref="V87:V97" si="72">+(1+U87)*(1+V86)-1</f>
        <v>3.2329137499999883E-2</v>
      </c>
      <c r="W87" s="15">
        <f t="shared" si="57"/>
        <v>12.292049327817699</v>
      </c>
      <c r="X87" s="13">
        <f>(1+W87)/(1+MAX(W$2:W87))-1</f>
        <v>-0.22948561029631664</v>
      </c>
      <c r="Y87" s="18" t="s">
        <v>77</v>
      </c>
      <c r="Z87" s="16">
        <v>0.12429999999999999</v>
      </c>
      <c r="AA87" s="57" t="s">
        <v>143</v>
      </c>
      <c r="AB87" s="16">
        <v>-3.5099999999999999E-2</v>
      </c>
      <c r="AC87" s="14">
        <f t="shared" si="51"/>
        <v>4.4600000000000001E-2</v>
      </c>
      <c r="AD87" s="15">
        <f t="shared" ref="AD87:AD97" si="73">+(1+AC87)*(1+AD86)-1</f>
        <v>0.12195263000000001</v>
      </c>
      <c r="AE87" s="15">
        <f t="shared" si="58"/>
        <v>8.7428835791263797</v>
      </c>
      <c r="AF87" s="13">
        <f>(1+AE87)/(1+MAX(AE$2:AE87))-1</f>
        <v>-0.34856606835905934</v>
      </c>
      <c r="AG87" s="19"/>
      <c r="AH87" s="20">
        <f t="shared" si="52"/>
        <v>-1.7457142857142859E-2</v>
      </c>
      <c r="AI87" s="15">
        <f t="shared" ref="AI87:AI97" si="74">+(1+AH87)*(1+AI86)-1</f>
        <v>2.2939404897959204E-2</v>
      </c>
      <c r="AJ87" s="15">
        <f t="shared" si="59"/>
        <v>5.7635619357502792</v>
      </c>
      <c r="AK87" s="15">
        <f>(1+AJ87)/(1+MAX(AJ$2:AJ87))-1</f>
        <v>-7.732457497175993E-2</v>
      </c>
      <c r="AL87" s="58">
        <f t="shared" si="60"/>
        <v>6763.5619357502746</v>
      </c>
      <c r="AM87" s="59"/>
      <c r="AN87" s="12" t="s">
        <v>86</v>
      </c>
      <c r="AO87" s="60">
        <v>3970.15</v>
      </c>
      <c r="AP87" s="14">
        <f t="shared" si="61"/>
        <v>-2.6112446646715304E-2</v>
      </c>
      <c r="AQ87" s="15">
        <f t="shared" ref="AQ87:AQ97" si="75">+(1+AP87)*(1+AQ86)-1</f>
        <v>3.4027868212006762E-2</v>
      </c>
      <c r="AR87" s="15">
        <f t="shared" si="62"/>
        <v>1.0462159320496447</v>
      </c>
      <c r="AS87" s="13">
        <f>(1+AR87)/(1+MAX(AR$2:AR87))-1</f>
        <v>-0.1670163527185291</v>
      </c>
    </row>
    <row r="88" spans="1:54" s="61" customFormat="1" outlineLevel="1" x14ac:dyDescent="0.3">
      <c r="A88" s="61" t="s">
        <v>664</v>
      </c>
      <c r="B88" s="55" t="str">
        <f t="shared" si="53"/>
        <v>2023-3</v>
      </c>
      <c r="C88" s="11">
        <v>44986</v>
      </c>
      <c r="D88" s="12" t="s">
        <v>70</v>
      </c>
      <c r="E88" s="14">
        <v>-2.8E-3</v>
      </c>
      <c r="F88" s="15">
        <f t="shared" si="70"/>
        <v>-3.4310552716000142E-2</v>
      </c>
      <c r="G88" s="15">
        <f t="shared" si="55"/>
        <v>0.85124004043331292</v>
      </c>
      <c r="H88" s="13">
        <f>(1+G88)/(1+MAX(G$2:G88))-1</f>
        <v>-0.15968058831905463</v>
      </c>
      <c r="I88" s="12" t="s">
        <v>41</v>
      </c>
      <c r="J88" s="16">
        <v>-2.69E-2</v>
      </c>
      <c r="K88" s="17" t="s">
        <v>141</v>
      </c>
      <c r="L88" s="16">
        <v>-2.0899999999999998E-2</v>
      </c>
      <c r="M88" s="14">
        <f t="shared" si="50"/>
        <v>-2.3899999999999998E-2</v>
      </c>
      <c r="N88" s="15">
        <f t="shared" si="71"/>
        <v>-7.8722305104000023E-2</v>
      </c>
      <c r="O88" s="15">
        <f t="shared" si="56"/>
        <v>1.6110821334299583</v>
      </c>
      <c r="P88" s="13">
        <f>(1+O88)/(1+MAX(O$2:O88))-1</f>
        <v>-0.12358852884543514</v>
      </c>
      <c r="Q88" s="18" t="s">
        <v>69</v>
      </c>
      <c r="R88" s="16">
        <v>0.25130000000000002</v>
      </c>
      <c r="S88" s="56" t="s">
        <v>637</v>
      </c>
      <c r="T88" s="16">
        <v>6.1499999999999999E-2</v>
      </c>
      <c r="U88" s="14">
        <f t="shared" si="69"/>
        <v>0.15640000000000001</v>
      </c>
      <c r="V88" s="15">
        <f t="shared" si="72"/>
        <v>0.19378541460499998</v>
      </c>
      <c r="W88" s="15">
        <f t="shared" si="57"/>
        <v>14.370925842688388</v>
      </c>
      <c r="X88" s="13">
        <f>(1+W88)/(1+MAX(W$2:W88))-1</f>
        <v>-0.10897715974666056</v>
      </c>
      <c r="Y88" s="18" t="s">
        <v>77</v>
      </c>
      <c r="Z88" s="16">
        <v>0.13719999999999999</v>
      </c>
      <c r="AA88" s="57" t="s">
        <v>72</v>
      </c>
      <c r="AB88" s="16">
        <v>-0.1002</v>
      </c>
      <c r="AC88" s="14">
        <f t="shared" si="51"/>
        <v>1.8499999999999996E-2</v>
      </c>
      <c r="AD88" s="15">
        <f t="shared" si="73"/>
        <v>0.14270875365500002</v>
      </c>
      <c r="AE88" s="15">
        <f t="shared" si="58"/>
        <v>8.9231269253402168</v>
      </c>
      <c r="AF88" s="13">
        <f>(1+AE88)/(1+MAX(AE$2:AE88))-1</f>
        <v>-0.33651454062370201</v>
      </c>
      <c r="AG88" s="19"/>
      <c r="AH88" s="20">
        <f t="shared" si="52"/>
        <v>4.2742857142857145E-2</v>
      </c>
      <c r="AI88" s="15">
        <f t="shared" si="74"/>
        <v>6.6662757747312007E-2</v>
      </c>
      <c r="AJ88" s="15">
        <f t="shared" si="59"/>
        <v>6.05265589734692</v>
      </c>
      <c r="AK88" s="15">
        <f>(1+AJ88)/(1+MAX(AJ$2:AJ88))-1</f>
        <v>-3.7886791090552818E-2</v>
      </c>
      <c r="AL88" s="58">
        <f t="shared" si="60"/>
        <v>7052.6558973469155</v>
      </c>
      <c r="AM88" s="59"/>
      <c r="AN88" s="12" t="s">
        <v>86</v>
      </c>
      <c r="AO88" s="60">
        <v>4109.3100000000004</v>
      </c>
      <c r="AP88" s="14">
        <f t="shared" si="61"/>
        <v>3.5051572358727023E-2</v>
      </c>
      <c r="AQ88" s="15">
        <f t="shared" si="75"/>
        <v>7.027217085558024E-2</v>
      </c>
      <c r="AR88" s="15">
        <f t="shared" si="62"/>
        <v>1.1179390178534629</v>
      </c>
      <c r="AS88" s="13">
        <f>(1+AR88)/(1+MAX(AR$2:AR88))-1</f>
        <v>-0.13781896613220623</v>
      </c>
    </row>
    <row r="89" spans="1:54" s="61" customFormat="1" outlineLevel="1" x14ac:dyDescent="0.3">
      <c r="A89" s="61" t="s">
        <v>664</v>
      </c>
      <c r="B89" s="55" t="str">
        <f t="shared" si="53"/>
        <v>2023-4</v>
      </c>
      <c r="C89" s="11">
        <v>45017</v>
      </c>
      <c r="D89" s="12" t="s">
        <v>70</v>
      </c>
      <c r="E89" s="14">
        <v>2.93E-2</v>
      </c>
      <c r="F89" s="15">
        <f t="shared" si="70"/>
        <v>-6.015851910578851E-3</v>
      </c>
      <c r="G89" s="15">
        <f t="shared" si="55"/>
        <v>0.90548137361800918</v>
      </c>
      <c r="H89" s="13">
        <f>(1+G89)/(1+MAX(G$2:G89))-1</f>
        <v>-0.13505922955680283</v>
      </c>
      <c r="I89" s="12" t="s">
        <v>41</v>
      </c>
      <c r="J89" s="16">
        <v>1.5900000000000001E-2</v>
      </c>
      <c r="K89" s="17" t="s">
        <v>141</v>
      </c>
      <c r="L89" s="16">
        <v>-2.3099999999999999E-2</v>
      </c>
      <c r="M89" s="14">
        <f t="shared" si="50"/>
        <v>-3.599999999999999E-3</v>
      </c>
      <c r="N89" s="15">
        <f t="shared" si="71"/>
        <v>-8.2038904805625701E-2</v>
      </c>
      <c r="O89" s="15">
        <f t="shared" si="56"/>
        <v>1.6016822377496105</v>
      </c>
      <c r="P89" s="13">
        <f>(1+O89)/(1+MAX(O$2:O89))-1</f>
        <v>-0.12674361014159163</v>
      </c>
      <c r="Q89" s="18" t="s">
        <v>69</v>
      </c>
      <c r="R89" s="16">
        <v>-0.17019999999999999</v>
      </c>
      <c r="S89" s="56" t="s">
        <v>637</v>
      </c>
      <c r="T89" s="16">
        <v>-0.1056</v>
      </c>
      <c r="U89" s="14">
        <f t="shared" si="69"/>
        <v>-0.13789999999999999</v>
      </c>
      <c r="V89" s="15">
        <f t="shared" si="72"/>
        <v>2.9162405930970525E-2</v>
      </c>
      <c r="W89" s="15">
        <f t="shared" si="57"/>
        <v>12.251275168981659</v>
      </c>
      <c r="X89" s="13">
        <f>(1+W89)/(1+MAX(W$2:W89))-1</f>
        <v>-0.23184920941759612</v>
      </c>
      <c r="Y89" s="18" t="s">
        <v>77</v>
      </c>
      <c r="Z89" s="16">
        <v>-2.9600000000000001E-2</v>
      </c>
      <c r="AA89" s="57" t="s">
        <v>72</v>
      </c>
      <c r="AB89" s="16">
        <v>8.5300000000000001E-2</v>
      </c>
      <c r="AC89" s="14">
        <f t="shared" si="51"/>
        <v>2.785E-2</v>
      </c>
      <c r="AD89" s="15">
        <f t="shared" si="73"/>
        <v>0.17453319244429166</v>
      </c>
      <c r="AE89" s="15">
        <f t="shared" si="58"/>
        <v>9.1994860102109417</v>
      </c>
      <c r="AF89" s="13">
        <f>(1+AE89)/(1+MAX(AE$2:AE89))-1</f>
        <v>-0.31803647058007212</v>
      </c>
      <c r="AG89" s="19"/>
      <c r="AH89" s="20">
        <f t="shared" si="52"/>
        <v>-2.8285714285714282E-2</v>
      </c>
      <c r="AI89" s="15">
        <f t="shared" si="74"/>
        <v>3.6491439742459608E-2</v>
      </c>
      <c r="AJ89" s="15">
        <f t="shared" si="59"/>
        <v>5.8531664876791076</v>
      </c>
      <c r="AK89" s="15">
        <f>(1+AJ89)/(1+MAX(AJ$2:AJ89))-1</f>
        <v>-6.5100850428277068E-2</v>
      </c>
      <c r="AL89" s="58">
        <f t="shared" si="60"/>
        <v>6853.1664876791028</v>
      </c>
      <c r="AM89" s="59"/>
      <c r="AN89" s="12" t="s">
        <v>86</v>
      </c>
      <c r="AO89" s="60">
        <v>4169.4799999999996</v>
      </c>
      <c r="AP89" s="14">
        <f t="shared" si="61"/>
        <v>1.464236088297044E-2</v>
      </c>
      <c r="AQ89" s="15">
        <f t="shared" si="75"/>
        <v>8.5943482224247747E-2</v>
      </c>
      <c r="AR89" s="15">
        <f t="shared" si="62"/>
        <v>1.1489506452809972</v>
      </c>
      <c r="AS89" s="13">
        <f>(1+AR89)/(1+MAX(AR$2:AR89))-1</f>
        <v>-0.12519460028786145</v>
      </c>
      <c r="AT89" s="62"/>
    </row>
    <row r="90" spans="1:54" s="61" customFormat="1" outlineLevel="1" x14ac:dyDescent="0.3">
      <c r="A90" s="61" t="s">
        <v>664</v>
      </c>
      <c r="B90" s="55" t="str">
        <f t="shared" si="53"/>
        <v>2023-5</v>
      </c>
      <c r="C90" s="11">
        <v>45047</v>
      </c>
      <c r="D90" s="12" t="s">
        <v>70</v>
      </c>
      <c r="E90" s="14">
        <v>-2.4799999999999999E-2</v>
      </c>
      <c r="F90" s="15">
        <f t="shared" si="70"/>
        <v>-3.0666658783196521E-2</v>
      </c>
      <c r="G90" s="15">
        <f t="shared" si="55"/>
        <v>0.85822543555228248</v>
      </c>
      <c r="H90" s="13">
        <f>(1+G90)/(1+MAX(G$2:G90))-1</f>
        <v>-0.15650976066379418</v>
      </c>
      <c r="I90" s="12" t="s">
        <v>41</v>
      </c>
      <c r="J90" s="16">
        <v>-7.5300000000000006E-2</v>
      </c>
      <c r="K90" s="17" t="s">
        <v>141</v>
      </c>
      <c r="L90" s="16">
        <v>-4.4999999999999997E-3</v>
      </c>
      <c r="M90" s="14">
        <f t="shared" si="50"/>
        <v>-3.9900000000000005E-2</v>
      </c>
      <c r="N90" s="15">
        <f t="shared" si="71"/>
        <v>-0.11866555250388133</v>
      </c>
      <c r="O90" s="15">
        <f t="shared" si="56"/>
        <v>1.4978751164634008</v>
      </c>
      <c r="P90" s="13">
        <f>(1+O90)/(1+MAX(O$2:O90))-1</f>
        <v>-0.16158654009694218</v>
      </c>
      <c r="Q90" s="18" t="s">
        <v>69</v>
      </c>
      <c r="R90" s="16">
        <v>0.1426</v>
      </c>
      <c r="S90" s="56" t="s">
        <v>42</v>
      </c>
      <c r="T90" s="16">
        <v>0.40139999999999998</v>
      </c>
      <c r="U90" s="14">
        <f t="shared" si="69"/>
        <v>0.27200000000000002</v>
      </c>
      <c r="V90" s="15">
        <f t="shared" si="72"/>
        <v>0.30909458034419446</v>
      </c>
      <c r="W90" s="15">
        <f t="shared" si="57"/>
        <v>15.855622014944672</v>
      </c>
      <c r="X90" s="13">
        <f>(1+W90)/(1+MAX(W$2:W90))-1</f>
        <v>-2.2912194379182127E-2</v>
      </c>
      <c r="Y90" s="18" t="s">
        <v>71</v>
      </c>
      <c r="Z90" s="16">
        <v>-6.1800000000000001E-2</v>
      </c>
      <c r="AA90" s="57" t="s">
        <v>72</v>
      </c>
      <c r="AB90" s="16">
        <v>-1.4E-3</v>
      </c>
      <c r="AC90" s="14">
        <f t="shared" si="51"/>
        <v>-3.1600000000000003E-2</v>
      </c>
      <c r="AD90" s="15">
        <f t="shared" si="73"/>
        <v>0.13741794356305204</v>
      </c>
      <c r="AE90" s="15">
        <f t="shared" si="58"/>
        <v>8.8771822522882768</v>
      </c>
      <c r="AF90" s="13">
        <f>(1+AE90)/(1+MAX(AE$2:AE90))-1</f>
        <v>-0.33958651810974172</v>
      </c>
      <c r="AG90" s="19"/>
      <c r="AH90" s="20">
        <f t="shared" si="52"/>
        <v>5.3742857142857141E-2</v>
      </c>
      <c r="AI90" s="15">
        <f t="shared" si="74"/>
        <v>9.2195451118332938E-2</v>
      </c>
      <c r="AJ90" s="15">
        <f t="shared" si="59"/>
        <v>6.2214752352026617</v>
      </c>
      <c r="AK90" s="15">
        <f>(1+AJ90)/(1+MAX(AJ$2:AJ90))-1</f>
        <v>-1.4856698989865413E-2</v>
      </c>
      <c r="AL90" s="58">
        <f t="shared" si="60"/>
        <v>7221.4752352026562</v>
      </c>
      <c r="AM90" s="59"/>
      <c r="AN90" s="12" t="s">
        <v>86</v>
      </c>
      <c r="AO90" s="60">
        <v>4179.83</v>
      </c>
      <c r="AP90" s="14">
        <f t="shared" si="61"/>
        <v>2.4823239348792381E-3</v>
      </c>
      <c r="AQ90" s="15">
        <f t="shared" si="75"/>
        <v>8.8639145722099189E-2</v>
      </c>
      <c r="AR90" s="15">
        <f t="shared" si="62"/>
        <v>1.1542850369026523</v>
      </c>
      <c r="AS90" s="13">
        <f>(1+AR90)/(1+MAX(AR$2:AR90))-1</f>
        <v>-0.12302304990579449</v>
      </c>
      <c r="AT90" s="62"/>
      <c r="AY90" s="62"/>
      <c r="AZ90" s="62"/>
      <c r="BA90" s="62"/>
      <c r="BB90" s="62"/>
    </row>
    <row r="91" spans="1:54" s="61" customFormat="1" outlineLevel="1" x14ac:dyDescent="0.3">
      <c r="A91" s="61" t="s">
        <v>664</v>
      </c>
      <c r="B91" s="55" t="str">
        <f t="shared" si="53"/>
        <v>2023-6</v>
      </c>
      <c r="C91" s="11">
        <v>45078</v>
      </c>
      <c r="D91" s="12" t="s">
        <v>70</v>
      </c>
      <c r="E91" s="14">
        <v>2.9700000000000001E-2</v>
      </c>
      <c r="F91" s="15">
        <f t="shared" si="70"/>
        <v>-1.8774585490574092E-3</v>
      </c>
      <c r="G91" s="15">
        <f t="shared" si="55"/>
        <v>0.91341473098818549</v>
      </c>
      <c r="H91" s="13">
        <f>(1+G91)/(1+MAX(G$2:G91))-1</f>
        <v>-0.13145810055550877</v>
      </c>
      <c r="I91" s="12" t="s">
        <v>73</v>
      </c>
      <c r="J91" s="16">
        <v>3.4299999999999997E-2</v>
      </c>
      <c r="K91" s="17" t="s">
        <v>51</v>
      </c>
      <c r="L91" s="16">
        <v>4.7399999999999998E-2</v>
      </c>
      <c r="M91" s="14">
        <f t="shared" si="50"/>
        <v>4.0849999999999997E-2</v>
      </c>
      <c r="N91" s="15">
        <f t="shared" si="71"/>
        <v>-8.2663040323664894E-2</v>
      </c>
      <c r="O91" s="15">
        <f t="shared" si="56"/>
        <v>1.599913314970931</v>
      </c>
      <c r="P91" s="13">
        <f>(1+O91)/(1+MAX(O$2:O91))-1</f>
        <v>-0.12733735025990212</v>
      </c>
      <c r="Q91" s="18" t="s">
        <v>69</v>
      </c>
      <c r="R91" s="16">
        <v>-7.4999999999999997E-2</v>
      </c>
      <c r="S91" s="56" t="s">
        <v>42</v>
      </c>
      <c r="T91" s="16">
        <v>0.1043</v>
      </c>
      <c r="U91" s="14">
        <f t="shared" si="69"/>
        <v>1.4650000000000003E-2</v>
      </c>
      <c r="V91" s="15">
        <f t="shared" si="72"/>
        <v>0.32827281594623692</v>
      </c>
      <c r="W91" s="15">
        <f t="shared" si="57"/>
        <v>16.102556877463613</v>
      </c>
      <c r="X91" s="13">
        <f>(1+W91)/(1+MAX(W$2:W91))-1</f>
        <v>-8.5978580268371019E-3</v>
      </c>
      <c r="Y91" s="18" t="s">
        <v>46</v>
      </c>
      <c r="Z91" s="16">
        <v>-3.6400000000000002E-2</v>
      </c>
      <c r="AA91" s="57" t="s">
        <v>72</v>
      </c>
      <c r="AB91" s="16">
        <v>0.18709999999999999</v>
      </c>
      <c r="AC91" s="14">
        <f t="shared" si="51"/>
        <v>7.535E-2</v>
      </c>
      <c r="AD91" s="15">
        <f t="shared" si="73"/>
        <v>0.223122385610528</v>
      </c>
      <c r="AE91" s="15">
        <f t="shared" si="58"/>
        <v>9.6214279349981986</v>
      </c>
      <c r="AF91" s="13">
        <f>(1+AE91)/(1+MAX(AE$2:AE91))-1</f>
        <v>-0.28982436224931085</v>
      </c>
      <c r="AG91" s="19"/>
      <c r="AH91" s="20">
        <f t="shared" si="52"/>
        <v>4.1628571428571425E-2</v>
      </c>
      <c r="AI91" s="15">
        <f t="shared" si="74"/>
        <v>0.13766198746917313</v>
      </c>
      <c r="AJ91" s="15">
        <f t="shared" si="59"/>
        <v>6.5220949328509548</v>
      </c>
      <c r="AK91" s="15">
        <f>(1+AJ91)/(1+MAX(AJ$2:AJ91))-1</f>
        <v>0</v>
      </c>
      <c r="AL91" s="58">
        <f t="shared" si="60"/>
        <v>7522.0949328509487</v>
      </c>
      <c r="AM91" s="59"/>
      <c r="AN91" s="12" t="s">
        <v>86</v>
      </c>
      <c r="AO91" s="60">
        <v>4450.38</v>
      </c>
      <c r="AP91" s="14">
        <f t="shared" si="61"/>
        <v>6.4727512841431301E-2</v>
      </c>
      <c r="AQ91" s="15">
        <f t="shared" si="75"/>
        <v>0.15910405000651107</v>
      </c>
      <c r="AR91" s="15">
        <f t="shared" si="62"/>
        <v>1.293726549292872</v>
      </c>
      <c r="AS91" s="13">
        <f>(1+AR91)/(1+MAX(AR$2:AR91))-1</f>
        <v>-6.6258513106932537E-2</v>
      </c>
      <c r="AT91" s="62"/>
      <c r="AY91" s="62"/>
      <c r="AZ91" s="62"/>
      <c r="BA91" s="62"/>
      <c r="BB91" s="62"/>
    </row>
    <row r="92" spans="1:54" s="61" customFormat="1" outlineLevel="1" x14ac:dyDescent="0.3">
      <c r="A92" s="61" t="s">
        <v>664</v>
      </c>
      <c r="B92" s="55" t="str">
        <f t="shared" si="53"/>
        <v>2023-7</v>
      </c>
      <c r="C92" s="11">
        <v>45108</v>
      </c>
      <c r="D92" s="12" t="s">
        <v>70</v>
      </c>
      <c r="E92" s="14">
        <v>1.44E-2</v>
      </c>
      <c r="F92" s="15">
        <f t="shared" si="70"/>
        <v>1.2495506047836225E-2</v>
      </c>
      <c r="G92" s="15">
        <f t="shared" si="55"/>
        <v>0.94096790311441536</v>
      </c>
      <c r="H92" s="13">
        <f>(1+G92)/(1+MAX(G$2:G92))-1</f>
        <v>-0.11895109720350816</v>
      </c>
      <c r="I92" s="12" t="s">
        <v>73</v>
      </c>
      <c r="J92" s="16">
        <v>4.2000000000000003E-2</v>
      </c>
      <c r="K92" s="17" t="s">
        <v>51</v>
      </c>
      <c r="L92" s="16">
        <v>1.1299999999999999E-2</v>
      </c>
      <c r="M92" s="14">
        <f t="shared" si="50"/>
        <v>2.665E-2</v>
      </c>
      <c r="N92" s="15">
        <f t="shared" si="71"/>
        <v>-5.8216010348290492E-2</v>
      </c>
      <c r="O92" s="15">
        <f t="shared" si="56"/>
        <v>1.6692010048149064</v>
      </c>
      <c r="P92" s="13">
        <f>(1+O92)/(1+MAX(O$2:O92))-1</f>
        <v>-0.10408089064432857</v>
      </c>
      <c r="Q92" s="18" t="s">
        <v>69</v>
      </c>
      <c r="R92" s="16">
        <v>7.5600000000000001E-2</v>
      </c>
      <c r="S92" s="56" t="s">
        <v>42</v>
      </c>
      <c r="T92" s="16">
        <v>8.8999999999999996E-2</v>
      </c>
      <c r="U92" s="14">
        <f t="shared" si="69"/>
        <v>8.2299999999999998E-2</v>
      </c>
      <c r="V92" s="15">
        <f t="shared" si="72"/>
        <v>0.43758966869861227</v>
      </c>
      <c r="W92" s="15">
        <f t="shared" si="57"/>
        <v>17.510097308478869</v>
      </c>
      <c r="X92" s="13">
        <f>(1+W92)/(1+MAX(W$2:W92))-1</f>
        <v>0</v>
      </c>
      <c r="Y92" s="18" t="s">
        <v>46</v>
      </c>
      <c r="Z92" s="16">
        <v>9.4200000000000006E-2</v>
      </c>
      <c r="AA92" s="57" t="s">
        <v>72</v>
      </c>
      <c r="AB92" s="16">
        <v>8.1600000000000006E-2</v>
      </c>
      <c r="AC92" s="14">
        <f t="shared" si="51"/>
        <v>8.7900000000000006E-2</v>
      </c>
      <c r="AD92" s="15">
        <f t="shared" si="73"/>
        <v>0.33063484330569359</v>
      </c>
      <c r="AE92" s="15">
        <f t="shared" si="58"/>
        <v>10.555051450484541</v>
      </c>
      <c r="AF92" s="13">
        <f>(1+AE92)/(1+MAX(AE$2:AE92))-1</f>
        <v>-0.22739992369102513</v>
      </c>
      <c r="AG92" s="19"/>
      <c r="AH92" s="20">
        <f t="shared" si="52"/>
        <v>5.8300000000000005E-2</v>
      </c>
      <c r="AI92" s="15">
        <f t="shared" si="74"/>
        <v>0.20398768133862588</v>
      </c>
      <c r="AJ92" s="15">
        <f t="shared" si="59"/>
        <v>6.9606330674361656</v>
      </c>
      <c r="AK92" s="15">
        <f>(1+AJ92)/(1+MAX(AJ$2:AJ92))-1</f>
        <v>0</v>
      </c>
      <c r="AL92" s="58">
        <f t="shared" si="60"/>
        <v>7960.6330674361589</v>
      </c>
      <c r="AM92" s="59"/>
      <c r="AN92" s="12" t="s">
        <v>86</v>
      </c>
      <c r="AO92" s="60">
        <v>4588.96</v>
      </c>
      <c r="AP92" s="14">
        <f t="shared" si="61"/>
        <v>3.1138913980379268E-2</v>
      </c>
      <c r="AQ92" s="15">
        <f t="shared" si="75"/>
        <v>0.19519729131397301</v>
      </c>
      <c r="AR92" s="15">
        <f t="shared" si="62"/>
        <v>1.3651507030058148</v>
      </c>
      <c r="AS92" s="13">
        <f>(1+AR92)/(1+MAX(AR$2:AR92))-1</f>
        <v>-3.7182817266657953E-2</v>
      </c>
      <c r="AT92" s="62"/>
      <c r="AY92" s="62"/>
      <c r="AZ92" s="62"/>
      <c r="BA92" s="62"/>
      <c r="BB92" s="62"/>
    </row>
    <row r="93" spans="1:54" s="61" customFormat="1" outlineLevel="1" x14ac:dyDescent="0.3">
      <c r="A93" s="61" t="s">
        <v>664</v>
      </c>
      <c r="B93" s="55" t="str">
        <f t="shared" si="53"/>
        <v>2023-8</v>
      </c>
      <c r="C93" s="11">
        <v>45139</v>
      </c>
      <c r="D93" s="12" t="s">
        <v>29</v>
      </c>
      <c r="E93" s="14">
        <v>-6.6E-3</v>
      </c>
      <c r="F93" s="15">
        <f t="shared" si="70"/>
        <v>5.8130357079204664E-3</v>
      </c>
      <c r="G93" s="15">
        <f t="shared" si="55"/>
        <v>0.92815751495386012</v>
      </c>
      <c r="H93" s="13">
        <f>(1+G93)/(1+MAX(G$2:G93))-1</f>
        <v>-0.12476601996196501</v>
      </c>
      <c r="I93" s="12" t="s">
        <v>73</v>
      </c>
      <c r="J93" s="16">
        <v>-7.1000000000000004E-3</v>
      </c>
      <c r="K93" s="17" t="s">
        <v>51</v>
      </c>
      <c r="L93" s="16">
        <v>-6.7999999999999996E-3</v>
      </c>
      <c r="M93" s="14">
        <f t="shared" si="50"/>
        <v>-6.9499999999999996E-3</v>
      </c>
      <c r="N93" s="15">
        <f t="shared" si="71"/>
        <v>-6.4761409076369847E-2</v>
      </c>
      <c r="O93" s="15">
        <f t="shared" si="56"/>
        <v>1.6506500578314429</v>
      </c>
      <c r="P93" s="13">
        <f>(1+O93)/(1+MAX(O$2:O93))-1</f>
        <v>-0.11030752845435043</v>
      </c>
      <c r="Q93" s="18" t="s">
        <v>74</v>
      </c>
      <c r="R93" s="16">
        <v>-6.3500000000000001E-2</v>
      </c>
      <c r="S93" s="56" t="s">
        <v>42</v>
      </c>
      <c r="T93" s="16">
        <v>6.5100000000000005E-2</v>
      </c>
      <c r="U93" s="14">
        <f t="shared" si="69"/>
        <v>8.000000000000021E-4</v>
      </c>
      <c r="V93" s="15">
        <f t="shared" si="72"/>
        <v>0.43873974043357111</v>
      </c>
      <c r="W93" s="15">
        <f t="shared" si="57"/>
        <v>17.524905386325649</v>
      </c>
      <c r="X93" s="13">
        <f>(1+W93)/(1+MAX(W$2:W93))-1</f>
        <v>0</v>
      </c>
      <c r="Y93" s="18" t="s">
        <v>46</v>
      </c>
      <c r="Z93" s="16">
        <v>-2.35E-2</v>
      </c>
      <c r="AA93" s="57" t="s">
        <v>72</v>
      </c>
      <c r="AB93" s="16">
        <v>-1.89E-2</v>
      </c>
      <c r="AC93" s="14">
        <f t="shared" si="51"/>
        <v>-2.12E-2</v>
      </c>
      <c r="AD93" s="15">
        <f t="shared" si="73"/>
        <v>0.30242538462761281</v>
      </c>
      <c r="AE93" s="15">
        <f t="shared" si="58"/>
        <v>10.310084359734269</v>
      </c>
      <c r="AF93" s="13">
        <f>(1+AE93)/(1+MAX(AE$2:AE93))-1</f>
        <v>-0.24377904530877548</v>
      </c>
      <c r="AG93" s="19"/>
      <c r="AH93" s="20">
        <f t="shared" si="52"/>
        <v>-8.7571428571428557E-3</v>
      </c>
      <c r="AI93" s="15">
        <f t="shared" si="74"/>
        <v>0.19344418921490325</v>
      </c>
      <c r="AJ93" s="15">
        <f t="shared" si="59"/>
        <v>6.8909206664313309</v>
      </c>
      <c r="AK93" s="15">
        <f>(1+AJ93)/(1+MAX(AJ$2:AJ93))-1</f>
        <v>-8.7571428571429077E-3</v>
      </c>
      <c r="AL93" s="58">
        <f t="shared" si="60"/>
        <v>7890.9206664313242</v>
      </c>
      <c r="AM93" s="59"/>
      <c r="AN93" s="12" t="s">
        <v>86</v>
      </c>
      <c r="AO93" s="60">
        <v>4507.66</v>
      </c>
      <c r="AP93" s="14">
        <f t="shared" si="61"/>
        <v>-1.771643248143373E-2</v>
      </c>
      <c r="AQ93" s="15">
        <f t="shared" si="75"/>
        <v>0.1740226592004166</v>
      </c>
      <c r="AR93" s="15">
        <f t="shared" si="62"/>
        <v>1.3232486702675965</v>
      </c>
      <c r="AS93" s="13">
        <f>(1+AR93)/(1+MAX(AR$2:AR93))-1</f>
        <v>-5.4240502876517493E-2</v>
      </c>
      <c r="AT93" s="62"/>
      <c r="AY93" s="62"/>
      <c r="AZ93" s="62"/>
      <c r="BA93" s="62"/>
      <c r="BB93" s="62"/>
    </row>
    <row r="94" spans="1:54" s="61" customFormat="1" outlineLevel="1" x14ac:dyDescent="0.3">
      <c r="A94" s="61" t="s">
        <v>664</v>
      </c>
      <c r="B94" s="55" t="str">
        <f t="shared" si="53"/>
        <v>2023-9</v>
      </c>
      <c r="C94" s="11">
        <v>45170</v>
      </c>
      <c r="D94" s="12" t="s">
        <v>29</v>
      </c>
      <c r="E94" s="14">
        <v>-1.7500000000000002E-2</v>
      </c>
      <c r="F94" s="15">
        <f t="shared" si="70"/>
        <v>-1.1788692416968116E-2</v>
      </c>
      <c r="G94" s="15">
        <f t="shared" si="55"/>
        <v>0.89441475844216756</v>
      </c>
      <c r="H94" s="13">
        <f>(1+G94)/(1+MAX(G$2:G94))-1</f>
        <v>-0.14008261461263061</v>
      </c>
      <c r="I94" s="12" t="s">
        <v>73</v>
      </c>
      <c r="J94" s="16">
        <v>4.4999999999999997E-3</v>
      </c>
      <c r="K94" s="17" t="s">
        <v>51</v>
      </c>
      <c r="L94" s="16">
        <v>-3.2000000000000001E-2</v>
      </c>
      <c r="M94" s="14">
        <f t="shared" si="50"/>
        <v>-1.375E-2</v>
      </c>
      <c r="N94" s="15">
        <f t="shared" si="71"/>
        <v>-7.7620939701569802E-2</v>
      </c>
      <c r="O94" s="15">
        <f t="shared" si="56"/>
        <v>1.6142036195362603</v>
      </c>
      <c r="P94" s="13">
        <f>(1+O94)/(1+MAX(O$2:O94))-1</f>
        <v>-0.12254079993810318</v>
      </c>
      <c r="Q94" s="18" t="s">
        <v>74</v>
      </c>
      <c r="R94" s="16">
        <v>5.0200000000000002E-2</v>
      </c>
      <c r="S94" s="56" t="s">
        <v>42</v>
      </c>
      <c r="T94" s="16">
        <v>-8.77E-2</v>
      </c>
      <c r="U94" s="14">
        <f t="shared" si="69"/>
        <v>-1.8749999999999999E-2</v>
      </c>
      <c r="V94" s="15">
        <f t="shared" si="72"/>
        <v>0.41176337030044152</v>
      </c>
      <c r="W94" s="15">
        <f t="shared" si="57"/>
        <v>17.177563410332041</v>
      </c>
      <c r="X94" s="13">
        <f>(1+W94)/(1+MAX(W$2:W94))-1</f>
        <v>-1.8750000000000155E-2</v>
      </c>
      <c r="Y94" s="18" t="s">
        <v>46</v>
      </c>
      <c r="Z94" s="16">
        <v>-0.1235</v>
      </c>
      <c r="AA94" s="57" t="s">
        <v>72</v>
      </c>
      <c r="AB94" s="16">
        <v>7.3000000000000001E-3</v>
      </c>
      <c r="AC94" s="14">
        <f t="shared" si="51"/>
        <v>-5.8099999999999999E-2</v>
      </c>
      <c r="AD94" s="15">
        <f t="shared" si="73"/>
        <v>0.22675446978074842</v>
      </c>
      <c r="AE94" s="15">
        <f t="shared" si="58"/>
        <v>9.6529684584337065</v>
      </c>
      <c r="AF94" s="13">
        <f>(1+AE94)/(1+MAX(AE$2:AE94))-1</f>
        <v>-0.28771548277633563</v>
      </c>
      <c r="AG94" s="19"/>
      <c r="AH94" s="20">
        <f t="shared" si="52"/>
        <v>-2.8385714285714285E-2</v>
      </c>
      <c r="AI94" s="15">
        <f t="shared" si="74"/>
        <v>0.15956742344390307</v>
      </c>
      <c r="AJ94" s="15">
        <f t="shared" si="59"/>
        <v>6.6669312469427737</v>
      </c>
      <c r="AK94" s="15">
        <f>(1+AJ94)/(1+MAX(AJ$2:AJ94))-1</f>
        <v>-3.6894279387755136E-2</v>
      </c>
      <c r="AL94" s="58">
        <f t="shared" si="60"/>
        <v>7666.9312469427668</v>
      </c>
      <c r="AM94" s="59"/>
      <c r="AN94" s="12" t="s">
        <v>86</v>
      </c>
      <c r="AO94" s="60">
        <v>4288.05</v>
      </c>
      <c r="AP94" s="14">
        <f t="shared" si="61"/>
        <v>-4.871929116215501E-2</v>
      </c>
      <c r="AQ94" s="15">
        <f t="shared" si="75"/>
        <v>0.11682510743586394</v>
      </c>
      <c r="AR94" s="15">
        <f t="shared" si="62"/>
        <v>1.21006164185874</v>
      </c>
      <c r="AS94" s="13">
        <f>(1+AR94)/(1+MAX(AR$2:AR94))-1</f>
        <v>-0.1003172351862498</v>
      </c>
      <c r="AT94" s="62"/>
      <c r="AY94" s="62"/>
    </row>
    <row r="95" spans="1:54" s="61" customFormat="1" outlineLevel="1" x14ac:dyDescent="0.3">
      <c r="A95" s="61" t="s">
        <v>664</v>
      </c>
      <c r="B95" s="55" t="str">
        <f t="shared" si="53"/>
        <v>2023-10</v>
      </c>
      <c r="C95" s="11">
        <v>45200</v>
      </c>
      <c r="D95" s="12" t="s">
        <v>29</v>
      </c>
      <c r="E95" s="14">
        <v>-2.5499999999999998E-2</v>
      </c>
      <c r="F95" s="15">
        <f t="shared" si="70"/>
        <v>-3.698808076033544E-2</v>
      </c>
      <c r="G95" s="15">
        <f t="shared" si="55"/>
        <v>0.8461071821018924</v>
      </c>
      <c r="H95" s="13">
        <f>(1+G95)/(1+MAX(G$2:G95))-1</f>
        <v>-0.16201050794000849</v>
      </c>
      <c r="I95" s="12" t="s">
        <v>73</v>
      </c>
      <c r="J95" s="16">
        <v>-1.7899999999999999E-2</v>
      </c>
      <c r="K95" s="17" t="s">
        <v>51</v>
      </c>
      <c r="L95" s="16">
        <v>-4.4999999999999997E-3</v>
      </c>
      <c r="M95" s="14">
        <f t="shared" si="50"/>
        <v>-1.12E-2</v>
      </c>
      <c r="N95" s="15">
        <f t="shared" si="71"/>
        <v>-8.7951585176912261E-2</v>
      </c>
      <c r="O95" s="15">
        <f t="shared" si="56"/>
        <v>1.5849245389974542</v>
      </c>
      <c r="P95" s="13">
        <f>(1+O95)/(1+MAX(O$2:O95))-1</f>
        <v>-0.1323683429787964</v>
      </c>
      <c r="Q95" s="18" t="s">
        <v>74</v>
      </c>
      <c r="R95" s="16">
        <v>-1.4E-3</v>
      </c>
      <c r="S95" s="56" t="s">
        <v>42</v>
      </c>
      <c r="T95" s="16">
        <v>-6.7199999999999996E-2</v>
      </c>
      <c r="U95" s="14">
        <f t="shared" si="69"/>
        <v>-3.4299999999999997E-2</v>
      </c>
      <c r="V95" s="15">
        <f t="shared" si="72"/>
        <v>0.36333988669913642</v>
      </c>
      <c r="W95" s="15">
        <f t="shared" si="57"/>
        <v>16.554072985357653</v>
      </c>
      <c r="X95" s="13">
        <f>(1+W95)/(1+MAX(W$2:W95))-1</f>
        <v>-5.2406875000000075E-2</v>
      </c>
      <c r="Y95" s="18" t="s">
        <v>46</v>
      </c>
      <c r="Z95" s="16">
        <v>4.6199999999999998E-2</v>
      </c>
      <c r="AA95" s="57" t="s">
        <v>72</v>
      </c>
      <c r="AB95" s="16">
        <v>3.9399999999999998E-2</v>
      </c>
      <c r="AC95" s="14">
        <f t="shared" si="51"/>
        <v>4.2799999999999998E-2</v>
      </c>
      <c r="AD95" s="15">
        <f t="shared" si="73"/>
        <v>0.27925956108736449</v>
      </c>
      <c r="AE95" s="15">
        <f t="shared" si="58"/>
        <v>10.108915508454668</v>
      </c>
      <c r="AF95" s="13">
        <f>(1+AE95)/(1+MAX(AE$2:AE95))-1</f>
        <v>-0.2572297054391629</v>
      </c>
      <c r="AG95" s="21"/>
      <c r="AH95" s="20">
        <f t="shared" si="52"/>
        <v>-4.4142857142857135E-3</v>
      </c>
      <c r="AI95" s="15">
        <f t="shared" si="74"/>
        <v>0.1544487615318435</v>
      </c>
      <c r="AJ95" s="15">
        <f t="shared" si="59"/>
        <v>6.6330872218669832</v>
      </c>
      <c r="AK95" s="15">
        <f>(1+AJ95)/(1+MAX(AJ$2:AJ95))-1</f>
        <v>-4.1145703211600604E-2</v>
      </c>
      <c r="AL95" s="58">
        <f t="shared" si="60"/>
        <v>7633.0872218669765</v>
      </c>
      <c r="AM95" s="59"/>
      <c r="AN95" s="12" t="s">
        <v>86</v>
      </c>
      <c r="AO95" s="60">
        <v>4193.8</v>
      </c>
      <c r="AP95" s="14">
        <f t="shared" si="61"/>
        <v>-2.1979687736850106E-2</v>
      </c>
      <c r="AQ95" s="15">
        <f t="shared" si="75"/>
        <v>9.2277640317749654E-2</v>
      </c>
      <c r="AR95" s="15">
        <f t="shared" si="62"/>
        <v>1.1614851770914947</v>
      </c>
      <c r="AS95" s="13">
        <f>(1+AR95)/(1+MAX(AR$2:AR95))-1</f>
        <v>-0.12009198141908195</v>
      </c>
      <c r="AT95" s="62"/>
    </row>
    <row r="96" spans="1:54" s="61" customFormat="1" outlineLevel="1" x14ac:dyDescent="0.3">
      <c r="A96" s="61" t="s">
        <v>664</v>
      </c>
      <c r="B96" s="55" t="str">
        <f t="shared" si="53"/>
        <v>2023-11</v>
      </c>
      <c r="C96" s="11">
        <v>45231</v>
      </c>
      <c r="D96" s="12" t="s">
        <v>29</v>
      </c>
      <c r="E96" s="14">
        <v>7.1999999999999995E-2</v>
      </c>
      <c r="F96" s="15">
        <f t="shared" si="70"/>
        <v>3.2348777424920483E-2</v>
      </c>
      <c r="G96" s="15">
        <f t="shared" si="55"/>
        <v>0.97902689921322872</v>
      </c>
      <c r="H96" s="13">
        <f>(1+G96)/(1+MAX(G$2:G96))-1</f>
        <v>-0.10167526451168907</v>
      </c>
      <c r="I96" s="12" t="s">
        <v>73</v>
      </c>
      <c r="J96" s="16">
        <v>4.2799999999999998E-2</v>
      </c>
      <c r="K96" s="17" t="s">
        <v>51</v>
      </c>
      <c r="L96" s="16">
        <v>9.2100000000000001E-2</v>
      </c>
      <c r="M96" s="14">
        <f t="shared" si="50"/>
        <v>6.7449999999999996E-2</v>
      </c>
      <c r="N96" s="15">
        <f t="shared" si="71"/>
        <v>-2.6433919597094957E-2</v>
      </c>
      <c r="O96" s="15">
        <f t="shared" si="56"/>
        <v>1.7592776991528325</v>
      </c>
      <c r="P96" s="13">
        <f>(1+O96)/(1+MAX(O$2:O96))-1</f>
        <v>-7.3846587712716238E-2</v>
      </c>
      <c r="Q96" s="18" t="s">
        <v>74</v>
      </c>
      <c r="R96" s="16">
        <v>5.04E-2</v>
      </c>
      <c r="S96" s="56" t="s">
        <v>42</v>
      </c>
      <c r="T96" s="16">
        <v>0.1094</v>
      </c>
      <c r="U96" s="14">
        <f t="shared" si="69"/>
        <v>7.9899999999999999E-2</v>
      </c>
      <c r="V96" s="15">
        <f t="shared" si="72"/>
        <v>0.47227074364639754</v>
      </c>
      <c r="W96" s="15">
        <f t="shared" si="57"/>
        <v>17.956643416887729</v>
      </c>
      <c r="X96" s="13">
        <f>(1+W96)/(1+MAX(W$2:W96))-1</f>
        <v>0</v>
      </c>
      <c r="Y96" s="18" t="s">
        <v>46</v>
      </c>
      <c r="Z96" s="16">
        <v>0.3201</v>
      </c>
      <c r="AA96" s="57" t="s">
        <v>72</v>
      </c>
      <c r="AB96" s="16">
        <v>5.7599999999999998E-2</v>
      </c>
      <c r="AC96" s="14">
        <f t="shared" si="51"/>
        <v>0.18884999999999999</v>
      </c>
      <c r="AD96" s="15">
        <f t="shared" si="73"/>
        <v>0.52084772919871325</v>
      </c>
      <c r="AE96" s="15">
        <f t="shared" si="58"/>
        <v>12.206834202226332</v>
      </c>
      <c r="AF96" s="13">
        <f>(1+AE96)/(1+MAX(AE$2:AE96))-1</f>
        <v>-0.11695753531134878</v>
      </c>
      <c r="AG96" s="21"/>
      <c r="AH96" s="20">
        <f t="shared" si="52"/>
        <v>0.10634285714285714</v>
      </c>
      <c r="AI96" s="15">
        <f t="shared" si="74"/>
        <v>0.27721614125817262</v>
      </c>
      <c r="AJ96" s="15">
        <f t="shared" si="59"/>
        <v>7.4448115258609509</v>
      </c>
      <c r="AK96" s="15">
        <f>(1+AJ96)/(1+MAX(AJ$2:AJ96))-1</f>
        <v>0</v>
      </c>
      <c r="AL96" s="58">
        <f t="shared" si="60"/>
        <v>8444.811525860945</v>
      </c>
      <c r="AM96" s="59"/>
      <c r="AN96" s="12" t="s">
        <v>86</v>
      </c>
      <c r="AO96" s="60">
        <v>4567.8</v>
      </c>
      <c r="AP96" s="14">
        <f t="shared" si="61"/>
        <v>8.9179264628737709E-2</v>
      </c>
      <c r="AQ96" s="15">
        <f t="shared" si="75"/>
        <v>0.18968615705169944</v>
      </c>
      <c r="AR96" s="15">
        <f t="shared" si="62"/>
        <v>1.3542448356904311</v>
      </c>
      <c r="AS96" s="13">
        <f>(1+AR96)/(1+MAX(AR$2:AR96))-1</f>
        <v>-4.1622431381105995E-2</v>
      </c>
      <c r="AT96" s="62"/>
    </row>
    <row r="97" spans="1:54" s="27" customFormat="1" ht="15" thickBot="1" x14ac:dyDescent="0.35">
      <c r="A97" s="27" t="s">
        <v>664</v>
      </c>
      <c r="B97" s="63" t="str">
        <f t="shared" si="53"/>
        <v>2023-12</v>
      </c>
      <c r="C97" s="22">
        <v>45261</v>
      </c>
      <c r="D97" s="23" t="s">
        <v>29</v>
      </c>
      <c r="E97" s="24">
        <v>4.6899999999999997E-2</v>
      </c>
      <c r="F97" s="25">
        <f t="shared" si="70"/>
        <v>8.0765935086149154E-2</v>
      </c>
      <c r="G97" s="25">
        <f t="shared" si="55"/>
        <v>1.0718432607863289</v>
      </c>
      <c r="H97" s="26">
        <f>(1+G97)/(1+MAX(G$2:G97))-1</f>
        <v>-5.9543834417287389E-2</v>
      </c>
      <c r="I97" s="23" t="s">
        <v>73</v>
      </c>
      <c r="J97" s="31">
        <v>3.5099999999999999E-2</v>
      </c>
      <c r="K97" s="28" t="s">
        <v>51</v>
      </c>
      <c r="L97" s="31">
        <v>3.2899999999999999E-2</v>
      </c>
      <c r="M97" s="24">
        <f t="shared" si="50"/>
        <v>3.4000000000000002E-2</v>
      </c>
      <c r="N97" s="25">
        <f t="shared" si="71"/>
        <v>6.6673271366037845E-3</v>
      </c>
      <c r="O97" s="25">
        <f t="shared" si="56"/>
        <v>1.8530931409240288</v>
      </c>
      <c r="P97" s="26">
        <f>(1+O97)/(1+MAX(O$2:O97))-1</f>
        <v>-4.2357371694948576E-2</v>
      </c>
      <c r="Q97" s="29" t="s">
        <v>74</v>
      </c>
      <c r="R97" s="143">
        <v>7.2700000000000001E-2</v>
      </c>
      <c r="S97" s="65" t="s">
        <v>42</v>
      </c>
      <c r="T97" s="28">
        <v>4.99E-2</v>
      </c>
      <c r="U97" s="24">
        <f t="shared" si="69"/>
        <v>6.13E-2</v>
      </c>
      <c r="V97" s="25">
        <f t="shared" si="72"/>
        <v>0.56252094023192156</v>
      </c>
      <c r="W97" s="25">
        <f t="shared" si="57"/>
        <v>19.118685658342944</v>
      </c>
      <c r="X97" s="26">
        <f>(1+W97)/(1+MAX(W$2:W97))-1</f>
        <v>0</v>
      </c>
      <c r="Y97" s="29" t="s">
        <v>46</v>
      </c>
      <c r="Z97" s="28">
        <v>6.2300000000000001E-2</v>
      </c>
      <c r="AA97" s="65" t="s">
        <v>72</v>
      </c>
      <c r="AB97" s="28">
        <v>-1.6799999999999999E-2</v>
      </c>
      <c r="AC97" s="24">
        <f t="shared" si="51"/>
        <v>2.2749999999999999E-2</v>
      </c>
      <c r="AD97" s="25">
        <f t="shared" si="73"/>
        <v>0.55544701503798399</v>
      </c>
      <c r="AE97" s="25">
        <f t="shared" si="58"/>
        <v>12.507289680326982</v>
      </c>
      <c r="AF97" s="26">
        <f>(1+AE97)/(1+MAX(AE$2:AE97))-1</f>
        <v>-9.6868319239681866E-2</v>
      </c>
      <c r="AG97" s="31"/>
      <c r="AH97" s="32">
        <f t="shared" si="52"/>
        <v>4.0428571428571425E-2</v>
      </c>
      <c r="AI97" s="25">
        <f t="shared" si="74"/>
        <v>0.32885216525475314</v>
      </c>
      <c r="AJ97" s="25">
        <f t="shared" si="59"/>
        <v>7.7862231918350435</v>
      </c>
      <c r="AK97" s="25">
        <f>(1+AJ97)/(1+MAX(AJ$2:AJ97))-1</f>
        <v>0</v>
      </c>
      <c r="AL97" s="66">
        <f t="shared" si="60"/>
        <v>8786.2231918350371</v>
      </c>
      <c r="AM97" s="22"/>
      <c r="AN97" s="23" t="s">
        <v>86</v>
      </c>
      <c r="AO97" s="67">
        <v>4769.83</v>
      </c>
      <c r="AP97" s="24">
        <f t="shared" si="61"/>
        <v>4.4229169403213753E-2</v>
      </c>
      <c r="AQ97" s="25">
        <f t="shared" si="75"/>
        <v>0.24230498762859742</v>
      </c>
      <c r="AR97" s="25">
        <f t="shared" si="62"/>
        <v>1.4583711293448243</v>
      </c>
      <c r="AS97" s="26">
        <f>(1+AR97)/(1+MAX(AR$2:AR97))-1</f>
        <v>0</v>
      </c>
      <c r="AT97" s="68"/>
    </row>
    <row r="98" spans="1:54" s="54" customFormat="1" outlineLevel="1" x14ac:dyDescent="0.3">
      <c r="A98" s="54" t="s">
        <v>664</v>
      </c>
      <c r="B98" s="48" t="str">
        <f t="shared" si="53"/>
        <v>2024-1</v>
      </c>
      <c r="C98" s="1">
        <v>45292</v>
      </c>
      <c r="D98" s="2" t="s">
        <v>29</v>
      </c>
      <c r="E98" s="4">
        <v>3.9300000000000002E-2</v>
      </c>
      <c r="F98" s="5">
        <f>+E98</f>
        <v>3.9300000000000002E-2</v>
      </c>
      <c r="G98" s="5">
        <f t="shared" si="55"/>
        <v>1.1532667009352315</v>
      </c>
      <c r="H98" s="3">
        <f>(1+G98)/(1+MAX(G$2:G98))-1</f>
        <v>-2.2583907109886781E-2</v>
      </c>
      <c r="I98" s="2" t="s">
        <v>73</v>
      </c>
      <c r="J98" s="6">
        <v>6.6000000000000003E-2</v>
      </c>
      <c r="K98" s="7" t="s">
        <v>51</v>
      </c>
      <c r="L98" s="6">
        <v>4.8300000000000003E-2</v>
      </c>
      <c r="M98" s="4">
        <f t="shared" si="50"/>
        <v>5.7150000000000006E-2</v>
      </c>
      <c r="N98" s="5">
        <f>+M98</f>
        <v>5.7150000000000006E-2</v>
      </c>
      <c r="O98" s="5">
        <f t="shared" si="56"/>
        <v>2.016147413927837</v>
      </c>
      <c r="P98" s="3">
        <f>(1+O98)/(1+MAX(O$2:O98))-1</f>
        <v>0</v>
      </c>
      <c r="Q98" s="8" t="s">
        <v>42</v>
      </c>
      <c r="R98" s="6">
        <v>0.26819999999999999</v>
      </c>
      <c r="S98" s="49" t="s">
        <v>638</v>
      </c>
      <c r="T98" s="6">
        <v>-0.1149</v>
      </c>
      <c r="U98" s="4">
        <f t="shared" si="69"/>
        <v>7.6649999999999996E-2</v>
      </c>
      <c r="V98" s="5">
        <f>+U98</f>
        <v>7.6649999999999996E-2</v>
      </c>
      <c r="W98" s="5">
        <f t="shared" si="57"/>
        <v>20.660782914054927</v>
      </c>
      <c r="X98" s="3">
        <f>(1+W98)/(1+MAX(W$2:W98))-1</f>
        <v>0</v>
      </c>
      <c r="Y98" s="8" t="s">
        <v>46</v>
      </c>
      <c r="Z98" s="6">
        <v>2.46E-2</v>
      </c>
      <c r="AA98" s="50" t="s">
        <v>72</v>
      </c>
      <c r="AB98" s="6">
        <v>0.1056</v>
      </c>
      <c r="AC98" s="4">
        <f t="shared" si="51"/>
        <v>6.5100000000000005E-2</v>
      </c>
      <c r="AD98" s="5">
        <f>+AC98</f>
        <v>6.5100000000000005E-2</v>
      </c>
      <c r="AE98" s="5">
        <f t="shared" si="58"/>
        <v>13.386614238516268</v>
      </c>
      <c r="AF98" s="3">
        <f>(1+AE98)/(1+MAX(AE$2:AE98))-1</f>
        <v>-3.8074446822185304E-2</v>
      </c>
      <c r="AG98" s="9"/>
      <c r="AH98" s="10">
        <f t="shared" ref="AH98:AH110" si="76">AVERAGE(E98,J98,L98,R98,T98,Z98,AB98)</f>
        <v>6.2442857142857147E-2</v>
      </c>
      <c r="AI98" s="5">
        <f>+AH98</f>
        <v>6.2442857142857147E-2</v>
      </c>
      <c r="AJ98" s="5">
        <f t="shared" si="59"/>
        <v>8.334860071428059</v>
      </c>
      <c r="AK98" s="5">
        <f>(1+AJ98)/(1+MAX(AJ$2:AJ98))-1</f>
        <v>0</v>
      </c>
      <c r="AL98" s="51">
        <f t="shared" si="60"/>
        <v>9334.860071428051</v>
      </c>
      <c r="AM98" s="52"/>
      <c r="AN98" s="2" t="s">
        <v>86</v>
      </c>
      <c r="AO98" s="53">
        <v>4845.6499999999996</v>
      </c>
      <c r="AP98" s="4">
        <f t="shared" si="61"/>
        <v>1.5895744712075555E-2</v>
      </c>
      <c r="AQ98" s="5">
        <f>+AP98</f>
        <v>1.5895744712075555E-2</v>
      </c>
      <c r="AR98" s="5">
        <f t="shared" si="62"/>
        <v>1.4974487692244263</v>
      </c>
      <c r="AS98" s="3">
        <f>(1+AR98)/(1+MAX(AR$2:AR98))-1</f>
        <v>0</v>
      </c>
    </row>
    <row r="99" spans="1:54" s="61" customFormat="1" outlineLevel="1" x14ac:dyDescent="0.3">
      <c r="A99" s="61" t="s">
        <v>664</v>
      </c>
      <c r="B99" s="55" t="str">
        <f t="shared" si="53"/>
        <v>2024-2</v>
      </c>
      <c r="C99" s="11">
        <v>45323</v>
      </c>
      <c r="D99" s="12" t="s">
        <v>29</v>
      </c>
      <c r="E99" s="14">
        <v>5.33E-2</v>
      </c>
      <c r="F99" s="15">
        <f t="shared" ref="F99:F109" si="77">+(1+E99)*(1+F98)-1</f>
        <v>9.4694689999999859E-2</v>
      </c>
      <c r="G99" s="15">
        <f t="shared" si="55"/>
        <v>1.2680358160950793</v>
      </c>
      <c r="H99" s="13">
        <f>(1+G99)/(1+MAX(G$2:G99))-1</f>
        <v>0</v>
      </c>
      <c r="I99" s="12" t="s">
        <v>73</v>
      </c>
      <c r="J99" s="16">
        <v>4.6300000000000001E-2</v>
      </c>
      <c r="K99" s="17" t="s">
        <v>51</v>
      </c>
      <c r="L99" s="16">
        <v>4.7500000000000001E-2</v>
      </c>
      <c r="M99" s="14">
        <f t="shared" si="50"/>
        <v>4.6899999999999997E-2</v>
      </c>
      <c r="N99" s="15">
        <f t="shared" ref="N99:N109" si="78">+(1+M99)*(1+N98)-1</f>
        <v>0.10673033499999995</v>
      </c>
      <c r="O99" s="15">
        <f t="shared" si="56"/>
        <v>2.1576047276410524</v>
      </c>
      <c r="P99" s="13">
        <f>(1+O99)/(1+MAX(O$2:O99))-1</f>
        <v>0</v>
      </c>
      <c r="Q99" s="18" t="s">
        <v>75</v>
      </c>
      <c r="R99" s="16">
        <v>0.1087</v>
      </c>
      <c r="S99" s="56" t="s">
        <v>42</v>
      </c>
      <c r="T99" s="16">
        <v>0.28639999999999999</v>
      </c>
      <c r="U99" s="14">
        <f t="shared" si="69"/>
        <v>0.19755</v>
      </c>
      <c r="V99" s="15">
        <f t="shared" ref="V99:V109" si="79">+(1+U99)*(1+V98)-1</f>
        <v>0.28934220750000006</v>
      </c>
      <c r="W99" s="15">
        <f t="shared" si="57"/>
        <v>24.939870578726481</v>
      </c>
      <c r="X99" s="13">
        <f>(1+W99)/(1+MAX(W$2:W99))-1</f>
        <v>0</v>
      </c>
      <c r="Y99" s="18" t="s">
        <v>46</v>
      </c>
      <c r="Z99" s="16">
        <v>0.1956</v>
      </c>
      <c r="AA99" s="57" t="s">
        <v>145</v>
      </c>
      <c r="AB99" s="16">
        <v>-1.9099999999999999E-2</v>
      </c>
      <c r="AC99" s="14">
        <f t="shared" si="51"/>
        <v>8.8249999999999995E-2</v>
      </c>
      <c r="AD99" s="15">
        <f t="shared" ref="AD99:AD109" si="80">+(1+AC99)*(1+AD98)-1</f>
        <v>0.15909507499999997</v>
      </c>
      <c r="AE99" s="15">
        <f t="shared" si="58"/>
        <v>14.656232945065328</v>
      </c>
      <c r="AF99" s="13">
        <f>(1+AE99)/(1+MAX(AE$2:AE99))-1</f>
        <v>0</v>
      </c>
      <c r="AG99" s="19"/>
      <c r="AH99" s="20">
        <f t="shared" si="76"/>
        <v>0.10267142857142857</v>
      </c>
      <c r="AI99" s="15">
        <f t="shared" ref="AI99:AI109" si="81">+(1+AH99)*(1+AI98)-1</f>
        <v>0.17152538306122445</v>
      </c>
      <c r="AJ99" s="15">
        <f t="shared" si="59"/>
        <v>9.2932834904759645</v>
      </c>
      <c r="AK99" s="15">
        <f>(1+AJ99)/(1+MAX(AJ$2:AJ99))-1</f>
        <v>0</v>
      </c>
      <c r="AL99" s="58">
        <f t="shared" si="60"/>
        <v>10293.283490475957</v>
      </c>
      <c r="AM99" s="59"/>
      <c r="AN99" s="12" t="s">
        <v>86</v>
      </c>
      <c r="AO99" s="60">
        <v>5096.2700000000004</v>
      </c>
      <c r="AP99" s="14">
        <f t="shared" si="61"/>
        <v>5.1720615397315317E-2</v>
      </c>
      <c r="AQ99" s="15">
        <f t="shared" ref="AQ99:AQ109" si="82">+(1+AP99)*(1+AQ98)-1</f>
        <v>6.8438497808098075E-2</v>
      </c>
      <c r="AR99" s="15">
        <f t="shared" si="62"/>
        <v>1.6266183564919814</v>
      </c>
      <c r="AS99" s="13">
        <f>(1+AR99)/(1+MAX(AR$2:AR99))-1</f>
        <v>0</v>
      </c>
    </row>
    <row r="100" spans="1:54" s="61" customFormat="1" outlineLevel="1" x14ac:dyDescent="0.3">
      <c r="A100" s="61" t="s">
        <v>664</v>
      </c>
      <c r="B100" s="55" t="str">
        <f t="shared" si="53"/>
        <v>2024-3</v>
      </c>
      <c r="C100" s="11">
        <v>45352</v>
      </c>
      <c r="D100" s="12" t="s">
        <v>29</v>
      </c>
      <c r="E100" s="14">
        <v>1.5100000000000001E-2</v>
      </c>
      <c r="F100" s="15">
        <f t="shared" si="77"/>
        <v>0.11122457981899969</v>
      </c>
      <c r="G100" s="15">
        <f t="shared" si="55"/>
        <v>1.3022831569181146</v>
      </c>
      <c r="H100" s="13">
        <f>(1+G100)/(1+MAX(G$2:G100))-1</f>
        <v>0</v>
      </c>
      <c r="I100" s="12" t="s">
        <v>73</v>
      </c>
      <c r="J100" s="16">
        <v>3.4200000000000001E-2</v>
      </c>
      <c r="K100" s="17" t="s">
        <v>51</v>
      </c>
      <c r="L100" s="16">
        <v>1.03E-2</v>
      </c>
      <c r="M100" s="14">
        <f t="shared" si="50"/>
        <v>2.2249999999999999E-2</v>
      </c>
      <c r="N100" s="15">
        <f t="shared" si="78"/>
        <v>0.13135508495375015</v>
      </c>
      <c r="O100" s="15">
        <f t="shared" si="56"/>
        <v>2.227861432831066</v>
      </c>
      <c r="P100" s="13">
        <f>(1+O100)/(1+MAX(O$2:O100))-1</f>
        <v>0</v>
      </c>
      <c r="Q100" s="18" t="s">
        <v>75</v>
      </c>
      <c r="R100" s="16">
        <v>-8.6999999999999994E-3</v>
      </c>
      <c r="S100" s="56" t="s">
        <v>42</v>
      </c>
      <c r="T100" s="16">
        <v>0.1449</v>
      </c>
      <c r="U100" s="14">
        <f t="shared" si="69"/>
        <v>6.8099999999999994E-2</v>
      </c>
      <c r="V100" s="15">
        <f t="shared" si="79"/>
        <v>0.37714641183075015</v>
      </c>
      <c r="W100" s="15">
        <f t="shared" si="57"/>
        <v>26.706375765137757</v>
      </c>
      <c r="X100" s="13">
        <f>(1+W100)/(1+MAX(W$2:W100))-1</f>
        <v>0</v>
      </c>
      <c r="Y100" s="18" t="s">
        <v>46</v>
      </c>
      <c r="Z100" s="16">
        <v>-0.15110000000000001</v>
      </c>
      <c r="AA100" s="57" t="s">
        <v>145</v>
      </c>
      <c r="AB100" s="16">
        <v>3.5999999999999999E-3</v>
      </c>
      <c r="AC100" s="14">
        <f t="shared" si="51"/>
        <v>-7.375000000000001E-2</v>
      </c>
      <c r="AD100" s="15">
        <f t="shared" si="80"/>
        <v>7.3611813218749989E-2</v>
      </c>
      <c r="AE100" s="15">
        <f t="shared" si="58"/>
        <v>13.501585765366761</v>
      </c>
      <c r="AF100" s="13">
        <f>(1+AE100)/(1+MAX(AE$2:AE100))-1</f>
        <v>-7.3749999999999982E-2</v>
      </c>
      <c r="AG100" s="19"/>
      <c r="AH100" s="20">
        <f t="shared" si="76"/>
        <v>6.8999999999999981E-3</v>
      </c>
      <c r="AI100" s="15">
        <f t="shared" si="81"/>
        <v>0.17960890820434683</v>
      </c>
      <c r="AJ100" s="15">
        <f t="shared" si="59"/>
        <v>9.3643071465602485</v>
      </c>
      <c r="AK100" s="15">
        <f>(1+AJ100)/(1+MAX(AJ$2:AJ100))-1</f>
        <v>0</v>
      </c>
      <c r="AL100" s="58">
        <f t="shared" si="60"/>
        <v>10364.307146560239</v>
      </c>
      <c r="AM100" s="59"/>
      <c r="AN100" s="12" t="s">
        <v>86</v>
      </c>
      <c r="AO100" s="60">
        <v>5254.35</v>
      </c>
      <c r="AP100" s="14">
        <f t="shared" si="61"/>
        <v>3.1018764704381807E-2</v>
      </c>
      <c r="AQ100" s="15">
        <f t="shared" si="82"/>
        <v>0.10158014017271055</v>
      </c>
      <c r="AR100" s="15">
        <f t="shared" si="62"/>
        <v>1.7080928132602162</v>
      </c>
      <c r="AS100" s="13">
        <f>(1+AR100)/(1+MAX(AR$2:AR100))-1</f>
        <v>0</v>
      </c>
    </row>
    <row r="101" spans="1:54" s="61" customFormat="1" outlineLevel="1" x14ac:dyDescent="0.3">
      <c r="A101" s="61" t="s">
        <v>664</v>
      </c>
      <c r="B101" s="55" t="str">
        <f t="shared" si="53"/>
        <v>2024-4</v>
      </c>
      <c r="C101" s="11">
        <v>45383</v>
      </c>
      <c r="D101" s="12" t="s">
        <v>29</v>
      </c>
      <c r="E101" s="14">
        <v>-3.5000000000000003E-2</v>
      </c>
      <c r="F101" s="15">
        <f t="shared" si="77"/>
        <v>7.233171952533457E-2</v>
      </c>
      <c r="G101" s="15">
        <f t="shared" si="55"/>
        <v>1.2217032464259807</v>
      </c>
      <c r="H101" s="13">
        <f>(1+G101)/(1+MAX(G$2:G101))-1</f>
        <v>-3.499999999999992E-2</v>
      </c>
      <c r="I101" s="12" t="s">
        <v>73</v>
      </c>
      <c r="J101" s="16">
        <v>-3.78E-2</v>
      </c>
      <c r="K101" s="17" t="s">
        <v>51</v>
      </c>
      <c r="L101" s="16">
        <v>-4.9000000000000002E-2</v>
      </c>
      <c r="M101" s="14">
        <f t="shared" si="50"/>
        <v>-4.3400000000000001E-2</v>
      </c>
      <c r="N101" s="15">
        <f t="shared" si="78"/>
        <v>8.2254274266757355E-2</v>
      </c>
      <c r="O101" s="15">
        <f t="shared" si="56"/>
        <v>2.0877722466461979</v>
      </c>
      <c r="P101" s="13">
        <f>(1+O101)/(1+MAX(O$2:O101))-1</f>
        <v>-4.3399999999999994E-2</v>
      </c>
      <c r="Q101" s="18" t="s">
        <v>75</v>
      </c>
      <c r="R101" s="16">
        <v>-7.9200000000000007E-2</v>
      </c>
      <c r="S101" s="56" t="s">
        <v>42</v>
      </c>
      <c r="T101" s="16">
        <v>-3.5000000000000003E-2</v>
      </c>
      <c r="U101" s="14">
        <f t="shared" si="69"/>
        <v>-5.7100000000000005E-2</v>
      </c>
      <c r="V101" s="15">
        <f t="shared" si="79"/>
        <v>0.29851135171521426</v>
      </c>
      <c r="W101" s="15">
        <f t="shared" si="57"/>
        <v>25.124341708948389</v>
      </c>
      <c r="X101" s="13">
        <f>(1+W101)/(1+MAX(W$2:W101))-1</f>
        <v>-5.710000000000004E-2</v>
      </c>
      <c r="Y101" s="18" t="s">
        <v>46</v>
      </c>
      <c r="Z101" s="16">
        <v>-0.1007</v>
      </c>
      <c r="AA101" s="57" t="s">
        <v>76</v>
      </c>
      <c r="AB101" s="16">
        <v>-7.0900000000000005E-2</v>
      </c>
      <c r="AC101" s="14">
        <f t="shared" si="51"/>
        <v>-8.5800000000000001E-2</v>
      </c>
      <c r="AD101" s="15">
        <f t="shared" si="80"/>
        <v>-1.8504080355418728E-2</v>
      </c>
      <c r="AE101" s="15">
        <f t="shared" si="58"/>
        <v>12.257349706698292</v>
      </c>
      <c r="AF101" s="13">
        <f>(1+AE101)/(1+MAX(AE$2:AE101))-1</f>
        <v>-0.15322225</v>
      </c>
      <c r="AG101" s="19"/>
      <c r="AH101" s="20">
        <f t="shared" si="76"/>
        <v>-5.8228571428571428E-2</v>
      </c>
      <c r="AI101" s="15">
        <f t="shared" si="81"/>
        <v>0.11092196663519083</v>
      </c>
      <c r="AJ101" s="15">
        <f t="shared" si="59"/>
        <v>8.7608083475691121</v>
      </c>
      <c r="AK101" s="15">
        <f>(1+AJ101)/(1+MAX(AJ$2:AJ101))-1</f>
        <v>-5.8228571428571407E-2</v>
      </c>
      <c r="AL101" s="58">
        <f t="shared" si="60"/>
        <v>9760.8083475691037</v>
      </c>
      <c r="AM101" s="59"/>
      <c r="AN101" s="12" t="s">
        <v>86</v>
      </c>
      <c r="AO101" s="60">
        <v>5035.6899999999996</v>
      </c>
      <c r="AP101" s="14">
        <f t="shared" si="61"/>
        <v>-4.1615042774082567E-2</v>
      </c>
      <c r="AQ101" s="15">
        <f t="shared" si="82"/>
        <v>5.5737835520343282E-2</v>
      </c>
      <c r="AR101" s="15">
        <f t="shared" si="62"/>
        <v>1.5953954150002065</v>
      </c>
      <c r="AS101" s="13">
        <f>(1+AR101)/(1+MAX(AR$2:AR101))-1</f>
        <v>-4.1615042774082678E-2</v>
      </c>
      <c r="AT101" s="62"/>
    </row>
    <row r="102" spans="1:54" s="61" customFormat="1" outlineLevel="1" x14ac:dyDescent="0.3">
      <c r="A102" s="61" t="s">
        <v>664</v>
      </c>
      <c r="B102" s="55" t="str">
        <f t="shared" si="53"/>
        <v>2024-5</v>
      </c>
      <c r="C102" s="11">
        <v>45413</v>
      </c>
      <c r="D102" s="12" t="s">
        <v>29</v>
      </c>
      <c r="E102" s="14">
        <v>4.9799999999999997E-2</v>
      </c>
      <c r="F102" s="15">
        <f t="shared" si="77"/>
        <v>0.12573383915769631</v>
      </c>
      <c r="G102" s="15">
        <f t="shared" si="55"/>
        <v>1.3323440680979948</v>
      </c>
      <c r="H102" s="13">
        <f>(1+G102)/(1+MAX(G$2:G102))-1</f>
        <v>0</v>
      </c>
      <c r="I102" s="12" t="s">
        <v>73</v>
      </c>
      <c r="J102" s="16">
        <v>5.7500000000000002E-2</v>
      </c>
      <c r="K102" s="17" t="s">
        <v>44</v>
      </c>
      <c r="L102" s="16">
        <v>2.0299999999999999E-2</v>
      </c>
      <c r="M102" s="14">
        <f t="shared" si="50"/>
        <v>3.8900000000000004E-2</v>
      </c>
      <c r="N102" s="15">
        <f t="shared" si="78"/>
        <v>0.12435396553573419</v>
      </c>
      <c r="O102" s="15">
        <f t="shared" si="56"/>
        <v>2.2078865870407349</v>
      </c>
      <c r="P102" s="13">
        <f>(1+O102)/(1+MAX(O$2:O102))-1</f>
        <v>-6.1882599999999455E-3</v>
      </c>
      <c r="Q102" s="18" t="s">
        <v>75</v>
      </c>
      <c r="R102" s="16">
        <v>6.0400000000000002E-2</v>
      </c>
      <c r="S102" s="56" t="s">
        <v>42</v>
      </c>
      <c r="T102" s="16">
        <v>0.25490000000000002</v>
      </c>
      <c r="U102" s="14">
        <f t="shared" si="69"/>
        <v>0.15765000000000001</v>
      </c>
      <c r="V102" s="15">
        <f t="shared" si="79"/>
        <v>0.50322166631311793</v>
      </c>
      <c r="W102" s="15">
        <f t="shared" si="57"/>
        <v>29.242844179364106</v>
      </c>
      <c r="X102" s="13">
        <f>(1+W102)/(1+MAX(W$2:W102))-1</f>
        <v>0</v>
      </c>
      <c r="Y102" s="18" t="s">
        <v>77</v>
      </c>
      <c r="Z102" s="16">
        <v>3.1800000000000002E-2</v>
      </c>
      <c r="AA102" s="57" t="s">
        <v>78</v>
      </c>
      <c r="AB102" s="16">
        <v>4.0899999999999999E-2</v>
      </c>
      <c r="AC102" s="14">
        <f t="shared" si="51"/>
        <v>3.635E-2</v>
      </c>
      <c r="AD102" s="15">
        <f t="shared" si="80"/>
        <v>1.7173296323661935E-2</v>
      </c>
      <c r="AE102" s="15">
        <f t="shared" si="58"/>
        <v>12.739254368536777</v>
      </c>
      <c r="AF102" s="13">
        <f>(1+AE102)/(1+MAX(AE$2:AE102))-1</f>
        <v>-0.1224418787874999</v>
      </c>
      <c r="AG102" s="19"/>
      <c r="AH102" s="20">
        <f t="shared" si="76"/>
        <v>7.3657142857142865E-2</v>
      </c>
      <c r="AI102" s="15">
        <f t="shared" si="81"/>
        <v>0.19274930463477724</v>
      </c>
      <c r="AJ102" s="15">
        <f t="shared" si="59"/>
        <v>9.4797616024272031</v>
      </c>
      <c r="AK102" s="15">
        <f>(1+AJ102)/(1+MAX(AJ$2:AJ102))-1</f>
        <v>0</v>
      </c>
      <c r="AL102" s="58">
        <f t="shared" si="60"/>
        <v>10479.761602427194</v>
      </c>
      <c r="AM102" s="59"/>
      <c r="AN102" s="12" t="s">
        <v>86</v>
      </c>
      <c r="AO102" s="60">
        <v>5277.51</v>
      </c>
      <c r="AP102" s="14">
        <f t="shared" si="61"/>
        <v>4.8021224499522619E-2</v>
      </c>
      <c r="AQ102" s="15">
        <f t="shared" si="82"/>
        <v>0.10643565913250574</v>
      </c>
      <c r="AR102" s="15">
        <f t="shared" si="62"/>
        <v>1.7200294808889631</v>
      </c>
      <c r="AS102" s="13">
        <f>(1+AR102)/(1+MAX(AR$2:AR102))-1</f>
        <v>0</v>
      </c>
      <c r="AT102" s="62"/>
      <c r="AY102" s="62"/>
      <c r="AZ102" s="62"/>
      <c r="BA102" s="62"/>
      <c r="BB102" s="62"/>
    </row>
    <row r="103" spans="1:54" s="61" customFormat="1" outlineLevel="1" x14ac:dyDescent="0.3">
      <c r="A103" s="61" t="s">
        <v>664</v>
      </c>
      <c r="B103" s="55" t="str">
        <f t="shared" si="53"/>
        <v>2024-6</v>
      </c>
      <c r="C103" s="11">
        <v>45444</v>
      </c>
      <c r="D103" s="12" t="s">
        <v>29</v>
      </c>
      <c r="E103" s="14">
        <v>7.7299999999999994E-2</v>
      </c>
      <c r="F103" s="15">
        <f t="shared" si="77"/>
        <v>0.21275306492458612</v>
      </c>
      <c r="G103" s="15">
        <f t="shared" si="55"/>
        <v>1.5126342645619695</v>
      </c>
      <c r="H103" s="13">
        <f>(1+G103)/(1+MAX(G$2:G103))-1</f>
        <v>0</v>
      </c>
      <c r="I103" s="12" t="s">
        <v>73</v>
      </c>
      <c r="J103" s="16">
        <v>4.3799999999999999E-2</v>
      </c>
      <c r="K103" s="17" t="s">
        <v>51</v>
      </c>
      <c r="L103" s="16">
        <v>9.11E-2</v>
      </c>
      <c r="M103" s="14">
        <f t="shared" si="50"/>
        <v>6.7449999999999996E-2</v>
      </c>
      <c r="N103" s="15">
        <f t="shared" si="78"/>
        <v>0.20019164051111948</v>
      </c>
      <c r="O103" s="15">
        <f t="shared" si="56"/>
        <v>2.4242585373366325</v>
      </c>
      <c r="P103" s="13">
        <f>(1+O103)/(1+MAX(O$2:O103))-1</f>
        <v>0</v>
      </c>
      <c r="Q103" s="18" t="s">
        <v>75</v>
      </c>
      <c r="R103" s="16">
        <v>0.2361</v>
      </c>
      <c r="S103" s="56" t="s">
        <v>42</v>
      </c>
      <c r="T103" s="16">
        <v>0.14030000000000001</v>
      </c>
      <c r="U103" s="14">
        <f t="shared" si="69"/>
        <v>0.18820000000000001</v>
      </c>
      <c r="V103" s="15">
        <f t="shared" si="79"/>
        <v>0.78612798391324668</v>
      </c>
      <c r="W103" s="15">
        <f t="shared" si="57"/>
        <v>34.93454745392043</v>
      </c>
      <c r="X103" s="13">
        <f>(1+W103)/(1+MAX(W$2:W103))-1</f>
        <v>0</v>
      </c>
      <c r="Y103" s="18" t="s">
        <v>76</v>
      </c>
      <c r="Z103" s="16">
        <v>-6.8599999999999994E-2</v>
      </c>
      <c r="AA103" s="57" t="s">
        <v>77</v>
      </c>
      <c r="AB103" s="16">
        <v>-9.8699999999999996E-2</v>
      </c>
      <c r="AC103" s="14">
        <f t="shared" si="51"/>
        <v>-8.3650000000000002E-2</v>
      </c>
      <c r="AD103" s="15">
        <f t="shared" si="80"/>
        <v>-6.7913249913812423E-2</v>
      </c>
      <c r="AE103" s="15">
        <f t="shared" si="58"/>
        <v>11.589965740608676</v>
      </c>
      <c r="AF103" s="13">
        <f>(1+AE103)/(1+MAX(AE$2:AE103))-1</f>
        <v>-0.19584961562692549</v>
      </c>
      <c r="AG103" s="19"/>
      <c r="AH103" s="20">
        <f t="shared" si="76"/>
        <v>6.0185714285714287E-2</v>
      </c>
      <c r="AI103" s="15">
        <f t="shared" si="81"/>
        <v>0.26453577349801027</v>
      </c>
      <c r="AJ103" s="15">
        <f t="shared" si="59"/>
        <v>10.110493540013286</v>
      </c>
      <c r="AK103" s="15">
        <f>(1+AJ103)/(1+MAX(AJ$2:AJ103))-1</f>
        <v>0</v>
      </c>
      <c r="AL103" s="58">
        <f t="shared" si="60"/>
        <v>11110.493540013276</v>
      </c>
      <c r="AM103" s="59"/>
      <c r="AN103" s="12" t="s">
        <v>86</v>
      </c>
      <c r="AO103" s="60">
        <v>5460.48</v>
      </c>
      <c r="AP103" s="14">
        <f t="shared" si="61"/>
        <v>3.4669759034089864E-2</v>
      </c>
      <c r="AQ103" s="15">
        <f t="shared" si="82"/>
        <v>0.14479551682135416</v>
      </c>
      <c r="AR103" s="15">
        <f t="shared" si="62"/>
        <v>1.8143322475570041</v>
      </c>
      <c r="AS103" s="13">
        <f>(1+AR103)/(1+MAX(AR$2:AR103))-1</f>
        <v>0</v>
      </c>
      <c r="AT103" s="62"/>
      <c r="AY103" s="62"/>
      <c r="AZ103" s="62"/>
      <c r="BA103" s="62"/>
      <c r="BB103" s="62"/>
    </row>
    <row r="104" spans="1:54" s="61" customFormat="1" outlineLevel="1" x14ac:dyDescent="0.3">
      <c r="A104" s="61" t="s">
        <v>664</v>
      </c>
      <c r="B104" s="55" t="str">
        <f t="shared" si="53"/>
        <v>2024-7</v>
      </c>
      <c r="C104" s="11">
        <v>45474</v>
      </c>
      <c r="D104" s="12" t="s">
        <v>29</v>
      </c>
      <c r="E104" s="14">
        <v>-2.6599999999999999E-2</v>
      </c>
      <c r="F104" s="15">
        <f t="shared" si="77"/>
        <v>0.18049383339759228</v>
      </c>
      <c r="G104" s="15">
        <f t="shared" si="55"/>
        <v>1.4457981931246211</v>
      </c>
      <c r="H104" s="13">
        <f>(1+G104)/(1+MAX(G$2:G104))-1</f>
        <v>-2.6599999999999957E-2</v>
      </c>
      <c r="I104" s="12" t="s">
        <v>73</v>
      </c>
      <c r="J104" s="16">
        <v>-8.3999999999999995E-3</v>
      </c>
      <c r="K104" s="17" t="s">
        <v>51</v>
      </c>
      <c r="L104" s="16">
        <v>-4.2500000000000003E-2</v>
      </c>
      <c r="M104" s="14">
        <f t="shared" ref="M104:M114" si="83">AVERAGE(J104,L104)</f>
        <v>-2.545E-2</v>
      </c>
      <c r="N104" s="15">
        <f t="shared" si="78"/>
        <v>0.16964676326011152</v>
      </c>
      <c r="O104" s="15">
        <f t="shared" si="56"/>
        <v>2.3371111575614152</v>
      </c>
      <c r="P104" s="13">
        <f>(1+O104)/(1+MAX(O$2:O104))-1</f>
        <v>-2.5449999999999973E-2</v>
      </c>
      <c r="Q104" s="18" t="s">
        <v>75</v>
      </c>
      <c r="R104" s="16">
        <v>-0.4007</v>
      </c>
      <c r="S104" s="56" t="s">
        <v>42</v>
      </c>
      <c r="T104" s="16">
        <v>-6.2199999999999998E-2</v>
      </c>
      <c r="U104" s="14">
        <f t="shared" si="69"/>
        <v>-0.23144999999999999</v>
      </c>
      <c r="V104" s="15">
        <f t="shared" si="79"/>
        <v>0.37272866203652577</v>
      </c>
      <c r="W104" s="15">
        <f t="shared" si="57"/>
        <v>26.61749644571055</v>
      </c>
      <c r="X104" s="13">
        <f>(1+W104)/(1+MAX(W$2:W104))-1</f>
        <v>-0.23144999999999993</v>
      </c>
      <c r="Y104" s="18" t="s">
        <v>79</v>
      </c>
      <c r="Z104" s="16">
        <v>0.107</v>
      </c>
      <c r="AA104" s="57" t="s">
        <v>78</v>
      </c>
      <c r="AB104" s="16">
        <v>2.9899999999999999E-2</v>
      </c>
      <c r="AC104" s="14">
        <f t="shared" si="51"/>
        <v>6.8449999999999997E-2</v>
      </c>
      <c r="AD104" s="15">
        <f t="shared" si="80"/>
        <v>-4.111911870412932E-3</v>
      </c>
      <c r="AE104" s="15">
        <f t="shared" si="58"/>
        <v>12.451748895553338</v>
      </c>
      <c r="AF104" s="13">
        <f>(1+AE104)/(1+MAX(AE$2:AE104))-1</f>
        <v>-0.14080552181658867</v>
      </c>
      <c r="AG104" s="19"/>
      <c r="AH104" s="20">
        <f t="shared" si="76"/>
        <v>-5.7642857142857148E-2</v>
      </c>
      <c r="AI104" s="15">
        <f t="shared" si="81"/>
        <v>0.19164431855423225</v>
      </c>
      <c r="AJ104" s="15">
        <f t="shared" si="59"/>
        <v>9.4700529480996636</v>
      </c>
      <c r="AK104" s="15">
        <f>(1+AJ104)/(1+MAX(AJ$2:AJ104))-1</f>
        <v>-5.7642857142857107E-2</v>
      </c>
      <c r="AL104" s="58">
        <f t="shared" si="60"/>
        <v>10470.052948099654</v>
      </c>
      <c r="AM104" s="59"/>
      <c r="AN104" s="12" t="s">
        <v>86</v>
      </c>
      <c r="AO104" s="60">
        <v>5522.3</v>
      </c>
      <c r="AP104" s="14">
        <f t="shared" si="61"/>
        <v>1.1321349038912354E-2</v>
      </c>
      <c r="AQ104" s="15">
        <f t="shared" si="82"/>
        <v>0.15775614644547087</v>
      </c>
      <c r="AR104" s="15">
        <f t="shared" si="62"/>
        <v>1.8461942852430635</v>
      </c>
      <c r="AS104" s="13">
        <f>(1+AR104)/(1+MAX(AR$2:AR104))-1</f>
        <v>0</v>
      </c>
      <c r="AT104" s="62"/>
      <c r="AY104" s="62"/>
      <c r="AZ104" s="62"/>
      <c r="BA104" s="62"/>
      <c r="BB104" s="62"/>
    </row>
    <row r="105" spans="1:54" s="61" customFormat="1" outlineLevel="1" x14ac:dyDescent="0.3">
      <c r="A105" s="61" t="s">
        <v>664</v>
      </c>
      <c r="B105" s="55" t="str">
        <f t="shared" si="53"/>
        <v>2024-8</v>
      </c>
      <c r="C105" s="11">
        <v>45505</v>
      </c>
      <c r="D105" s="12" t="s">
        <v>29</v>
      </c>
      <c r="E105" s="14">
        <v>-1.3100000000000001E-2</v>
      </c>
      <c r="F105" s="15">
        <f t="shared" si="77"/>
        <v>0.16502936418008374</v>
      </c>
      <c r="G105" s="15">
        <f t="shared" si="55"/>
        <v>1.4137582367946884</v>
      </c>
      <c r="H105" s="13">
        <f>(1+G105)/(1+MAX(G$2:G105))-1</f>
        <v>-3.9351540000000074E-2</v>
      </c>
      <c r="I105" s="12" t="s">
        <v>73</v>
      </c>
      <c r="J105" s="16">
        <v>-6.4999999999999997E-3</v>
      </c>
      <c r="K105" s="17" t="s">
        <v>51</v>
      </c>
      <c r="L105" s="16">
        <v>-1.7000000000000001E-2</v>
      </c>
      <c r="M105" s="14">
        <f t="shared" si="83"/>
        <v>-1.175E-2</v>
      </c>
      <c r="N105" s="15">
        <f t="shared" si="78"/>
        <v>0.15590341379180517</v>
      </c>
      <c r="O105" s="15">
        <f t="shared" si="56"/>
        <v>2.2979001014600686</v>
      </c>
      <c r="P105" s="13">
        <f>(1+O105)/(1+MAX(O$2:O105))-1</f>
        <v>-3.6900962499999967E-2</v>
      </c>
      <c r="Q105" s="18" t="s">
        <v>140</v>
      </c>
      <c r="R105" s="16">
        <v>1.5E-3</v>
      </c>
      <c r="S105" s="56" t="s">
        <v>42</v>
      </c>
      <c r="T105" s="16">
        <v>-4.3E-3</v>
      </c>
      <c r="U105" s="14">
        <f t="shared" si="69"/>
        <v>-1.4E-3</v>
      </c>
      <c r="V105" s="15">
        <f t="shared" si="79"/>
        <v>0.37080684190967461</v>
      </c>
      <c r="W105" s="15">
        <f t="shared" si="57"/>
        <v>26.578831950686556</v>
      </c>
      <c r="X105" s="13">
        <f>(1+W105)/(1+MAX(W$2:W105))-1</f>
        <v>-0.23252596999999986</v>
      </c>
      <c r="Y105" s="18" t="s">
        <v>79</v>
      </c>
      <c r="Z105" s="16">
        <v>-3.2000000000000001E-2</v>
      </c>
      <c r="AA105" s="57" t="s">
        <v>81</v>
      </c>
      <c r="AB105" s="16">
        <v>-3.8199999999999998E-2</v>
      </c>
      <c r="AC105" s="14">
        <f t="shared" si="51"/>
        <v>-3.5099999999999999E-2</v>
      </c>
      <c r="AD105" s="15">
        <f t="shared" si="80"/>
        <v>-3.9067583763761404E-2</v>
      </c>
      <c r="AE105" s="15">
        <f t="shared" si="58"/>
        <v>11.979592509319415</v>
      </c>
      <c r="AF105" s="13">
        <f>(1+AE105)/(1+MAX(AE$2:AE105))-1</f>
        <v>-0.17096324800082641</v>
      </c>
      <c r="AG105" s="19"/>
      <c r="AH105" s="20">
        <f t="shared" si="76"/>
        <v>-1.5657142857142856E-2</v>
      </c>
      <c r="AI105" s="15">
        <f t="shared" si="81"/>
        <v>0.17298657322372613</v>
      </c>
      <c r="AJ105" s="15">
        <f t="shared" si="59"/>
        <v>9.3061218333694171</v>
      </c>
      <c r="AK105" s="15">
        <f>(1+AJ105)/(1+MAX(AJ$2:AJ105))-1</f>
        <v>-7.2397477551020328E-2</v>
      </c>
      <c r="AL105" s="58">
        <f t="shared" si="60"/>
        <v>10306.121833369409</v>
      </c>
      <c r="AM105" s="59"/>
      <c r="AN105" s="12" t="s">
        <v>86</v>
      </c>
      <c r="AO105" s="60">
        <v>5648.4</v>
      </c>
      <c r="AP105" s="14">
        <f t="shared" si="61"/>
        <v>2.2834688445031892E-2</v>
      </c>
      <c r="AQ105" s="15">
        <f t="shared" si="82"/>
        <v>0.18419314734487391</v>
      </c>
      <c r="AR105" s="15">
        <f t="shared" si="62"/>
        <v>1.9111862450006192</v>
      </c>
      <c r="AS105" s="13">
        <f>(1+AR105)/(1+MAX(AR$2:AR105))-1</f>
        <v>0</v>
      </c>
      <c r="AT105" s="62"/>
      <c r="AY105" s="62"/>
      <c r="AZ105" s="62"/>
      <c r="BA105" s="62"/>
      <c r="BB105" s="62"/>
    </row>
    <row r="106" spans="1:54" s="61" customFormat="1" outlineLevel="1" x14ac:dyDescent="0.3">
      <c r="A106" s="61" t="s">
        <v>664</v>
      </c>
      <c r="B106" s="55" t="str">
        <f t="shared" si="53"/>
        <v>2024-9</v>
      </c>
      <c r="C106" s="11">
        <v>45536</v>
      </c>
      <c r="D106" s="12" t="s">
        <v>29</v>
      </c>
      <c r="E106" s="14">
        <v>1.7999999999999999E-2</v>
      </c>
      <c r="F106" s="15">
        <f t="shared" si="77"/>
        <v>0.18599989273532525</v>
      </c>
      <c r="G106" s="15">
        <f t="shared" si="55"/>
        <v>1.4572058850569927</v>
      </c>
      <c r="H106" s="13">
        <f>(1+G106)/(1+MAX(G$2:G106))-1</f>
        <v>-2.2059867720000126E-2</v>
      </c>
      <c r="I106" s="12" t="s">
        <v>73</v>
      </c>
      <c r="J106" s="16">
        <v>3.0099999999999998E-2</v>
      </c>
      <c r="K106" s="17" t="s">
        <v>44</v>
      </c>
      <c r="L106" s="16">
        <v>-1.35E-2</v>
      </c>
      <c r="M106" s="14">
        <f t="shared" si="83"/>
        <v>8.2999999999999984E-3</v>
      </c>
      <c r="N106" s="15">
        <f t="shared" si="78"/>
        <v>0.16549741212627711</v>
      </c>
      <c r="O106" s="15">
        <f t="shared" si="56"/>
        <v>2.3252726723021873</v>
      </c>
      <c r="P106" s="13">
        <f>(1+O106)/(1+MAX(O$2:O106))-1</f>
        <v>-2.890724048874993E-2</v>
      </c>
      <c r="Q106" s="18" t="s">
        <v>82</v>
      </c>
      <c r="R106" s="16">
        <v>6.3100000000000003E-2</v>
      </c>
      <c r="S106" s="56" t="s">
        <v>42</v>
      </c>
      <c r="T106" s="16">
        <v>9.2999999999999992E-3</v>
      </c>
      <c r="U106" s="14">
        <f t="shared" si="69"/>
        <v>3.6200000000000003E-2</v>
      </c>
      <c r="V106" s="15">
        <f t="shared" si="79"/>
        <v>0.42043004958680474</v>
      </c>
      <c r="W106" s="15">
        <f t="shared" si="57"/>
        <v>27.577185667301411</v>
      </c>
      <c r="X106" s="13">
        <f>(1+W106)/(1+MAX(W$2:W106))-1</f>
        <v>-0.20474341011399988</v>
      </c>
      <c r="Y106" s="18" t="s">
        <v>620</v>
      </c>
      <c r="Z106" s="16">
        <v>-1.4500000000000001E-2</v>
      </c>
      <c r="AA106" s="57" t="s">
        <v>79</v>
      </c>
      <c r="AB106" s="16">
        <v>0.26950000000000002</v>
      </c>
      <c r="AC106" s="14">
        <f t="shared" si="51"/>
        <v>0.1275</v>
      </c>
      <c r="AD106" s="15">
        <f t="shared" si="80"/>
        <v>8.3451299306358973E-2</v>
      </c>
      <c r="AE106" s="15">
        <f t="shared" si="58"/>
        <v>13.63449055425764</v>
      </c>
      <c r="AF106" s="13">
        <f>(1+AE106)/(1+MAX(AE$2:AE106))-1</f>
        <v>-6.5261062120931856E-2</v>
      </c>
      <c r="AG106" s="19"/>
      <c r="AH106" s="20">
        <f t="shared" si="76"/>
        <v>5.171428571428572E-2</v>
      </c>
      <c r="AI106" s="15">
        <f t="shared" si="81"/>
        <v>0.23364673601043884</v>
      </c>
      <c r="AJ106" s="15">
        <f t="shared" si="59"/>
        <v>9.8390955624665217</v>
      </c>
      <c r="AK106" s="15">
        <f>(1+AJ106)/(1+MAX(AJ$2:AJ106))-1</f>
        <v>-2.442717567580166E-2</v>
      </c>
      <c r="AL106" s="58">
        <f t="shared" si="60"/>
        <v>10839.095562466513</v>
      </c>
      <c r="AM106" s="59"/>
      <c r="AN106" s="12" t="s">
        <v>86</v>
      </c>
      <c r="AO106" s="60">
        <v>5762.48</v>
      </c>
      <c r="AP106" s="14">
        <f t="shared" si="61"/>
        <v>2.0196869910062976E-2</v>
      </c>
      <c r="AQ106" s="15">
        <f t="shared" si="82"/>
        <v>0.20811014229018632</v>
      </c>
      <c r="AR106" s="15">
        <f t="shared" si="62"/>
        <v>1.9699830948748613</v>
      </c>
      <c r="AS106" s="13">
        <f>(1+AR106)/(1+MAX(AR$2:AR106))-1</f>
        <v>0</v>
      </c>
      <c r="AT106" s="62"/>
      <c r="AY106" s="62"/>
    </row>
    <row r="107" spans="1:54" s="61" customFormat="1" outlineLevel="1" x14ac:dyDescent="0.3">
      <c r="A107" s="61" t="s">
        <v>664</v>
      </c>
      <c r="B107" s="55" t="str">
        <f t="shared" si="53"/>
        <v>2024-10</v>
      </c>
      <c r="C107" s="11">
        <v>45566</v>
      </c>
      <c r="D107" s="12" t="s">
        <v>29</v>
      </c>
      <c r="E107" s="14">
        <v>1.9699999999999999E-2</v>
      </c>
      <c r="F107" s="15">
        <f t="shared" si="77"/>
        <v>0.20936409062221117</v>
      </c>
      <c r="G107" s="15">
        <f t="shared" si="55"/>
        <v>1.5056128409926157</v>
      </c>
      <c r="H107" s="13">
        <f>(1+G107)/(1+MAX(G$2:G107))-1</f>
        <v>-2.7944471140839422E-3</v>
      </c>
      <c r="I107" s="12" t="s">
        <v>73</v>
      </c>
      <c r="J107" s="16">
        <v>4.7300000000000002E-2</v>
      </c>
      <c r="K107" s="17" t="s">
        <v>54</v>
      </c>
      <c r="L107" s="16">
        <v>1.7500000000000002E-2</v>
      </c>
      <c r="M107" s="14">
        <f t="shared" si="83"/>
        <v>3.2399999999999998E-2</v>
      </c>
      <c r="N107" s="15">
        <f t="shared" si="78"/>
        <v>0.20325952827916849</v>
      </c>
      <c r="O107" s="15">
        <f t="shared" si="56"/>
        <v>2.4330115068847782</v>
      </c>
      <c r="P107" s="13">
        <f>(1+O107)/(1+MAX(O$2:O107))-1</f>
        <v>0</v>
      </c>
      <c r="Q107" s="18" t="s">
        <v>82</v>
      </c>
      <c r="R107" s="16">
        <v>2.07E-2</v>
      </c>
      <c r="S107" s="56" t="s">
        <v>42</v>
      </c>
      <c r="T107" s="16">
        <v>0.1245</v>
      </c>
      <c r="U107" s="14">
        <f t="shared" si="69"/>
        <v>7.2599999999999998E-2</v>
      </c>
      <c r="V107" s="15">
        <f t="shared" si="79"/>
        <v>0.52355327118680672</v>
      </c>
      <c r="W107" s="15">
        <f t="shared" si="57"/>
        <v>29.651889346747492</v>
      </c>
      <c r="X107" s="13">
        <f>(1+W107)/(1+MAX(W$2:W107))-1</f>
        <v>-0.14700778168827622</v>
      </c>
      <c r="Y107" s="18" t="s">
        <v>79</v>
      </c>
      <c r="Z107" s="16">
        <v>0.13489999999999999</v>
      </c>
      <c r="AA107" s="57" t="s">
        <v>81</v>
      </c>
      <c r="AB107" s="16">
        <v>7.1199999999999999E-2</v>
      </c>
      <c r="AC107" s="14">
        <f t="shared" si="51"/>
        <v>0.10305</v>
      </c>
      <c r="AD107" s="15">
        <f t="shared" si="80"/>
        <v>0.19510095569987929</v>
      </c>
      <c r="AE107" s="15">
        <f t="shared" si="58"/>
        <v>15.142574805873892</v>
      </c>
      <c r="AF107" s="13">
        <f>(1+AE107)/(1+MAX(AE$2:AE107))-1</f>
        <v>0</v>
      </c>
      <c r="AG107" s="21"/>
      <c r="AH107" s="20">
        <f t="shared" si="76"/>
        <v>6.2257142857142858E-2</v>
      </c>
      <c r="AI107" s="15">
        <f t="shared" si="81"/>
        <v>0.31045005708948858</v>
      </c>
      <c r="AJ107" s="15">
        <f t="shared" si="59"/>
        <v>10.513906683341222</v>
      </c>
      <c r="AK107" s="15">
        <f>(1+AJ107)/(1+MAX(AJ$2:AJ107))-1</f>
        <v>0</v>
      </c>
      <c r="AL107" s="58">
        <f t="shared" si="60"/>
        <v>11513.906683341213</v>
      </c>
      <c r="AM107" s="59"/>
      <c r="AN107" s="12" t="s">
        <v>86</v>
      </c>
      <c r="AO107" s="60">
        <v>5705.45</v>
      </c>
      <c r="AP107" s="14">
        <f t="shared" si="61"/>
        <v>-9.8967805528175079E-3</v>
      </c>
      <c r="AQ107" s="15">
        <f t="shared" si="82"/>
        <v>0.19615374132830721</v>
      </c>
      <c r="AR107" s="15">
        <f t="shared" si="62"/>
        <v>1.9405898239393071</v>
      </c>
      <c r="AS107" s="13">
        <f>(1+AR107)/(1+MAX(AR$2:AR107))-1</f>
        <v>-9.8967805528175079E-3</v>
      </c>
      <c r="AT107" s="62"/>
    </row>
    <row r="108" spans="1:54" s="61" customFormat="1" outlineLevel="1" x14ac:dyDescent="0.3">
      <c r="A108" s="61" t="s">
        <v>664</v>
      </c>
      <c r="B108" s="55" t="str">
        <f t="shared" si="53"/>
        <v>2024-11</v>
      </c>
      <c r="C108" s="11">
        <v>45597</v>
      </c>
      <c r="D108" s="12" t="s">
        <v>35</v>
      </c>
      <c r="E108" s="14">
        <v>-4.1000000000000003E-3</v>
      </c>
      <c r="F108" s="15">
        <f t="shared" si="77"/>
        <v>0.2044056978506601</v>
      </c>
      <c r="G108" s="15">
        <f t="shared" si="55"/>
        <v>1.4953398283445458</v>
      </c>
      <c r="H108" s="13">
        <f>(1+G108)/(1+MAX(G$2:G108))-1</f>
        <v>-6.8829898809162904E-3</v>
      </c>
      <c r="I108" s="12" t="s">
        <v>73</v>
      </c>
      <c r="J108" s="16">
        <v>9.9099999999999994E-2</v>
      </c>
      <c r="K108" s="17" t="s">
        <v>54</v>
      </c>
      <c r="L108" s="16">
        <v>6.6900000000000001E-2</v>
      </c>
      <c r="M108" s="14">
        <f t="shared" si="83"/>
        <v>8.299999999999999E-2</v>
      </c>
      <c r="N108" s="15">
        <f t="shared" si="78"/>
        <v>0.30313006912633944</v>
      </c>
      <c r="O108" s="15">
        <f t="shared" si="56"/>
        <v>2.7179514619562148</v>
      </c>
      <c r="P108" s="13">
        <f>(1+O108)/(1+MAX(O$2:O108))-1</f>
        <v>0</v>
      </c>
      <c r="Q108" s="18" t="s">
        <v>80</v>
      </c>
      <c r="R108" s="16">
        <v>4.5999999999999999E-3</v>
      </c>
      <c r="S108" s="56" t="s">
        <v>42</v>
      </c>
      <c r="T108" s="16">
        <v>7.0599999999999996E-2</v>
      </c>
      <c r="U108" s="14">
        <f t="shared" si="69"/>
        <v>3.7599999999999995E-2</v>
      </c>
      <c r="V108" s="15">
        <f t="shared" si="79"/>
        <v>0.58083887418343072</v>
      </c>
      <c r="W108" s="15">
        <f t="shared" si="57"/>
        <v>30.8044003861852</v>
      </c>
      <c r="X108" s="13">
        <f>(1+W108)/(1+MAX(W$2:W108))-1</f>
        <v>-0.11493527427975536</v>
      </c>
      <c r="Y108" s="18" t="s">
        <v>79</v>
      </c>
      <c r="Z108" s="16">
        <v>0.3594</v>
      </c>
      <c r="AA108" s="57" t="s">
        <v>81</v>
      </c>
      <c r="AB108" s="16">
        <v>-8.9999999999999998E-4</v>
      </c>
      <c r="AC108" s="14">
        <f t="shared" si="51"/>
        <v>0.17924999999999999</v>
      </c>
      <c r="AD108" s="15">
        <f t="shared" si="80"/>
        <v>0.40932280200908244</v>
      </c>
      <c r="AE108" s="15">
        <f t="shared" si="58"/>
        <v>18.036131339826785</v>
      </c>
      <c r="AF108" s="13">
        <f>(1+AE108)/(1+MAX(AE$2:AE108))-1</f>
        <v>0</v>
      </c>
      <c r="AG108" s="21"/>
      <c r="AH108" s="20">
        <f t="shared" si="76"/>
        <v>8.5085714285714292E-2</v>
      </c>
      <c r="AI108" s="15">
        <f t="shared" si="81"/>
        <v>0.42195063623270279</v>
      </c>
      <c r="AJ108" s="15">
        <f t="shared" si="59"/>
        <v>11.493575657712368</v>
      </c>
      <c r="AK108" s="15">
        <f>(1+AJ108)/(1+MAX(AJ$2:AJ108))-1</f>
        <v>0</v>
      </c>
      <c r="AL108" s="58">
        <f t="shared" si="60"/>
        <v>12493.575657712357</v>
      </c>
      <c r="AM108" s="59"/>
      <c r="AN108" s="12" t="s">
        <v>86</v>
      </c>
      <c r="AO108" s="60">
        <v>6032.38</v>
      </c>
      <c r="AP108" s="14">
        <f t="shared" si="61"/>
        <v>5.7301352215863854E-2</v>
      </c>
      <c r="AQ108" s="15">
        <f t="shared" si="82"/>
        <v>0.2646949681644839</v>
      </c>
      <c r="AR108" s="15">
        <f t="shared" si="62"/>
        <v>2.1090895971632384</v>
      </c>
      <c r="AS108" s="13">
        <f>(1+AR108)/(1+MAX(AR$2:AR108))-1</f>
        <v>0</v>
      </c>
      <c r="AT108" s="62"/>
    </row>
    <row r="109" spans="1:54" s="27" customFormat="1" ht="15" thickBot="1" x14ac:dyDescent="0.35">
      <c r="A109" s="27" t="s">
        <v>664</v>
      </c>
      <c r="B109" s="63" t="str">
        <f t="shared" si="53"/>
        <v>2024-12</v>
      </c>
      <c r="C109" s="22">
        <v>45627</v>
      </c>
      <c r="D109" s="23" t="s">
        <v>35</v>
      </c>
      <c r="E109" s="24">
        <v>8.0000000000000004E-4</v>
      </c>
      <c r="F109" s="25">
        <f t="shared" si="77"/>
        <v>0.20536922240894051</v>
      </c>
      <c r="G109" s="25">
        <f t="shared" si="55"/>
        <v>1.4973361002072214</v>
      </c>
      <c r="H109" s="26">
        <f>(1+G109)/(1+MAX(G$2:G109))-1</f>
        <v>-6.0884962728210423E-3</v>
      </c>
      <c r="I109" s="23" t="s">
        <v>73</v>
      </c>
      <c r="J109" s="31">
        <v>1.2999999999999999E-3</v>
      </c>
      <c r="K109" s="28" t="s">
        <v>44</v>
      </c>
      <c r="L109" s="31">
        <v>-4.0399999999999998E-2</v>
      </c>
      <c r="M109" s="24">
        <f t="shared" si="83"/>
        <v>-1.9549999999999998E-2</v>
      </c>
      <c r="N109" s="25">
        <f t="shared" si="78"/>
        <v>0.27765387627491966</v>
      </c>
      <c r="O109" s="25">
        <f t="shared" si="56"/>
        <v>2.645265510874971</v>
      </c>
      <c r="P109" s="26">
        <f>(1+O109)/(1+MAX(O$2:O109))-1</f>
        <v>-1.9549999999999956E-2</v>
      </c>
      <c r="Q109" s="29" t="s">
        <v>639</v>
      </c>
      <c r="R109" s="143">
        <v>-5.3900000000000003E-2</v>
      </c>
      <c r="S109" s="65" t="s">
        <v>42</v>
      </c>
      <c r="T109" s="28">
        <v>7.3000000000000001E-3</v>
      </c>
      <c r="U109" s="24">
        <f t="shared" si="69"/>
        <v>-2.3300000000000001E-2</v>
      </c>
      <c r="V109" s="25">
        <f t="shared" si="79"/>
        <v>0.54400532841495686</v>
      </c>
      <c r="W109" s="25">
        <f t="shared" si="57"/>
        <v>30.063357857187086</v>
      </c>
      <c r="X109" s="26">
        <f>(1+W109)/(1+MAX(W$2:W109))-1</f>
        <v>-0.13555728238903708</v>
      </c>
      <c r="Y109" s="29" t="s">
        <v>79</v>
      </c>
      <c r="Z109" s="28">
        <v>-1.84E-2</v>
      </c>
      <c r="AA109" s="65" t="s">
        <v>81</v>
      </c>
      <c r="AB109" s="28">
        <v>5.3400000000000003E-2</v>
      </c>
      <c r="AC109" s="24">
        <f t="shared" si="51"/>
        <v>1.7500000000000002E-2</v>
      </c>
      <c r="AD109" s="25">
        <f t="shared" si="80"/>
        <v>0.43398595104424142</v>
      </c>
      <c r="AE109" s="25">
        <f t="shared" si="58"/>
        <v>18.369263638273754</v>
      </c>
      <c r="AF109" s="26">
        <f>(1+AE109)/(1+MAX(AE$2:AE109))-1</f>
        <v>0</v>
      </c>
      <c r="AG109" s="31"/>
      <c r="AH109" s="32">
        <f t="shared" si="76"/>
        <v>-7.1285714285714286E-3</v>
      </c>
      <c r="AI109" s="25">
        <f t="shared" si="81"/>
        <v>0.41181415955441536</v>
      </c>
      <c r="AJ109" s="25">
        <f t="shared" si="59"/>
        <v>11.404514311238104</v>
      </c>
      <c r="AK109" s="25">
        <f>(1+AJ109)/(1+MAX(AJ$2:AJ109))-1</f>
        <v>-7.128571428571373E-3</v>
      </c>
      <c r="AL109" s="66">
        <f t="shared" si="60"/>
        <v>12404.514311238094</v>
      </c>
      <c r="AM109" s="22"/>
      <c r="AN109" s="23" t="s">
        <v>86</v>
      </c>
      <c r="AO109" s="67">
        <v>5881.63</v>
      </c>
      <c r="AP109" s="24">
        <f t="shared" si="61"/>
        <v>-2.4990136563014964E-2</v>
      </c>
      <c r="AQ109" s="25">
        <f t="shared" si="82"/>
        <v>0.23309006819949563</v>
      </c>
      <c r="AR109" s="25">
        <f t="shared" si="62"/>
        <v>2.0313930235434801</v>
      </c>
      <c r="AS109" s="26">
        <f>(1+AR109)/(1+MAX(AR$2:AR109))-1</f>
        <v>-2.4990136563014964E-2</v>
      </c>
      <c r="AT109" s="68"/>
    </row>
    <row r="110" spans="1:54" s="54" customFormat="1" outlineLevel="1" x14ac:dyDescent="0.3">
      <c r="A110" s="54" t="s">
        <v>664</v>
      </c>
      <c r="B110" s="48" t="str">
        <f t="shared" si="53"/>
        <v>2025-1</v>
      </c>
      <c r="C110" s="1">
        <v>45658</v>
      </c>
      <c r="D110" s="2" t="s">
        <v>35</v>
      </c>
      <c r="E110" s="4">
        <v>6.88E-2</v>
      </c>
      <c r="F110" s="5">
        <f>+E110</f>
        <v>6.88E-2</v>
      </c>
      <c r="G110" s="5">
        <f t="shared" si="55"/>
        <v>1.6691528239014781</v>
      </c>
      <c r="H110" s="3">
        <f>(1+G110)/(1+MAX(G$2:G110))-1</f>
        <v>0</v>
      </c>
      <c r="I110" s="2" t="s">
        <v>73</v>
      </c>
      <c r="J110" s="6">
        <v>5.8400000000000001E-2</v>
      </c>
      <c r="K110" s="7" t="s">
        <v>44</v>
      </c>
      <c r="L110" s="6">
        <v>6.59E-2</v>
      </c>
      <c r="M110" s="4">
        <f t="shared" si="83"/>
        <v>6.2149999999999997E-2</v>
      </c>
      <c r="N110" s="5">
        <f>+M110</f>
        <v>6.2149999999999997E-2</v>
      </c>
      <c r="O110" s="5">
        <f t="shared" si="56"/>
        <v>2.8718187623758502</v>
      </c>
      <c r="P110" s="3">
        <f>(1+O110)/(1+MAX(O$2:O110))-1</f>
        <v>0</v>
      </c>
      <c r="Q110" s="8" t="s">
        <v>640</v>
      </c>
      <c r="R110" s="6">
        <v>0.14230000000000001</v>
      </c>
      <c r="S110" s="49" t="s">
        <v>641</v>
      </c>
      <c r="T110" s="6">
        <v>0.15690000000000001</v>
      </c>
      <c r="U110" s="4">
        <f t="shared" si="69"/>
        <v>0.14960000000000001</v>
      </c>
      <c r="V110" s="5">
        <f>+U110</f>
        <v>0.14960000000000001</v>
      </c>
      <c r="W110" s="5">
        <f t="shared" si="57"/>
        <v>34.710436192622275</v>
      </c>
      <c r="X110" s="3">
        <f>(1+W110)/(1+MAX(W$2:W110))-1</f>
        <v>-6.2366518344370014E-3</v>
      </c>
      <c r="Y110" s="8" t="s">
        <v>79</v>
      </c>
      <c r="Z110" s="6">
        <v>0.155</v>
      </c>
      <c r="AA110" s="50" t="s">
        <v>81</v>
      </c>
      <c r="AB110" s="6">
        <v>9.06E-2</v>
      </c>
      <c r="AC110" s="4">
        <f t="shared" si="51"/>
        <v>0.12279999999999999</v>
      </c>
      <c r="AD110" s="5">
        <f>+AC110</f>
        <v>0.12279999999999999</v>
      </c>
      <c r="AE110" s="5">
        <f t="shared" si="58"/>
        <v>20.74780921305377</v>
      </c>
      <c r="AF110" s="3">
        <f>(1+AE110)/(1+MAX(AE$2:AE110))-1</f>
        <v>0</v>
      </c>
      <c r="AG110" s="9"/>
      <c r="AH110" s="10">
        <f t="shared" si="76"/>
        <v>0.10541428571428572</v>
      </c>
      <c r="AI110" s="5">
        <f>+AH110</f>
        <v>0.10541428571428572</v>
      </c>
      <c r="AJ110" s="5">
        <f t="shared" si="59"/>
        <v>12.712127326989904</v>
      </c>
      <c r="AK110" s="5">
        <f>(1+AJ110)/(1+MAX(AJ$2:AJ110))-1</f>
        <v>0</v>
      </c>
      <c r="AL110" s="51">
        <f t="shared" si="60"/>
        <v>13712.127326989892</v>
      </c>
      <c r="AM110" s="52"/>
      <c r="AN110" s="2" t="s">
        <v>86</v>
      </c>
      <c r="AO110" s="53">
        <v>6040.53</v>
      </c>
      <c r="AP110" s="4">
        <f t="shared" si="61"/>
        <v>2.7016320305765618E-2</v>
      </c>
      <c r="AQ110" s="5">
        <f>+AP110</f>
        <v>2.7016320305765618E-2</v>
      </c>
      <c r="AR110" s="5">
        <f t="shared" si="62"/>
        <v>2.1132901084401938</v>
      </c>
      <c r="AS110" s="3">
        <f>(1+AR110)/(1+MAX(AR$2:AR110))-1</f>
        <v>0</v>
      </c>
    </row>
    <row r="111" spans="1:54" s="61" customFormat="1" outlineLevel="1" x14ac:dyDescent="0.3">
      <c r="A111" s="61" t="s">
        <v>664</v>
      </c>
      <c r="B111" s="55" t="str">
        <f t="shared" si="53"/>
        <v>2025-2</v>
      </c>
      <c r="C111" s="11">
        <v>45689</v>
      </c>
      <c r="D111" s="12" t="s">
        <v>35</v>
      </c>
      <c r="E111" s="14">
        <v>1.84E-2</v>
      </c>
      <c r="F111" s="15">
        <f t="shared" ref="F111:F121" si="84">+(1+E111)*(1+F110)-1</f>
        <v>8.8465919999999976E-2</v>
      </c>
      <c r="G111" s="15">
        <f t="shared" si="55"/>
        <v>1.7182652358612653</v>
      </c>
      <c r="H111" s="13">
        <f>(1+G111)/(1+MAX(G$2:G111))-1</f>
        <v>0</v>
      </c>
      <c r="I111" s="12" t="s">
        <v>73</v>
      </c>
      <c r="J111" s="16">
        <v>-3.5000000000000001E-3</v>
      </c>
      <c r="K111" s="17" t="s">
        <v>44</v>
      </c>
      <c r="L111" s="16">
        <v>1.4E-2</v>
      </c>
      <c r="M111" s="14">
        <f t="shared" si="83"/>
        <v>5.2500000000000003E-3</v>
      </c>
      <c r="N111" s="15">
        <f t="shared" ref="N111:N121" si="85">+(1+M111)*(1+N110)-1</f>
        <v>6.7726287499999982E-2</v>
      </c>
      <c r="O111" s="15">
        <f t="shared" si="56"/>
        <v>2.8921458108783233</v>
      </c>
      <c r="P111" s="13">
        <f>(1+O111)/(1+MAX(O$2:O111))-1</f>
        <v>0</v>
      </c>
      <c r="Q111" s="18" t="s">
        <v>640</v>
      </c>
      <c r="R111" s="16">
        <v>-0.11849999999999999</v>
      </c>
      <c r="S111" s="56" t="s">
        <v>161</v>
      </c>
      <c r="T111" s="16">
        <v>2.9700000000000001E-2</v>
      </c>
      <c r="U111" s="14">
        <f t="shared" si="69"/>
        <v>-4.4399999999999995E-2</v>
      </c>
      <c r="V111" s="15">
        <f t="shared" ref="V111:V121" si="86">+(1+U111)*(1+V110)-1</f>
        <v>9.855776000000005E-2</v>
      </c>
      <c r="W111" s="15">
        <f t="shared" si="57"/>
        <v>33.124892825669846</v>
      </c>
      <c r="X111" s="13">
        <f>(1+W111)/(1+MAX(W$2:W111))-1</f>
        <v>-5.0359744492987968E-2</v>
      </c>
      <c r="Y111" s="18" t="s">
        <v>79</v>
      </c>
      <c r="Z111" s="16">
        <v>-5.0099999999999999E-2</v>
      </c>
      <c r="AA111" s="57" t="s">
        <v>621</v>
      </c>
      <c r="AB111" s="16">
        <v>5.45E-2</v>
      </c>
      <c r="AC111" s="14">
        <f t="shared" si="51"/>
        <v>2.2000000000000006E-3</v>
      </c>
      <c r="AD111" s="15">
        <f t="shared" ref="AD111:AD121" si="87">+(1+AC111)*(1+AD110)-1</f>
        <v>0.12527015999999991</v>
      </c>
      <c r="AE111" s="15">
        <f t="shared" si="58"/>
        <v>20.795654393322486</v>
      </c>
      <c r="AF111" s="13">
        <f>(1+AE111)/(1+MAX(AE$2:AE111))-1</f>
        <v>0</v>
      </c>
      <c r="AG111" s="19"/>
      <c r="AH111" s="20">
        <f t="shared" ref="AH111:AH129" si="88">AVERAGE(E111,J111,L111,R111,T111,Z111,AB111)</f>
        <v>-7.9285714285714272E-3</v>
      </c>
      <c r="AI111" s="15">
        <f t="shared" ref="AI111:AI121" si="89">+(1+AH111)*(1+AI110)-1</f>
        <v>9.6649929591836825E-2</v>
      </c>
      <c r="AJ111" s="15">
        <f t="shared" si="59"/>
        <v>12.603409746040199</v>
      </c>
      <c r="AK111" s="15">
        <f>(1+AJ111)/(1+MAX(AJ$2:AJ111))-1</f>
        <v>-7.928571428571396E-3</v>
      </c>
      <c r="AL111" s="58">
        <f t="shared" si="60"/>
        <v>13603.409746040186</v>
      </c>
      <c r="AM111" s="59"/>
      <c r="AN111" s="12" t="s">
        <v>86</v>
      </c>
      <c r="AO111" s="60">
        <v>5954.5</v>
      </c>
      <c r="AP111" s="14">
        <f t="shared" si="61"/>
        <v>-1.4242127760312417E-2</v>
      </c>
      <c r="AQ111" s="15">
        <f t="shared" ref="AQ111:AQ121" si="90">+(1+AP111)*(1+AQ110)-1</f>
        <v>1.2389422660044946E-2</v>
      </c>
      <c r="AR111" s="15">
        <f t="shared" si="62"/>
        <v>2.0689502329608715</v>
      </c>
      <c r="AS111" s="13">
        <f>(1+AR111)/(1+MAX(AR$2:AR111))-1</f>
        <v>-1.4242127760312417E-2</v>
      </c>
    </row>
    <row r="112" spans="1:54" s="61" customFormat="1" outlineLevel="1" x14ac:dyDescent="0.3">
      <c r="A112" s="61" t="s">
        <v>664</v>
      </c>
      <c r="B112" s="55" t="str">
        <f t="shared" si="53"/>
        <v>2025-3</v>
      </c>
      <c r="C112" s="11">
        <v>45717</v>
      </c>
      <c r="D112" s="12" t="s">
        <v>35</v>
      </c>
      <c r="E112" s="14">
        <v>5.11E-2</v>
      </c>
      <c r="F112" s="15">
        <f t="shared" si="84"/>
        <v>0.14408652851199988</v>
      </c>
      <c r="G112" s="15">
        <f t="shared" si="55"/>
        <v>1.8571685894137757</v>
      </c>
      <c r="H112" s="13">
        <f>(1+G112)/(1+MAX(G$2:G112))-1</f>
        <v>0</v>
      </c>
      <c r="I112" s="12" t="s">
        <v>73</v>
      </c>
      <c r="J112" s="16">
        <v>-8.9200000000000002E-2</v>
      </c>
      <c r="K112" s="17" t="s">
        <v>44</v>
      </c>
      <c r="L112" s="16">
        <v>-7.9899999999999999E-2</v>
      </c>
      <c r="M112" s="14">
        <f t="shared" si="83"/>
        <v>-8.455E-2</v>
      </c>
      <c r="N112" s="15">
        <f t="shared" si="85"/>
        <v>-2.2549970108124984E-2</v>
      </c>
      <c r="O112" s="15">
        <f t="shared" si="56"/>
        <v>2.5630648825685611</v>
      </c>
      <c r="P112" s="13">
        <f>(1+O112)/(1+MAX(O$2:O112))-1</f>
        <v>-8.4550000000000014E-2</v>
      </c>
      <c r="Q112" s="18" t="s">
        <v>640</v>
      </c>
      <c r="R112" s="16">
        <v>-0.21879999999999999</v>
      </c>
      <c r="S112" s="159" t="s">
        <v>161</v>
      </c>
      <c r="T112" s="16">
        <v>-4.5499999999999999E-2</v>
      </c>
      <c r="U112" s="14">
        <f t="shared" si="69"/>
        <v>-0.13214999999999999</v>
      </c>
      <c r="V112" s="15">
        <f t="shared" si="86"/>
        <v>-4.6616647983999893E-2</v>
      </c>
      <c r="W112" s="15">
        <f t="shared" si="57"/>
        <v>28.615288238757575</v>
      </c>
      <c r="X112" s="13">
        <f>(1+W112)/(1+MAX(W$2:W112))-1</f>
        <v>-0.17585470425823968</v>
      </c>
      <c r="Y112" s="18" t="s">
        <v>79</v>
      </c>
      <c r="Z112" s="16">
        <v>-0.02</v>
      </c>
      <c r="AA112" s="57" t="s">
        <v>621</v>
      </c>
      <c r="AB112" s="16">
        <v>-0.26750000000000002</v>
      </c>
      <c r="AC112" s="14">
        <f t="shared" si="51"/>
        <v>-0.14375000000000002</v>
      </c>
      <c r="AD112" s="15">
        <f t="shared" si="87"/>
        <v>-3.648742550000017E-2</v>
      </c>
      <c r="AE112" s="15">
        <f t="shared" si="58"/>
        <v>17.662529074282379</v>
      </c>
      <c r="AF112" s="13">
        <f>(1+AE112)/(1+MAX(AE$2:AE112))-1</f>
        <v>-0.14375000000000004</v>
      </c>
      <c r="AG112" s="19"/>
      <c r="AH112" s="20">
        <f t="shared" si="88"/>
        <v>-9.5685714285714277E-2</v>
      </c>
      <c r="AI112" s="15">
        <f t="shared" si="89"/>
        <v>-8.2838022425363311E-3</v>
      </c>
      <c r="AJ112" s="15">
        <f t="shared" si="59"/>
        <v>11.301757767769097</v>
      </c>
      <c r="AK112" s="15">
        <f>(1+AJ112)/(1+MAX(AJ$2:AJ112))-1</f>
        <v>-0.10285563469387748</v>
      </c>
      <c r="AL112" s="58">
        <f t="shared" si="60"/>
        <v>12301.757767769084</v>
      </c>
      <c r="AM112" s="59"/>
      <c r="AN112" s="12" t="s">
        <v>86</v>
      </c>
      <c r="AO112" s="60">
        <v>5611.85</v>
      </c>
      <c r="AP112" s="14">
        <f t="shared" si="61"/>
        <v>-5.7544714081786852E-2</v>
      </c>
      <c r="AQ112" s="15">
        <f t="shared" si="90"/>
        <v>-4.586823720635258E-2</v>
      </c>
      <c r="AR112" s="15">
        <f t="shared" si="62"/>
        <v>1.8923483692739049</v>
      </c>
      <c r="AS112" s="13">
        <f>(1+AR112)/(1+MAX(AR$2:AR112))-1</f>
        <v>-7.0967282672215859E-2</v>
      </c>
    </row>
    <row r="113" spans="1:54" s="61" customFormat="1" outlineLevel="1" x14ac:dyDescent="0.3">
      <c r="A113" s="61" t="s">
        <v>664</v>
      </c>
      <c r="B113" s="55" t="str">
        <f t="shared" si="53"/>
        <v>2025-4</v>
      </c>
      <c r="C113" s="11">
        <v>45748</v>
      </c>
      <c r="D113" s="12" t="s">
        <v>35</v>
      </c>
      <c r="E113" s="14">
        <v>1.9E-3</v>
      </c>
      <c r="F113" s="15">
        <f t="shared" si="84"/>
        <v>0.14626029291617271</v>
      </c>
      <c r="G113" s="15">
        <f t="shared" si="55"/>
        <v>1.8625972097336621</v>
      </c>
      <c r="H113" s="13">
        <f>(1+G113)/(1+MAX(G$2:G113))-1</f>
        <v>0</v>
      </c>
      <c r="I113" s="12" t="s">
        <v>73</v>
      </c>
      <c r="J113" s="16">
        <v>-5.96E-2</v>
      </c>
      <c r="K113" s="17" t="s">
        <v>44</v>
      </c>
      <c r="L113" s="16">
        <v>-6.9699999999999998E-2</v>
      </c>
      <c r="M113" s="14">
        <f t="shared" si="83"/>
        <v>-6.4649999999999999E-2</v>
      </c>
      <c r="N113" s="15">
        <f t="shared" si="85"/>
        <v>-8.574211454063474E-2</v>
      </c>
      <c r="O113" s="15">
        <f t="shared" si="56"/>
        <v>2.3327127379105037</v>
      </c>
      <c r="P113" s="13">
        <f>(1+O113)/(1+MAX(O$2:O113))-1</f>
        <v>-0.14373384249999999</v>
      </c>
      <c r="Q113" s="18" t="s">
        <v>640</v>
      </c>
      <c r="R113" s="16">
        <v>-3.4099999999999998E-2</v>
      </c>
      <c r="S113" s="56" t="s">
        <v>161</v>
      </c>
      <c r="T113" s="16">
        <v>0.3337</v>
      </c>
      <c r="U113" s="14">
        <f t="shared" si="69"/>
        <v>0.14979999999999999</v>
      </c>
      <c r="V113" s="15">
        <f t="shared" si="86"/>
        <v>9.6200178147996862E-2</v>
      </c>
      <c r="W113" s="15">
        <f t="shared" si="57"/>
        <v>33.051658416923459</v>
      </c>
      <c r="X113" s="13">
        <f>(1+W113)/(1+MAX(W$2:W113))-1</f>
        <v>-5.2397738956123985E-2</v>
      </c>
      <c r="Y113" s="18" t="s">
        <v>79</v>
      </c>
      <c r="Z113" s="16">
        <v>0.2545</v>
      </c>
      <c r="AA113" s="57" t="s">
        <v>77</v>
      </c>
      <c r="AB113" s="16">
        <v>0.13650000000000001</v>
      </c>
      <c r="AC113" s="14">
        <f t="shared" si="51"/>
        <v>0.19550000000000001</v>
      </c>
      <c r="AD113" s="15">
        <f t="shared" si="87"/>
        <v>0.15187928281474972</v>
      </c>
      <c r="AE113" s="15">
        <f t="shared" si="58"/>
        <v>21.311053508304585</v>
      </c>
      <c r="AF113" s="13">
        <f>(1+AE113)/(1+MAX(AE$2:AE113))-1</f>
        <v>0</v>
      </c>
      <c r="AG113" s="19"/>
      <c r="AH113" s="20">
        <f t="shared" si="88"/>
        <v>8.0457142857142852E-2</v>
      </c>
      <c r="AI113" s="15">
        <f t="shared" si="89"/>
        <v>7.1506849554178409E-2</v>
      </c>
      <c r="AJ113" s="15">
        <f t="shared" si="59"/>
        <v>12.291522049884462</v>
      </c>
      <c r="AK113" s="15">
        <f>(1+AJ113)/(1+MAX(AJ$2:AJ113))-1</f>
        <v>-3.0673962330961979E-2</v>
      </c>
      <c r="AL113" s="58">
        <f t="shared" si="60"/>
        <v>13291.522049884446</v>
      </c>
      <c r="AM113" s="59"/>
      <c r="AN113" s="12" t="s">
        <v>86</v>
      </c>
      <c r="AO113" s="60">
        <v>5569.06</v>
      </c>
      <c r="AP113" s="14">
        <f t="shared" si="61"/>
        <v>-7.6249365182604611E-3</v>
      </c>
      <c r="AQ113" s="15">
        <f t="shared" si="90"/>
        <v>-5.3143431327710045E-2</v>
      </c>
      <c r="AR113" s="15">
        <f t="shared" si="62"/>
        <v>1.8702943965694971</v>
      </c>
      <c r="AS113" s="13">
        <f>(1+AR113)/(1+MAX(AR$2:AR113))-1</f>
        <v>-7.8051098165227262E-2</v>
      </c>
      <c r="AT113" s="62"/>
    </row>
    <row r="114" spans="1:54" s="61" customFormat="1" outlineLevel="1" x14ac:dyDescent="0.3">
      <c r="A114" s="61" t="s">
        <v>664</v>
      </c>
      <c r="B114" s="55" t="str">
        <f t="shared" si="53"/>
        <v>2025-5</v>
      </c>
      <c r="C114" s="11">
        <v>45778</v>
      </c>
      <c r="D114" s="12" t="s">
        <v>35</v>
      </c>
      <c r="E114" s="14">
        <v>4.0000000000000002E-4</v>
      </c>
      <c r="F114" s="15">
        <f t="shared" si="84"/>
        <v>0.14671879703333923</v>
      </c>
      <c r="G114" s="15">
        <f t="shared" si="55"/>
        <v>1.8637422486175552</v>
      </c>
      <c r="H114" s="13">
        <f>(1+G114)/(1+MAX(G$2:G114))-1</f>
        <v>0</v>
      </c>
      <c r="I114" s="12" t="s">
        <v>73</v>
      </c>
      <c r="J114" s="16">
        <v>6.3500000000000001E-2</v>
      </c>
      <c r="K114" s="17" t="s">
        <v>44</v>
      </c>
      <c r="L114" s="16">
        <v>4.6100000000000002E-2</v>
      </c>
      <c r="M114" s="14">
        <f t="shared" si="83"/>
        <v>5.4800000000000001E-2</v>
      </c>
      <c r="N114" s="15">
        <f t="shared" si="85"/>
        <v>-3.5640782417461603E-2</v>
      </c>
      <c r="O114" s="15">
        <f t="shared" si="56"/>
        <v>2.5153453959479992</v>
      </c>
      <c r="P114" s="13">
        <f>(1+O114)/(1+MAX(O$2:O114))-1</f>
        <v>-9.6810457069000044E-2</v>
      </c>
      <c r="Q114" s="18" t="s">
        <v>640</v>
      </c>
      <c r="R114" s="16">
        <v>0.4607</v>
      </c>
      <c r="S114" s="56" t="s">
        <v>161</v>
      </c>
      <c r="T114" s="16">
        <v>0.1137</v>
      </c>
      <c r="U114" s="14">
        <f t="shared" ref="U114:U124" si="91">AVERAGE(R114,T114)</f>
        <v>0.28720000000000001</v>
      </c>
      <c r="V114" s="15">
        <f t="shared" si="86"/>
        <v>0.41102886931210136</v>
      </c>
      <c r="W114" s="15">
        <f t="shared" si="57"/>
        <v>42.831294714263876</v>
      </c>
      <c r="X114" s="13">
        <f>(1+W114)/(1+MAX(W$2:W114))-1</f>
        <v>0</v>
      </c>
      <c r="Y114" s="18" t="s">
        <v>79</v>
      </c>
      <c r="Z114" s="16">
        <v>0.26590000000000003</v>
      </c>
      <c r="AA114" s="57" t="s">
        <v>77</v>
      </c>
      <c r="AB114" s="16">
        <v>0.26390000000000002</v>
      </c>
      <c r="AC114" s="14">
        <f t="shared" si="51"/>
        <v>0.26490000000000002</v>
      </c>
      <c r="AD114" s="15">
        <f t="shared" si="87"/>
        <v>0.45701210483237675</v>
      </c>
      <c r="AE114" s="15">
        <f t="shared" si="58"/>
        <v>27.221251582654467</v>
      </c>
      <c r="AF114" s="13">
        <f>(1+AE114)/(1+MAX(AE$2:AE114))-1</f>
        <v>0</v>
      </c>
      <c r="AG114" s="19"/>
      <c r="AH114" s="20">
        <f t="shared" si="88"/>
        <v>0.17345714285714284</v>
      </c>
      <c r="AI114" s="15">
        <f t="shared" si="89"/>
        <v>0.25736736622970446</v>
      </c>
      <c r="AJ114" s="15">
        <f t="shared" si="59"/>
        <v>14.597031488880134</v>
      </c>
      <c r="AK114" s="15">
        <f>(1+AJ114)/(1+MAX(AJ$2:AJ114))-1</f>
        <v>0</v>
      </c>
      <c r="AL114" s="58">
        <f t="shared" si="60"/>
        <v>15597.031488880115</v>
      </c>
      <c r="AM114" s="59"/>
      <c r="AN114" s="12" t="s">
        <v>86</v>
      </c>
      <c r="AO114" s="60">
        <v>5911.69</v>
      </c>
      <c r="AP114" s="14">
        <f t="shared" si="61"/>
        <v>6.1523847830692979E-2</v>
      </c>
      <c r="AQ114" s="15">
        <f t="shared" si="90"/>
        <v>5.110828120776123E-3</v>
      </c>
      <c r="AR114" s="15">
        <f t="shared" si="62"/>
        <v>2.0468859522533296</v>
      </c>
      <c r="AS114" s="13">
        <f>(1+AR114)/(1+MAX(AR$2:AR114))-1</f>
        <v>-2.1329254221070237E-2</v>
      </c>
      <c r="AT114" s="62"/>
      <c r="AW114" s="62"/>
      <c r="AX114" s="62"/>
      <c r="AY114" s="62"/>
      <c r="AZ114" s="62"/>
      <c r="BA114" s="62"/>
      <c r="BB114" s="62"/>
    </row>
    <row r="115" spans="1:54" s="61" customFormat="1" outlineLevel="1" x14ac:dyDescent="0.3">
      <c r="A115" s="61" t="s">
        <v>664</v>
      </c>
      <c r="B115" s="55" t="str">
        <f t="shared" si="53"/>
        <v>2025-6</v>
      </c>
      <c r="C115" s="11">
        <v>45809</v>
      </c>
      <c r="D115" s="12" t="s">
        <v>35</v>
      </c>
      <c r="E115" s="14">
        <v>-2.58E-2</v>
      </c>
      <c r="F115" s="15">
        <f t="shared" si="84"/>
        <v>0.11713345206987902</v>
      </c>
      <c r="G115" s="15">
        <f t="shared" si="55"/>
        <v>1.789857698603222</v>
      </c>
      <c r="H115" s="13">
        <f>(1+G115)/(1+MAX(G$2:G115))-1</f>
        <v>-2.5800000000000156E-2</v>
      </c>
      <c r="I115" s="12" t="s">
        <v>73</v>
      </c>
      <c r="J115" s="16">
        <v>4.1000000000000002E-2</v>
      </c>
      <c r="K115" s="17" t="s">
        <v>44</v>
      </c>
      <c r="L115" s="16">
        <v>5.0000000000000001E-4</v>
      </c>
      <c r="M115" s="14">
        <f t="shared" ref="M115:M129" si="92">AVERAGE(J115,L115)</f>
        <v>2.0750000000000001E-2</v>
      </c>
      <c r="N115" s="15">
        <f t="shared" si="85"/>
        <v>-1.5630328652623926E-2</v>
      </c>
      <c r="O115" s="15">
        <f t="shared" si="56"/>
        <v>2.5882888129139205</v>
      </c>
      <c r="P115" s="13">
        <f>(1+O115)/(1+MAX(O$2:O115))-1</f>
        <v>-7.8069274053181648E-2</v>
      </c>
      <c r="Q115" s="18" t="s">
        <v>640</v>
      </c>
      <c r="R115" s="16">
        <v>-0.13569999999999999</v>
      </c>
      <c r="S115" s="56" t="s">
        <v>161</v>
      </c>
      <c r="T115" s="16">
        <v>3.7000000000000002E-3</v>
      </c>
      <c r="U115" s="14">
        <f t="shared" si="91"/>
        <v>-6.5999999999999989E-2</v>
      </c>
      <c r="V115" s="15">
        <f t="shared" si="86"/>
        <v>0.31790096393750278</v>
      </c>
      <c r="W115" s="15">
        <f t="shared" si="57"/>
        <v>39.938429263122465</v>
      </c>
      <c r="X115" s="13">
        <f>(1+W115)/(1+MAX(W$2:W115))-1</f>
        <v>-6.5999999999999837E-2</v>
      </c>
      <c r="Y115" s="18" t="s">
        <v>79</v>
      </c>
      <c r="Z115" s="16">
        <v>0.1469</v>
      </c>
      <c r="AA115" s="57" t="s">
        <v>77</v>
      </c>
      <c r="AB115" s="16">
        <v>-4.6699999999999998E-2</v>
      </c>
      <c r="AC115" s="14">
        <f t="shared" si="51"/>
        <v>5.0100000000000006E-2</v>
      </c>
      <c r="AD115" s="15">
        <f t="shared" si="87"/>
        <v>0.53000841128447895</v>
      </c>
      <c r="AE115" s="15">
        <f t="shared" si="58"/>
        <v>28.635136286945457</v>
      </c>
      <c r="AF115" s="13">
        <f>(1+AE115)/(1+MAX(AE$2:AE115))-1</f>
        <v>0</v>
      </c>
      <c r="AG115" s="19"/>
      <c r="AH115" s="20">
        <f t="shared" si="88"/>
        <v>-2.2999999999999974E-3</v>
      </c>
      <c r="AI115" s="15">
        <f t="shared" si="89"/>
        <v>0.2544754212873761</v>
      </c>
      <c r="AJ115" s="15">
        <f t="shared" si="59"/>
        <v>14.56115831645571</v>
      </c>
      <c r="AK115" s="15">
        <f>(1+AJ115)/(1+MAX(AJ$2:AJ115))-1</f>
        <v>-2.2999999999999687E-3</v>
      </c>
      <c r="AL115" s="58">
        <f t="shared" si="60"/>
        <v>15561.158316455691</v>
      </c>
      <c r="AM115" s="59"/>
      <c r="AN115" s="12" t="s">
        <v>86</v>
      </c>
      <c r="AO115" s="60">
        <v>6204.95</v>
      </c>
      <c r="AP115" s="14">
        <f t="shared" si="61"/>
        <v>4.960679602617879E-2</v>
      </c>
      <c r="AQ115" s="15">
        <f t="shared" si="90"/>
        <v>5.4971155955067186E-2</v>
      </c>
      <c r="AR115" s="15">
        <f t="shared" si="62"/>
        <v>2.19803220220179</v>
      </c>
      <c r="AS115" s="13">
        <f>(1+AR115)/(1+MAX(AR$2:AR115))-1</f>
        <v>0</v>
      </c>
      <c r="AT115" s="62"/>
      <c r="AW115" s="62"/>
      <c r="AX115" s="62"/>
      <c r="AY115" s="62"/>
      <c r="AZ115" s="62"/>
      <c r="BA115" s="62"/>
      <c r="BB115" s="62"/>
    </row>
    <row r="116" spans="1:54" s="61" customFormat="1" outlineLevel="1" x14ac:dyDescent="0.3">
      <c r="A116" s="61" t="s">
        <v>664</v>
      </c>
      <c r="B116" s="55" t="str">
        <f t="shared" si="53"/>
        <v>2025-7</v>
      </c>
      <c r="C116" s="11">
        <v>45839</v>
      </c>
      <c r="D116" s="12" t="s">
        <v>35</v>
      </c>
      <c r="E116" s="14">
        <v>1.9800000000000002E-2</v>
      </c>
      <c r="F116" s="15">
        <f t="shared" si="84"/>
        <v>0.13925269442086274</v>
      </c>
      <c r="G116" s="15">
        <f t="shared" si="55"/>
        <v>1.8450968810355657</v>
      </c>
      <c r="H116" s="13">
        <f>(1+G116)/(1+MAX(G$2:G116))-1</f>
        <v>-6.5108400000001287E-3</v>
      </c>
      <c r="I116" s="12" t="s">
        <v>73</v>
      </c>
      <c r="J116" s="16">
        <v>1.55E-2</v>
      </c>
      <c r="K116" s="17" t="s">
        <v>44</v>
      </c>
      <c r="L116" s="16">
        <v>2.6100000000000002E-2</v>
      </c>
      <c r="M116" s="14">
        <f t="shared" si="92"/>
        <v>2.0799999999999999E-2</v>
      </c>
      <c r="N116" s="15">
        <f t="shared" si="85"/>
        <v>4.8445605114013635E-3</v>
      </c>
      <c r="O116" s="15">
        <f t="shared" si="56"/>
        <v>2.66292522022253</v>
      </c>
      <c r="P116" s="13">
        <f>(1+O116)/(1+MAX(O$2:O116))-1</f>
        <v>-5.8893114953487924E-2</v>
      </c>
      <c r="Q116" s="18" t="s">
        <v>640</v>
      </c>
      <c r="R116" s="16">
        <v>0.14510000000000001</v>
      </c>
      <c r="S116" s="56" t="s">
        <v>161</v>
      </c>
      <c r="T116" s="16">
        <v>0.19189999999999999</v>
      </c>
      <c r="U116" s="14">
        <f t="shared" si="91"/>
        <v>0.16849999999999998</v>
      </c>
      <c r="V116" s="15">
        <f t="shared" si="86"/>
        <v>0.53996727636097175</v>
      </c>
      <c r="W116" s="15">
        <f t="shared" si="57"/>
        <v>46.836554593958596</v>
      </c>
      <c r="X116" s="13">
        <f>(1+W116)/(1+MAX(W$2:W116))-1</f>
        <v>0</v>
      </c>
      <c r="Y116" s="18" t="s">
        <v>79</v>
      </c>
      <c r="Z116" s="16">
        <v>4.02E-2</v>
      </c>
      <c r="AA116" s="57" t="s">
        <v>77</v>
      </c>
      <c r="AB116" s="16">
        <v>-3.4200000000000001E-2</v>
      </c>
      <c r="AC116" s="14">
        <f t="shared" si="51"/>
        <v>2.9999999999999992E-3</v>
      </c>
      <c r="AD116" s="15">
        <f t="shared" si="87"/>
        <v>0.53459843651833228</v>
      </c>
      <c r="AE116" s="15">
        <f t="shared" si="58"/>
        <v>28.724041695806289</v>
      </c>
      <c r="AF116" s="13">
        <f>(1+AE116)/(1+MAX(AE$2:AE116))-1</f>
        <v>0</v>
      </c>
      <c r="AG116" s="19"/>
      <c r="AH116" s="20">
        <f t="shared" si="88"/>
        <v>5.7771428571428571E-2</v>
      </c>
      <c r="AI116" s="15">
        <f t="shared" si="89"/>
        <v>0.32694825848289244</v>
      </c>
      <c r="AJ116" s="15">
        <f t="shared" si="59"/>
        <v>15.460148662623524</v>
      </c>
      <c r="AK116" s="15">
        <f>(1+AJ116)/(1+MAX(AJ$2:AJ116))-1</f>
        <v>0</v>
      </c>
      <c r="AL116" s="58">
        <f t="shared" si="60"/>
        <v>16460.148662623502</v>
      </c>
      <c r="AM116" s="59"/>
      <c r="AN116" s="12" t="s">
        <v>86</v>
      </c>
      <c r="AO116" s="60">
        <v>6339.39</v>
      </c>
      <c r="AP116" s="14">
        <f t="shared" si="61"/>
        <v>2.1666572655702376E-2</v>
      </c>
      <c r="AQ116" s="15">
        <f t="shared" si="90"/>
        <v>7.7828765155238067E-2</v>
      </c>
      <c r="AR116" s="15">
        <f t="shared" si="62"/>
        <v>2.267322599266071</v>
      </c>
      <c r="AS116" s="13">
        <f>(1+AR116)/(1+MAX(AR$2:AR116))-1</f>
        <v>0</v>
      </c>
      <c r="AT116" s="62"/>
      <c r="AW116" s="62"/>
      <c r="AX116" s="62"/>
      <c r="AY116" s="62"/>
      <c r="AZ116" s="62"/>
      <c r="BA116" s="62"/>
      <c r="BB116" s="62"/>
    </row>
    <row r="117" spans="1:54" s="61" customFormat="1" outlineLevel="1" x14ac:dyDescent="0.3">
      <c r="A117" s="61" t="s">
        <v>664</v>
      </c>
      <c r="B117" s="55" t="str">
        <f t="shared" si="53"/>
        <v>2025-8</v>
      </c>
      <c r="C117" s="11">
        <v>45870</v>
      </c>
      <c r="D117" s="12" t="s">
        <v>35</v>
      </c>
      <c r="E117" s="14">
        <v>2.7199999999999998E-2</v>
      </c>
      <c r="F117" s="15">
        <f t="shared" si="84"/>
        <v>0.17024036770911</v>
      </c>
      <c r="G117" s="15">
        <f t="shared" si="55"/>
        <v>1.9224835161997329</v>
      </c>
      <c r="H117" s="13">
        <f>(1+G117)/(1+MAX(G$2:G117))-1</f>
        <v>0</v>
      </c>
      <c r="I117" s="12" t="s">
        <v>73</v>
      </c>
      <c r="J117" s="16">
        <v>1.47E-2</v>
      </c>
      <c r="K117" s="17" t="s">
        <v>44</v>
      </c>
      <c r="L117" s="16">
        <v>8.6999999999999994E-3</v>
      </c>
      <c r="M117" s="14">
        <f t="shared" si="92"/>
        <v>1.1699999999999999E-2</v>
      </c>
      <c r="N117" s="15">
        <f t="shared" si="85"/>
        <v>1.6601241869384831E-2</v>
      </c>
      <c r="O117" s="15">
        <f t="shared" si="56"/>
        <v>2.7057814452991336</v>
      </c>
      <c r="P117" s="13">
        <f>(1+O117)/(1+MAX(O$2:O117))-1</f>
        <v>-4.7882164398443727E-2</v>
      </c>
      <c r="Q117" s="18" t="s">
        <v>640</v>
      </c>
      <c r="R117" s="16">
        <v>0.19850000000000001</v>
      </c>
      <c r="S117" s="56" t="s">
        <v>161</v>
      </c>
      <c r="T117" s="16">
        <v>-3.1699999999999999E-2</v>
      </c>
      <c r="U117" s="14">
        <f t="shared" si="91"/>
        <v>8.3400000000000002E-2</v>
      </c>
      <c r="V117" s="15">
        <f t="shared" si="86"/>
        <v>0.66840054720947673</v>
      </c>
      <c r="W117" s="15">
        <f t="shared" si="57"/>
        <v>50.826123247094742</v>
      </c>
      <c r="X117" s="13">
        <f>(1+W117)/(1+MAX(W$2:W117))-1</f>
        <v>0</v>
      </c>
      <c r="Y117" s="18" t="s">
        <v>79</v>
      </c>
      <c r="Z117" s="16">
        <v>-0.1106</v>
      </c>
      <c r="AA117" s="57" t="s">
        <v>77</v>
      </c>
      <c r="AB117" s="16">
        <v>-5.6500000000000002E-2</v>
      </c>
      <c r="AC117" s="14">
        <f t="shared" si="51"/>
        <v>-8.3549999999999999E-2</v>
      </c>
      <c r="AD117" s="15">
        <f t="shared" si="87"/>
        <v>0.4063827371472255</v>
      </c>
      <c r="AE117" s="15">
        <f t="shared" si="58"/>
        <v>26.240598012121673</v>
      </c>
      <c r="AF117" s="13">
        <f>(1+AE117)/(1+MAX(AE$2:AE117))-1</f>
        <v>-8.3550000000000013E-2</v>
      </c>
      <c r="AG117" s="19"/>
      <c r="AH117" s="20">
        <f t="shared" si="88"/>
        <v>7.1857142857142866E-3</v>
      </c>
      <c r="AI117" s="15">
        <f t="shared" si="89"/>
        <v>0.33648332954027671</v>
      </c>
      <c r="AJ117" s="15">
        <f t="shared" si="59"/>
        <v>15.578426588013521</v>
      </c>
      <c r="AK117" s="15">
        <f>(1+AJ117)/(1+MAX(AJ$2:AJ117))-1</f>
        <v>0</v>
      </c>
      <c r="AL117" s="58">
        <f t="shared" si="60"/>
        <v>16578.426588013499</v>
      </c>
      <c r="AM117" s="59"/>
      <c r="AN117" s="12" t="s">
        <v>86</v>
      </c>
      <c r="AO117" s="60">
        <v>6460.26</v>
      </c>
      <c r="AP117" s="14">
        <f t="shared" si="61"/>
        <v>1.9066503244002941E-2</v>
      </c>
      <c r="AQ117" s="15">
        <f t="shared" si="90"/>
        <v>9.8379190802550198E-2</v>
      </c>
      <c r="AR117" s="15">
        <f t="shared" si="62"/>
        <v>2.3296190162041817</v>
      </c>
      <c r="AS117" s="13">
        <f>(1+AR117)/(1+MAX(AR$2:AR117))-1</f>
        <v>0</v>
      </c>
      <c r="AT117" s="62"/>
      <c r="AY117" s="62"/>
      <c r="AZ117" s="62"/>
      <c r="BA117" s="62"/>
      <c r="BB117" s="62"/>
    </row>
    <row r="118" spans="1:54" s="61" customFormat="1" outlineLevel="1" x14ac:dyDescent="0.3">
      <c r="A118" s="61" t="s">
        <v>664</v>
      </c>
      <c r="B118" s="55" t="str">
        <f t="shared" si="53"/>
        <v>2025-9</v>
      </c>
      <c r="C118" s="11">
        <v>45901</v>
      </c>
      <c r="D118" s="12" t="s">
        <v>35</v>
      </c>
      <c r="E118" s="14">
        <v>0.1128</v>
      </c>
      <c r="F118" s="15">
        <f t="shared" si="84"/>
        <v>0.30224348118669764</v>
      </c>
      <c r="G118" s="15">
        <f t="shared" si="55"/>
        <v>2.2521396568270626</v>
      </c>
      <c r="H118" s="13">
        <f>(1+G118)/(1+MAX(G$2:G118))-1</f>
        <v>0</v>
      </c>
      <c r="I118" s="12" t="s">
        <v>73</v>
      </c>
      <c r="J118" s="16">
        <v>6.1800000000000001E-2</v>
      </c>
      <c r="K118" s="17" t="s">
        <v>44</v>
      </c>
      <c r="L118" s="16">
        <v>-3.2000000000000002E-3</v>
      </c>
      <c r="M118" s="14">
        <f>AVERAGE(J118,L118)</f>
        <v>2.93E-2</v>
      </c>
      <c r="N118" s="15">
        <f t="shared" si="85"/>
        <v>4.6387658256157982E-2</v>
      </c>
      <c r="O118" s="15">
        <f t="shared" si="56"/>
        <v>2.8143608416463985</v>
      </c>
      <c r="P118" s="13">
        <f>(1+O118)/(1+MAX(O$2:O118))-1</f>
        <v>-1.9985111815318035E-2</v>
      </c>
      <c r="Q118" s="18" t="s">
        <v>640</v>
      </c>
      <c r="R118" s="16">
        <v>0.495</v>
      </c>
      <c r="S118" s="56" t="s">
        <v>161</v>
      </c>
      <c r="T118" s="16">
        <v>0.15909999999999999</v>
      </c>
      <c r="U118" s="14">
        <f>AVERAGE(R118,T118)</f>
        <v>0.32705000000000001</v>
      </c>
      <c r="V118" s="15">
        <f t="shared" si="86"/>
        <v>1.2140509461743361</v>
      </c>
      <c r="W118" s="15">
        <f t="shared" si="57"/>
        <v>67.775856855057086</v>
      </c>
      <c r="X118" s="13">
        <f>(1+W118)/(1+MAX(W$2:W118))-1</f>
        <v>0</v>
      </c>
      <c r="Y118" s="18" t="s">
        <v>79</v>
      </c>
      <c r="Z118" s="16">
        <v>9.2399999999999996E-2</v>
      </c>
      <c r="AA118" s="57" t="s">
        <v>77</v>
      </c>
      <c r="AB118" s="16">
        <v>0.21440000000000001</v>
      </c>
      <c r="AC118" s="14">
        <f t="shared" si="51"/>
        <v>0.15340000000000001</v>
      </c>
      <c r="AD118" s="15">
        <f t="shared" si="87"/>
        <v>0.62212184902560996</v>
      </c>
      <c r="AE118" s="15">
        <f t="shared" si="58"/>
        <v>30.419305747181138</v>
      </c>
      <c r="AF118" s="13">
        <f>(1+AE118)/(1+MAX(AE$2:AE118))-1</f>
        <v>0</v>
      </c>
      <c r="AG118" s="19"/>
      <c r="AH118" s="20">
        <f t="shared" si="88"/>
        <v>0.16175714285714288</v>
      </c>
      <c r="AI118" s="15">
        <f t="shared" si="89"/>
        <v>0.55266905440291336</v>
      </c>
      <c r="AJ118" s="15">
        <f t="shared" si="59"/>
        <v>18.26010550595748</v>
      </c>
      <c r="AK118" s="15">
        <f>(1+AJ118)/(1+MAX(AJ$2:AJ118))-1</f>
        <v>0</v>
      </c>
      <c r="AL118" s="58">
        <f t="shared" si="60"/>
        <v>19260.105505957454</v>
      </c>
      <c r="AM118" s="59"/>
      <c r="AN118" s="12" t="s">
        <v>86</v>
      </c>
      <c r="AO118" s="60">
        <v>6688.46</v>
      </c>
      <c r="AP118" s="14">
        <f t="shared" si="61"/>
        <v>3.5323655704259549E-2</v>
      </c>
      <c r="AQ118" s="15">
        <f t="shared" si="90"/>
        <v>0.13717795917118258</v>
      </c>
      <c r="AR118" s="15">
        <f t="shared" si="62"/>
        <v>2.4472333319589334</v>
      </c>
      <c r="AS118" s="13">
        <f>(1+AR118)/(1+MAX(AR$2:AR118))-1</f>
        <v>0</v>
      </c>
      <c r="AT118" s="62"/>
      <c r="AY118" s="62"/>
    </row>
    <row r="119" spans="1:54" s="61" customFormat="1" outlineLevel="1" x14ac:dyDescent="0.3">
      <c r="A119" s="61" t="s">
        <v>664</v>
      </c>
      <c r="B119" s="55" t="str">
        <f t="shared" si="53"/>
        <v>2025-10</v>
      </c>
      <c r="C119" s="11">
        <v>45931</v>
      </c>
      <c r="D119" s="12" t="s">
        <v>35</v>
      </c>
      <c r="E119" s="14">
        <v>4.9799999999999997E-2</v>
      </c>
      <c r="F119" s="15">
        <f t="shared" si="84"/>
        <v>0.36709520654979522</v>
      </c>
      <c r="G119" s="15">
        <f t="shared" si="55"/>
        <v>2.4140962117370504</v>
      </c>
      <c r="H119" s="13">
        <f>(1+G119)/(1+MAX(G$2:G119))-1</f>
        <v>0</v>
      </c>
      <c r="I119" s="12" t="s">
        <v>73</v>
      </c>
      <c r="J119" s="16">
        <v>-1.6799999999999999E-2</v>
      </c>
      <c r="K119" s="17" t="s">
        <v>51</v>
      </c>
      <c r="L119" s="16">
        <v>8.14E-2</v>
      </c>
      <c r="M119" s="14">
        <f t="shared" si="92"/>
        <v>3.2300000000000002E-2</v>
      </c>
      <c r="N119" s="15">
        <f t="shared" si="85"/>
        <v>8.0185979617831915E-2</v>
      </c>
      <c r="O119" s="15">
        <f t="shared" si="56"/>
        <v>2.9375646968315774</v>
      </c>
      <c r="P119" s="13">
        <f>(1+O119)/(1+MAX(O$2:O119))-1</f>
        <v>0</v>
      </c>
      <c r="Q119" s="18" t="s">
        <v>640</v>
      </c>
      <c r="R119" s="16">
        <v>-0.1008</v>
      </c>
      <c r="S119" s="56" t="s">
        <v>161</v>
      </c>
      <c r="T119" s="16">
        <v>0.114</v>
      </c>
      <c r="U119" s="14">
        <f t="shared" si="91"/>
        <v>6.6000000000000017E-3</v>
      </c>
      <c r="V119" s="15">
        <f t="shared" si="86"/>
        <v>1.2286636824190866</v>
      </c>
      <c r="W119" s="15">
        <f t="shared" si="57"/>
        <v>68.229777510300465</v>
      </c>
      <c r="X119" s="13">
        <f>(1+W119)/(1+MAX(W$2:W119))-1</f>
        <v>0</v>
      </c>
      <c r="Y119" s="18" t="s">
        <v>79</v>
      </c>
      <c r="Z119" s="16">
        <v>8.2699999999999996E-2</v>
      </c>
      <c r="AA119" s="57" t="s">
        <v>77</v>
      </c>
      <c r="AB119" s="16">
        <v>-0.14430000000000001</v>
      </c>
      <c r="AC119" s="14">
        <f t="shared" ref="AC119:AC125" si="93">AVERAGE(Z119,AB119)</f>
        <v>-3.0800000000000008E-2</v>
      </c>
      <c r="AD119" s="15">
        <f t="shared" si="87"/>
        <v>0.57216049607562103</v>
      </c>
      <c r="AE119" s="15">
        <f t="shared" si="58"/>
        <v>29.451591130167959</v>
      </c>
      <c r="AF119" s="13">
        <f>(1+AE119)/(1+MAX(AE$2:AE119))-1</f>
        <v>-3.080000000000005E-2</v>
      </c>
      <c r="AG119" s="21"/>
      <c r="AH119" s="20">
        <f>AVERAGE(E119,J119,L119,R119,T119,Z119,AB119)</f>
        <v>9.4285714285714251E-3</v>
      </c>
      <c r="AI119" s="15">
        <f t="shared" si="89"/>
        <v>0.56730850548728351</v>
      </c>
      <c r="AJ119" s="15">
        <f t="shared" si="59"/>
        <v>18.441700786442219</v>
      </c>
      <c r="AK119" s="15">
        <f>(1+AJ119)/(1+MAX(AJ$2:AJ119))-1</f>
        <v>0</v>
      </c>
      <c r="AL119" s="58">
        <f t="shared" si="60"/>
        <v>19441.700786442194</v>
      </c>
      <c r="AM119" s="59"/>
      <c r="AN119" s="12" t="s">
        <v>86</v>
      </c>
      <c r="AO119" s="60">
        <v>6840.2</v>
      </c>
      <c r="AP119" s="14">
        <f t="shared" si="61"/>
        <v>2.2686836730727133E-2</v>
      </c>
      <c r="AQ119" s="15">
        <f t="shared" si="90"/>
        <v>0.1629769298646806</v>
      </c>
      <c r="AR119" s="15">
        <f t="shared" si="62"/>
        <v>2.5254401517338061</v>
      </c>
      <c r="AS119" s="13">
        <f>(1+AR119)/(1+MAX(AR$2:AR119))-1</f>
        <v>0</v>
      </c>
      <c r="AT119" s="62"/>
    </row>
    <row r="120" spans="1:54" s="61" customFormat="1" outlineLevel="1" x14ac:dyDescent="0.3">
      <c r="A120" s="61" t="s">
        <v>664</v>
      </c>
      <c r="B120" s="55" t="str">
        <f t="shared" si="53"/>
        <v>2025-11</v>
      </c>
      <c r="C120" s="11">
        <v>45962</v>
      </c>
      <c r="D120" s="12" t="s">
        <v>35</v>
      </c>
      <c r="E120" s="14">
        <v>5.1200000000000002E-2</v>
      </c>
      <c r="F120" s="15">
        <f t="shared" si="84"/>
        <v>0.43709048112514459</v>
      </c>
      <c r="G120" s="15">
        <f t="shared" ref="G120:G125" si="94">+(1+E120)*(1+G119)-1</f>
        <v>2.588897937777987</v>
      </c>
      <c r="H120" s="13">
        <f>(1+G120)/(1+MAX(G$2:G120))-1</f>
        <v>0</v>
      </c>
      <c r="I120" s="12" t="s">
        <v>73</v>
      </c>
      <c r="J120" s="16">
        <v>2.7000000000000001E-3</v>
      </c>
      <c r="K120" s="158" t="s">
        <v>51</v>
      </c>
      <c r="L120" s="16">
        <v>-5.0299999999999997E-2</v>
      </c>
      <c r="M120" s="14">
        <f t="shared" si="92"/>
        <v>-2.3799999999999998E-2</v>
      </c>
      <c r="N120" s="15">
        <f t="shared" si="85"/>
        <v>5.4477553302927362E-2</v>
      </c>
      <c r="O120" s="15">
        <f t="shared" ref="O120:O125" si="95">+(1+M120)*(1+O119)-1</f>
        <v>2.8438506570469855</v>
      </c>
      <c r="P120" s="13">
        <f>(1+O120)/(1+MAX(O$2:O120))-1</f>
        <v>-2.3800000000000043E-2</v>
      </c>
      <c r="Q120" s="18" t="s">
        <v>640</v>
      </c>
      <c r="R120" s="16">
        <v>-6.1600000000000002E-2</v>
      </c>
      <c r="S120" s="56" t="s">
        <v>161</v>
      </c>
      <c r="T120" s="16">
        <v>-0.16170000000000001</v>
      </c>
      <c r="U120" s="14">
        <f t="shared" si="91"/>
        <v>-0.11165</v>
      </c>
      <c r="V120" s="15">
        <f t="shared" si="86"/>
        <v>0.97983338227699557</v>
      </c>
      <c r="W120" s="15">
        <f t="shared" ref="W120:W125" si="96">+(1+U120)*(1+W119)-1</f>
        <v>60.500272851275419</v>
      </c>
      <c r="X120" s="13">
        <f>(1+W120)/(1+MAX(W$2:W120))-1</f>
        <v>-0.11165000000000003</v>
      </c>
      <c r="Y120" s="18" t="s">
        <v>79</v>
      </c>
      <c r="Z120" s="16">
        <v>7.46E-2</v>
      </c>
      <c r="AA120" s="57" t="s">
        <v>77</v>
      </c>
      <c r="AB120" s="16">
        <v>-0.12989999999999999</v>
      </c>
      <c r="AC120" s="14">
        <f t="shared" si="93"/>
        <v>-2.7649999999999994E-2</v>
      </c>
      <c r="AD120" s="15">
        <f t="shared" si="87"/>
        <v>0.52869025835913019</v>
      </c>
      <c r="AE120" s="15">
        <f t="shared" ref="AE120:AE125" si="97">+(1+AC120)*(1+AE119)-1</f>
        <v>28.609604635418815</v>
      </c>
      <c r="AF120" s="13">
        <f>(1+AE120)/(1+MAX(AE$2:AE120))-1</f>
        <v>-5.7598379999999949E-2</v>
      </c>
      <c r="AG120" s="21"/>
      <c r="AH120" s="20">
        <f t="shared" si="88"/>
        <v>-3.9285714285714292E-2</v>
      </c>
      <c r="AI120" s="15">
        <f t="shared" si="89"/>
        <v>0.50573567134314024</v>
      </c>
      <c r="AJ120" s="15">
        <f t="shared" si="59"/>
        <v>17.677919684117704</v>
      </c>
      <c r="AK120" s="15">
        <f>(1+AJ120)/(1+MAX(AJ$2:AJ120))-1</f>
        <v>-3.9285714285714257E-2</v>
      </c>
      <c r="AL120" s="58">
        <f t="shared" si="60"/>
        <v>18677.919684117678</v>
      </c>
      <c r="AM120" s="59"/>
      <c r="AN120" s="12" t="s">
        <v>86</v>
      </c>
      <c r="AO120" s="60">
        <v>6849.09</v>
      </c>
      <c r="AP120" s="14">
        <f t="shared" si="61"/>
        <v>1.299669600304032E-3</v>
      </c>
      <c r="AQ120" s="15">
        <f t="shared" si="90"/>
        <v>0.16448841562628069</v>
      </c>
      <c r="AR120" s="15">
        <f t="shared" si="62"/>
        <v>2.530022059126706</v>
      </c>
      <c r="AS120" s="13">
        <f>(1+AR120)/(1+MAX(AR$2:AR120))-1</f>
        <v>0</v>
      </c>
      <c r="AT120" s="62"/>
    </row>
    <row r="121" spans="1:54" s="27" customFormat="1" ht="15" thickBot="1" x14ac:dyDescent="0.35">
      <c r="A121" s="27" t="s">
        <v>664</v>
      </c>
      <c r="B121" s="63" t="str">
        <f t="shared" si="53"/>
        <v>2025-12</v>
      </c>
      <c r="C121" s="22">
        <v>45992</v>
      </c>
      <c r="D121" s="23" t="s">
        <v>35</v>
      </c>
      <c r="E121" s="24">
        <v>8.8999999999999999E-3</v>
      </c>
      <c r="F121" s="25">
        <f t="shared" si="84"/>
        <v>0.44988058640715822</v>
      </c>
      <c r="G121" s="25">
        <f t="shared" si="94"/>
        <v>2.6208391294242106</v>
      </c>
      <c r="H121" s="26">
        <f>(1+G121)/(1+MAX(G$2:G121))-1</f>
        <v>0</v>
      </c>
      <c r="I121" s="23" t="s">
        <v>73</v>
      </c>
      <c r="J121" s="31">
        <v>1.06E-2</v>
      </c>
      <c r="K121" s="28" t="s">
        <v>51</v>
      </c>
      <c r="L121" s="31">
        <v>-5.1000000000000004E-3</v>
      </c>
      <c r="M121" s="24">
        <f t="shared" si="92"/>
        <v>2.7499999999999998E-3</v>
      </c>
      <c r="N121" s="25">
        <f t="shared" si="85"/>
        <v>5.7377366574510535E-2</v>
      </c>
      <c r="O121" s="25">
        <f t="shared" si="95"/>
        <v>2.8544212463538647</v>
      </c>
      <c r="P121" s="26">
        <f>(1+O121)/(1+MAX(O$2:O121))-1</f>
        <v>-2.1115450000000036E-2</v>
      </c>
      <c r="Q121" s="29" t="s">
        <v>161</v>
      </c>
      <c r="R121" s="143">
        <v>5.7799999999999997E-2</v>
      </c>
      <c r="S121" s="65" t="s">
        <v>157</v>
      </c>
      <c r="T121" s="28">
        <v>6.3E-2</v>
      </c>
      <c r="U121" s="24">
        <f t="shared" si="91"/>
        <v>6.0399999999999995E-2</v>
      </c>
      <c r="V121" s="25">
        <f t="shared" si="86"/>
        <v>1.0994153185665261</v>
      </c>
      <c r="W121" s="25">
        <f t="shared" si="96"/>
        <v>64.214889331492458</v>
      </c>
      <c r="X121" s="26">
        <f>(1+W121)/(1+MAX(W$2:W121))-1</f>
        <v>-5.7993659999999947E-2</v>
      </c>
      <c r="Y121" s="29" t="s">
        <v>77</v>
      </c>
      <c r="Z121" s="28">
        <v>5.4399999999999997E-2</v>
      </c>
      <c r="AA121" s="65" t="s">
        <v>49</v>
      </c>
      <c r="AB121" s="28">
        <v>8.9099999999999999E-2</v>
      </c>
      <c r="AC121" s="24">
        <f t="shared" si="93"/>
        <v>7.1749999999999994E-2</v>
      </c>
      <c r="AD121" s="25">
        <f t="shared" si="87"/>
        <v>0.63837378439639769</v>
      </c>
      <c r="AE121" s="25">
        <f t="shared" si="97"/>
        <v>30.734093768010116</v>
      </c>
      <c r="AF121" s="26">
        <f>(1+AE121)/(1+MAX(AE$2:AE121))-1</f>
        <v>0</v>
      </c>
      <c r="AG121" s="31"/>
      <c r="AH121" s="32">
        <f t="shared" si="88"/>
        <v>3.9814285714285712E-2</v>
      </c>
      <c r="AI121" s="25">
        <f t="shared" si="89"/>
        <v>0.56568546157218802</v>
      </c>
      <c r="AJ121" s="25">
        <f t="shared" si="59"/>
        <v>18.421567714969648</v>
      </c>
      <c r="AK121" s="25">
        <f>(1+AJ121)/(1+MAX(AJ$2:AJ121))-1</f>
        <v>-1.0355612244897783E-3</v>
      </c>
      <c r="AL121" s="66">
        <f t="shared" si="60"/>
        <v>19421.567714969624</v>
      </c>
      <c r="AM121" s="22"/>
      <c r="AN121" s="23" t="s">
        <v>86</v>
      </c>
      <c r="AO121" s="67">
        <v>6845.5</v>
      </c>
      <c r="AP121" s="24">
        <f t="shared" si="61"/>
        <v>-5.2415722380638741E-4</v>
      </c>
      <c r="AQ121" s="25">
        <f t="shared" si="90"/>
        <v>0.16387804061119127</v>
      </c>
      <c r="AR121" s="25">
        <f t="shared" si="62"/>
        <v>2.5281717725642188</v>
      </c>
      <c r="AS121" s="26">
        <f>(1+AR121)/(1+MAX(AR$2:AR121))-1</f>
        <v>-5.2415722380638741E-4</v>
      </c>
      <c r="AT121" s="68"/>
    </row>
    <row r="122" spans="1:54" s="54" customFormat="1" outlineLevel="1" x14ac:dyDescent="0.3">
      <c r="A122" s="54" t="s">
        <v>664</v>
      </c>
      <c r="B122" s="48" t="str">
        <f>YEAR(C122)&amp;"-"&amp;MONTH(C122)</f>
        <v>2026-1</v>
      </c>
      <c r="C122" s="1">
        <v>46023</v>
      </c>
      <c r="D122" s="2" t="s">
        <v>35</v>
      </c>
      <c r="E122" s="4">
        <v>0.1022</v>
      </c>
      <c r="F122" s="5">
        <f>+E122</f>
        <v>0.1022</v>
      </c>
      <c r="G122" s="5">
        <f t="shared" si="94"/>
        <v>2.9908888884513654</v>
      </c>
      <c r="H122" s="3">
        <f>(1+G122)/(1+MAX(G$2:G122))-1</f>
        <v>0</v>
      </c>
      <c r="I122" s="2" t="s">
        <v>73</v>
      </c>
      <c r="J122" s="6">
        <v>1.4E-3</v>
      </c>
      <c r="K122" s="7" t="s">
        <v>51</v>
      </c>
      <c r="L122" s="6">
        <v>-1.89E-2</v>
      </c>
      <c r="M122" s="4">
        <f t="shared" si="92"/>
        <v>-8.7500000000000008E-3</v>
      </c>
      <c r="N122" s="5">
        <f>+M122</f>
        <v>-8.7500000000000008E-3</v>
      </c>
      <c r="O122" s="5">
        <f t="shared" si="95"/>
        <v>2.8206950604482683</v>
      </c>
      <c r="P122" s="3">
        <f>(1+O122)/(1+MAX(O$2:O122))-1</f>
        <v>-2.968068981250005E-2</v>
      </c>
      <c r="Q122" s="8" t="s">
        <v>156</v>
      </c>
      <c r="R122" s="6">
        <v>1.3832</v>
      </c>
      <c r="S122" s="49" t="s">
        <v>157</v>
      </c>
      <c r="T122" s="6">
        <v>0.42599999999999999</v>
      </c>
      <c r="U122" s="4">
        <f t="shared" si="91"/>
        <v>0.90459999999999996</v>
      </c>
      <c r="V122" s="5">
        <f>+U122</f>
        <v>0.90459999999999996</v>
      </c>
      <c r="W122" s="5">
        <f t="shared" si="96"/>
        <v>123.20827822076052</v>
      </c>
      <c r="X122" s="3">
        <f>(1+W122)/(1+MAX(W$2:W122))-1</f>
        <v>0</v>
      </c>
      <c r="Y122" s="8" t="s">
        <v>79</v>
      </c>
      <c r="Z122" s="6">
        <v>0.2006</v>
      </c>
      <c r="AA122" s="50" t="s">
        <v>49</v>
      </c>
      <c r="AB122" s="6">
        <v>2.4199999999999999E-2</v>
      </c>
      <c r="AC122" s="4">
        <f t="shared" si="93"/>
        <v>0.1124</v>
      </c>
      <c r="AD122" s="5">
        <f>+AC122</f>
        <v>0.1124</v>
      </c>
      <c r="AE122" s="5">
        <f t="shared" si="97"/>
        <v>34.301005907534453</v>
      </c>
      <c r="AF122" s="3">
        <f>(1+AE122)/(1+MAX(AE$2:AE122))-1</f>
        <v>0</v>
      </c>
      <c r="AG122" s="9"/>
      <c r="AH122" s="10">
        <f t="shared" si="88"/>
        <v>0.30267142857142859</v>
      </c>
      <c r="AI122" s="5">
        <f>+AH122</f>
        <v>0.30267142857142859</v>
      </c>
      <c r="AJ122" s="5">
        <f t="shared" ref="AJ122:AJ127" si="98">+(1+AH122)*(1+AJ121)-1</f>
        <v>24.299921360356247</v>
      </c>
      <c r="AK122" s="5">
        <f>(1+AJ122)/(1+MAX(AJ$2:AJ122))-1</f>
        <v>0</v>
      </c>
      <c r="AL122" s="51">
        <f t="shared" ref="AL122:AL127" si="99">AL121*(1+AH122)</f>
        <v>25299.921360356217</v>
      </c>
      <c r="AM122" s="52"/>
      <c r="AN122" s="2" t="s">
        <v>86</v>
      </c>
      <c r="AO122" s="53">
        <v>6939.03</v>
      </c>
      <c r="AP122" s="4">
        <f>AO122/AO121-1</f>
        <v>1.3662990285588927E-2</v>
      </c>
      <c r="AQ122" s="5">
        <f>+AP122</f>
        <v>1.3662990285588927E-2</v>
      </c>
      <c r="AR122" s="5">
        <f>+(1+AP122)*(1+AR121)-1</f>
        <v>2.5763771492186529</v>
      </c>
      <c r="AS122" s="3">
        <f>(1+AR122)/(1+MAX(AR$2:AR122))-1</f>
        <v>0</v>
      </c>
    </row>
    <row r="123" spans="1:54" s="61" customFormat="1" outlineLevel="1" x14ac:dyDescent="0.3">
      <c r="A123" s="61" t="s">
        <v>664</v>
      </c>
      <c r="B123" s="55" t="str">
        <f>YEAR(C123)&amp;"-"&amp;MONTH(C123)</f>
        <v>2026-2</v>
      </c>
      <c r="C123" s="11">
        <v>46054</v>
      </c>
      <c r="D123" s="12" t="s">
        <v>35</v>
      </c>
      <c r="E123" s="14">
        <v>0.1022</v>
      </c>
      <c r="F123" s="15">
        <f t="shared" ref="F123:F129" si="100">+(1+E123)*(1+F122)-1</f>
        <v>0.21484484000000026</v>
      </c>
      <c r="G123" s="15">
        <f t="shared" si="94"/>
        <v>3.3987577328510952</v>
      </c>
      <c r="H123" s="13">
        <f>(1+G123)/(1+MAX(G$2:G123))-1</f>
        <v>0</v>
      </c>
      <c r="I123" s="12" t="s">
        <v>73</v>
      </c>
      <c r="J123" s="16">
        <v>-3.3999999999999998E-3</v>
      </c>
      <c r="K123" s="17" t="s">
        <v>51</v>
      </c>
      <c r="L123" s="16">
        <v>-2.23E-2</v>
      </c>
      <c r="M123" s="14">
        <f t="shared" si="92"/>
        <v>-1.285E-2</v>
      </c>
      <c r="N123" s="15">
        <f t="shared" ref="N123:N129" si="101">+(1+M123)*(1+N122)-1</f>
        <v>-2.1487562500000057E-2</v>
      </c>
      <c r="O123" s="15">
        <f t="shared" si="95"/>
        <v>2.7715991289215078</v>
      </c>
      <c r="P123" s="13">
        <f>(1+O123)/(1+MAX(O$2:O123))-1</f>
        <v>-4.2149292948409522E-2</v>
      </c>
      <c r="Q123" s="18" t="s">
        <v>156</v>
      </c>
      <c r="R123" s="16">
        <v>0.1178</v>
      </c>
      <c r="S123" s="56" t="s">
        <v>157</v>
      </c>
      <c r="T123" s="16">
        <v>0.13320000000000001</v>
      </c>
      <c r="U123" s="14">
        <f t="shared" si="91"/>
        <v>0.1255</v>
      </c>
      <c r="V123" s="15">
        <f t="shared" ref="V123:V129" si="102">+(1+U123)*(1+V122)-1</f>
        <v>1.1436272999999999</v>
      </c>
      <c r="W123" s="15">
        <f t="shared" si="96"/>
        <v>138.79641713746597</v>
      </c>
      <c r="X123" s="13">
        <f>(1+W123)/(1+MAX(W$2:W123))-1</f>
        <v>0</v>
      </c>
      <c r="Y123" s="18" t="s">
        <v>79</v>
      </c>
      <c r="Z123" s="16">
        <v>0.15640000000000001</v>
      </c>
      <c r="AA123" s="57" t="s">
        <v>49</v>
      </c>
      <c r="AB123" s="16">
        <v>0.18179999999999999</v>
      </c>
      <c r="AC123" s="14">
        <f t="shared" si="93"/>
        <v>0.1691</v>
      </c>
      <c r="AD123" s="15">
        <f t="shared" ref="AD123:AD129" si="103">+(1+AC123)*(1+AD122)-1</f>
        <v>0.30050684000000016</v>
      </c>
      <c r="AE123" s="15">
        <f t="shared" si="97"/>
        <v>40.270406006498533</v>
      </c>
      <c r="AF123" s="13">
        <f>(1+AE123)/(1+MAX(AE$2:AE123))-1</f>
        <v>0</v>
      </c>
      <c r="AG123" s="19"/>
      <c r="AH123" s="20">
        <f t="shared" si="88"/>
        <v>9.509999999999999E-2</v>
      </c>
      <c r="AI123" s="15">
        <f t="shared" ref="AI123:AI129" si="104">+(1+AH123)*(1+AI122)-1</f>
        <v>0.42655548142857147</v>
      </c>
      <c r="AJ123" s="15">
        <f t="shared" si="98"/>
        <v>26.705943881726125</v>
      </c>
      <c r="AK123" s="15">
        <f>(1+AJ123)/(1+MAX(AJ$2:AJ123))-1</f>
        <v>0</v>
      </c>
      <c r="AL123" s="58">
        <f t="shared" si="99"/>
        <v>27705.943881726093</v>
      </c>
      <c r="AM123" s="59"/>
      <c r="AN123" s="12" t="s">
        <v>86</v>
      </c>
      <c r="AO123" s="60">
        <v>6878.88</v>
      </c>
      <c r="AP123" s="14">
        <f>AO123/AO122-1</f>
        <v>-8.6683585457909551E-3</v>
      </c>
      <c r="AQ123" s="15">
        <f>+(1+AP123)*(1+AQ122)-1</f>
        <v>4.8761960411949357E-3</v>
      </c>
      <c r="AR123" s="15">
        <f>+(1+AP123)*(1+AR122)-1</f>
        <v>2.5453758297942519</v>
      </c>
      <c r="AS123" s="13">
        <f>(1+AR123)/(1+MAX(AR$2:AR123))-1</f>
        <v>-8.6683585457909551E-3</v>
      </c>
      <c r="AX123" s="62"/>
      <c r="AY123" s="62"/>
      <c r="AZ123" s="62"/>
      <c r="BA123" s="62"/>
    </row>
    <row r="124" spans="1:54" s="61" customFormat="1" outlineLevel="1" x14ac:dyDescent="0.3">
      <c r="A124" s="61" t="s">
        <v>664</v>
      </c>
      <c r="B124" s="55" t="str">
        <f t="shared" ref="B124:B133" si="105">YEAR(C124)&amp;"-"&amp;MONTH(C124)</f>
        <v>2026-3</v>
      </c>
      <c r="C124" s="11">
        <v>46082</v>
      </c>
      <c r="D124" s="12" t="s">
        <v>35</v>
      </c>
      <c r="E124" s="14">
        <v>-8.3900000000000002E-2</v>
      </c>
      <c r="F124" s="15">
        <f t="shared" si="100"/>
        <v>0.11291935792400021</v>
      </c>
      <c r="G124" s="15">
        <f t="shared" si="94"/>
        <v>3.0297019590648882</v>
      </c>
      <c r="H124" s="13">
        <f>(1+G124)/(1+MAX(G$2:G124))-1</f>
        <v>-8.3900000000000086E-2</v>
      </c>
      <c r="I124" s="12" t="s">
        <v>41</v>
      </c>
      <c r="J124" s="16">
        <v>0.13569999999999999</v>
      </c>
      <c r="K124" s="17" t="s">
        <v>51</v>
      </c>
      <c r="L124" s="16">
        <v>-1.23E-2</v>
      </c>
      <c r="M124" s="14">
        <f t="shared" si="92"/>
        <v>6.1699999999999991E-2</v>
      </c>
      <c r="N124" s="15">
        <f t="shared" si="101"/>
        <v>3.8886654893750094E-2</v>
      </c>
      <c r="O124" s="15">
        <f t="shared" si="95"/>
        <v>3.0043067951759648</v>
      </c>
      <c r="P124" s="13">
        <f>(1+O124)/(1+MAX(O$2:O124))-1</f>
        <v>0</v>
      </c>
      <c r="Q124" s="18" t="s">
        <v>156</v>
      </c>
      <c r="R124" s="16">
        <v>2.9899999999999999E-2</v>
      </c>
      <c r="S124" s="169" t="s">
        <v>157</v>
      </c>
      <c r="T124" s="16">
        <v>-3.5000000000000001E-3</v>
      </c>
      <c r="U124" s="14">
        <f t="shared" si="91"/>
        <v>1.32E-2</v>
      </c>
      <c r="V124" s="15">
        <f t="shared" si="102"/>
        <v>1.1719231803600003</v>
      </c>
      <c r="W124" s="15">
        <f t="shared" si="96"/>
        <v>140.64172984368054</v>
      </c>
      <c r="X124" s="13">
        <f>(1+W124)/(1+MAX(W$2:W124))-1</f>
        <v>0</v>
      </c>
      <c r="Y124" s="18" t="s">
        <v>79</v>
      </c>
      <c r="Z124" s="16">
        <v>-0.1454</v>
      </c>
      <c r="AA124" s="57" t="s">
        <v>49</v>
      </c>
      <c r="AB124" s="16">
        <v>7.8700000000000006E-2</v>
      </c>
      <c r="AC124" s="14">
        <f t="shared" si="93"/>
        <v>-3.3349999999999998E-2</v>
      </c>
      <c r="AD124" s="15">
        <f t="shared" si="103"/>
        <v>0.25713493688600009</v>
      </c>
      <c r="AE124" s="15">
        <f t="shared" si="97"/>
        <v>38.894037966181806</v>
      </c>
      <c r="AF124" s="13">
        <f>(1+AE124)/(1+MAX(AE$2:AE124))-1</f>
        <v>-3.3349999999999991E-2</v>
      </c>
      <c r="AG124" s="19"/>
      <c r="AH124" s="20">
        <f t="shared" si="88"/>
        <v>-1.1428571428571557E-4</v>
      </c>
      <c r="AI124" s="15">
        <f t="shared" si="104"/>
        <v>0.42639244651640817</v>
      </c>
      <c r="AJ124" s="15">
        <f t="shared" si="98"/>
        <v>26.702777488139642</v>
      </c>
      <c r="AK124" s="15">
        <f>(1+AJ124)/(1+MAX(AJ$2:AJ124))-1</f>
        <v>-1.1428571428573342E-4</v>
      </c>
      <c r="AL124" s="58">
        <f t="shared" si="99"/>
        <v>27702.777488139611</v>
      </c>
      <c r="AM124" s="59"/>
      <c r="AN124" s="12" t="s">
        <v>86</v>
      </c>
      <c r="AO124" s="60">
        <v>6528.52</v>
      </c>
      <c r="AP124" s="14">
        <f>AO124/AO123-1</f>
        <v>-5.0932709976042601E-2</v>
      </c>
      <c r="AQ124" s="15">
        <f>+(1+AP124)*(1+AQ123)-1</f>
        <v>-4.6304871813600212E-2</v>
      </c>
      <c r="AR124" s="15">
        <f>+(1+AP124)*(1+AR123)-1</f>
        <v>2.3648002308992697</v>
      </c>
      <c r="AS124" s="13">
        <f>(1+AR124)/(1+MAX(AR$2:AR124))-1</f>
        <v>-5.9159565530052527E-2</v>
      </c>
      <c r="BA124" s="62"/>
    </row>
    <row r="125" spans="1:54" s="61" customFormat="1" outlineLevel="1" x14ac:dyDescent="0.3">
      <c r="A125" s="61" t="s">
        <v>664</v>
      </c>
      <c r="B125" s="55" t="str">
        <f t="shared" si="105"/>
        <v>2026-4</v>
      </c>
      <c r="C125" s="11">
        <v>46113</v>
      </c>
      <c r="D125" s="12" t="s">
        <v>35</v>
      </c>
      <c r="E125" s="14">
        <v>-3.4299999999999997E-2</v>
      </c>
      <c r="F125" s="15">
        <f t="shared" si="100"/>
        <v>7.474622394720698E-2</v>
      </c>
      <c r="G125" s="15">
        <f t="shared" si="94"/>
        <v>2.8914831818689626</v>
      </c>
      <c r="H125" s="13">
        <f>(1+G125)/(1+MAX(G$2:G125))-1</f>
        <v>-0.11532222999999997</v>
      </c>
      <c r="I125" s="12" t="s">
        <v>41</v>
      </c>
      <c r="J125" s="16">
        <v>-4.4999999999999998E-2</v>
      </c>
      <c r="K125" s="17" t="s">
        <v>51</v>
      </c>
      <c r="L125" s="16">
        <v>0.17710000000000001</v>
      </c>
      <c r="M125" s="14">
        <f t="shared" si="92"/>
        <v>6.6049999999999998E-2</v>
      </c>
      <c r="N125" s="15">
        <f t="shared" si="101"/>
        <v>0.10750511844948218</v>
      </c>
      <c r="O125" s="15">
        <f t="shared" si="95"/>
        <v>3.2687912589973367</v>
      </c>
      <c r="P125" s="13">
        <f>(1+O125)/(1+MAX(O$2:O125))-1</f>
        <v>0</v>
      </c>
      <c r="Q125" s="18" t="s">
        <v>156</v>
      </c>
      <c r="R125" s="16">
        <v>0.69269999999999998</v>
      </c>
      <c r="S125" s="169" t="s">
        <v>157</v>
      </c>
      <c r="T125" s="16">
        <v>0.57550000000000001</v>
      </c>
      <c r="U125" s="14">
        <f t="shared" ref="U125:U130" si="106">AVERAGE(R125,T125)</f>
        <v>0.6341</v>
      </c>
      <c r="V125" s="15">
        <f t="shared" si="102"/>
        <v>2.5491396690262769</v>
      </c>
      <c r="W125" s="15">
        <f t="shared" si="96"/>
        <v>230.45675073755839</v>
      </c>
      <c r="X125" s="13">
        <f>(1+W125)/(1+MAX(W$2:W125))-1</f>
        <v>0</v>
      </c>
      <c r="Y125" s="18" t="s">
        <v>79</v>
      </c>
      <c r="Z125" s="16">
        <v>0.26950000000000002</v>
      </c>
      <c r="AA125" s="57" t="s">
        <v>49</v>
      </c>
      <c r="AB125" s="16">
        <v>2.5700000000000001E-2</v>
      </c>
      <c r="AC125" s="14">
        <f t="shared" si="93"/>
        <v>0.14760000000000001</v>
      </c>
      <c r="AD125" s="15">
        <f t="shared" si="103"/>
        <v>0.44268805357037366</v>
      </c>
      <c r="AE125" s="15">
        <f t="shared" si="97"/>
        <v>44.782397969990235</v>
      </c>
      <c r="AF125" s="13">
        <f>(1+AE125)/(1+MAX(AE$2:AE125))-1</f>
        <v>0</v>
      </c>
      <c r="AG125" s="19"/>
      <c r="AH125" s="20">
        <f t="shared" si="88"/>
        <v>0.23731428571428576</v>
      </c>
      <c r="AI125" s="15">
        <f t="shared" si="104"/>
        <v>0.76489575110970232</v>
      </c>
      <c r="AJ125" s="15">
        <f t="shared" si="98"/>
        <v>33.277042340039294</v>
      </c>
      <c r="AK125" s="15">
        <f>(1+AJ125)/(1+MAX(AJ$2:AJ125))-1</f>
        <v>0</v>
      </c>
      <c r="AL125" s="58">
        <f t="shared" si="99"/>
        <v>34277.042340039261</v>
      </c>
      <c r="AM125" s="59"/>
      <c r="AN125" s="12" t="s">
        <v>86</v>
      </c>
      <c r="AO125" s="60">
        <v>7209.01</v>
      </c>
      <c r="AP125" s="14">
        <f>AO125/AO124-1</f>
        <v>0.10423342503354505</v>
      </c>
      <c r="AQ125" s="15">
        <f>+(1+AP125)*(1+AQ124)-1</f>
        <v>5.3102037835073945E-2</v>
      </c>
      <c r="AR125" s="15">
        <f>+(1+AP125)*(1+AR124)-1</f>
        <v>2.715524883519564</v>
      </c>
      <c r="AS125" s="13">
        <f>(1+AR125)/(1+MAX(AR$2:AR125))-1</f>
        <v>0</v>
      </c>
      <c r="BA125" s="62"/>
    </row>
    <row r="126" spans="1:54" s="61" customFormat="1" outlineLevel="1" x14ac:dyDescent="0.3">
      <c r="A126" s="61" t="s">
        <v>664</v>
      </c>
      <c r="B126" s="55" t="str">
        <f t="shared" si="105"/>
        <v>2026-5</v>
      </c>
      <c r="C126" s="11">
        <v>46143</v>
      </c>
      <c r="D126" s="12" t="s">
        <v>35</v>
      </c>
      <c r="E126" s="14">
        <v>-1.2699999999999999E-2</v>
      </c>
      <c r="F126" s="15">
        <f t="shared" si="100"/>
        <v>6.109694690307732E-2</v>
      </c>
      <c r="G126" s="15">
        <f>+(1+E126)*(1+G125)-1</f>
        <v>2.8420613454592267</v>
      </c>
      <c r="H126" s="13">
        <f>(1+G126)/(1+MAX(G$2:G126))-1</f>
        <v>-0.12655763767899997</v>
      </c>
      <c r="I126" s="12" t="s">
        <v>41</v>
      </c>
      <c r="J126" s="16">
        <v>-5.3699999999999998E-2</v>
      </c>
      <c r="K126" s="17" t="s">
        <v>51</v>
      </c>
      <c r="L126" s="16">
        <v>0.2009</v>
      </c>
      <c r="M126" s="14">
        <f t="shared" si="92"/>
        <v>7.3599999999999999E-2</v>
      </c>
      <c r="N126" s="15">
        <f t="shared" si="101"/>
        <v>0.18901749516736399</v>
      </c>
      <c r="O126" s="15">
        <f>+(1+M126)*(1+O125)-1</f>
        <v>3.5829742956595405</v>
      </c>
      <c r="P126" s="13">
        <f>(1+O126)/(1+MAX(O$2:O126))-1</f>
        <v>0</v>
      </c>
      <c r="Q126" s="18" t="s">
        <v>156</v>
      </c>
      <c r="R126" s="16">
        <v>0.55000000000000004</v>
      </c>
      <c r="S126" s="169" t="s">
        <v>157</v>
      </c>
      <c r="T126" s="16">
        <v>0.22589999999999999</v>
      </c>
      <c r="U126" s="14">
        <f t="shared" si="106"/>
        <v>0.38795000000000002</v>
      </c>
      <c r="V126" s="15">
        <f t="shared" si="102"/>
        <v>3.926028403625021</v>
      </c>
      <c r="W126" s="15">
        <f>+(1+U126)*(1+W125)-1</f>
        <v>320.25039718619416</v>
      </c>
      <c r="X126" s="13">
        <f>(1+W126)/(1+MAX(W$2:W126))-1</f>
        <v>0</v>
      </c>
      <c r="Y126" s="18" t="s">
        <v>79</v>
      </c>
      <c r="Z126" s="16">
        <v>-9.6000000000000002E-2</v>
      </c>
      <c r="AA126" s="57" t="s">
        <v>49</v>
      </c>
      <c r="AB126" s="16">
        <v>-3.3300000000000003E-2</v>
      </c>
      <c r="AC126" s="14">
        <f>AVERAGE(Z126,AB126)</f>
        <v>-6.4649999999999999E-2</v>
      </c>
      <c r="AD126" s="15">
        <f t="shared" si="103"/>
        <v>0.34941827090704902</v>
      </c>
      <c r="AE126" s="15">
        <f>+(1+AC126)*(1+AE125)-1</f>
        <v>41.822565941230366</v>
      </c>
      <c r="AF126" s="13">
        <f>(1+AE126)/(1+MAX(AE$2:AE126))-1</f>
        <v>-6.4649999999999985E-2</v>
      </c>
      <c r="AG126" s="19"/>
      <c r="AH126" s="20">
        <f t="shared" si="88"/>
        <v>0.1115857142857143</v>
      </c>
      <c r="AI126" s="15">
        <f t="shared" si="104"/>
        <v>0.96183290413710076</v>
      </c>
      <c r="AJ126" s="15">
        <f t="shared" si="98"/>
        <v>37.101870593154253</v>
      </c>
      <c r="AK126" s="15">
        <f>(1+AJ126)/(1+MAX(AJ$2:AJ126))-1</f>
        <v>0</v>
      </c>
      <c r="AL126" s="58">
        <f t="shared" si="99"/>
        <v>38101.870593154221</v>
      </c>
      <c r="AM126" s="59"/>
      <c r="AN126" s="12" t="s">
        <v>86</v>
      </c>
      <c r="AO126" s="60">
        <v>7580.06</v>
      </c>
      <c r="AP126" s="14">
        <f t="shared" ref="AP126:AP130" si="107">AO126/AO125-1</f>
        <v>5.147031284462078E-2</v>
      </c>
      <c r="AQ126" s="15">
        <f t="shared" ref="AQ126:AQ130" si="108">+(1+AP126)*(1+AQ125)-1</f>
        <v>0.10730552917975289</v>
      </c>
      <c r="AR126" s="15">
        <f t="shared" ref="AR126:AR130" si="109">+(1+AP126)*(1+AR125)-1</f>
        <v>2.906764111656289</v>
      </c>
      <c r="AS126" s="13">
        <f>(1+AR126)/(1+MAX(AR$2:AR126))-1</f>
        <v>0</v>
      </c>
      <c r="BA126" s="62"/>
      <c r="BB126" s="62"/>
    </row>
    <row r="127" spans="1:54" s="61" customFormat="1" outlineLevel="1" x14ac:dyDescent="0.3">
      <c r="A127" s="61" t="s">
        <v>664</v>
      </c>
      <c r="B127" s="55" t="str">
        <f t="shared" si="105"/>
        <v>2026-6</v>
      </c>
      <c r="C127" s="11">
        <v>46174</v>
      </c>
      <c r="D127" s="12" t="s">
        <v>35</v>
      </c>
      <c r="E127" s="14">
        <v>-9.9000000000000005E-2</v>
      </c>
      <c r="F127" s="15">
        <f t="shared" si="100"/>
        <v>-4.3951650840327261E-2</v>
      </c>
      <c r="G127" s="15">
        <f>+(1+E127)*(1+G126)-1</f>
        <v>2.4616972722587636</v>
      </c>
      <c r="H127" s="13">
        <f>(1+G127)/(1+MAX(G$2:G127))-1</f>
        <v>-0.21302843154877893</v>
      </c>
      <c r="I127" s="12" t="s">
        <v>41</v>
      </c>
      <c r="J127" s="16">
        <v>-3.0499999999999999E-2</v>
      </c>
      <c r="K127" s="17" t="s">
        <v>51</v>
      </c>
      <c r="L127" s="16">
        <v>1.8700000000000001E-2</v>
      </c>
      <c r="M127" s="14">
        <f t="shared" si="92"/>
        <v>-5.899999999999999E-3</v>
      </c>
      <c r="N127" s="15">
        <f t="shared" si="101"/>
        <v>0.18200229194587658</v>
      </c>
      <c r="O127" s="15">
        <f>+(1+M127)*(1+O126)-1</f>
        <v>3.555934747315149</v>
      </c>
      <c r="P127" s="13">
        <f>(1+O127)/(1+MAX(O$2:O127))-1</f>
        <v>-5.9000000000000163E-3</v>
      </c>
      <c r="Q127" s="18" t="s">
        <v>156</v>
      </c>
      <c r="R127" s="16">
        <v>0.36859999999999998</v>
      </c>
      <c r="S127" s="169" t="s">
        <v>157</v>
      </c>
      <c r="T127" s="16">
        <v>0.22700000000000001</v>
      </c>
      <c r="U127" s="14">
        <f t="shared" si="106"/>
        <v>0.29780000000000001</v>
      </c>
      <c r="V127" s="15">
        <f t="shared" si="102"/>
        <v>5.3929996622245522</v>
      </c>
      <c r="W127" s="15">
        <f>+(1+U127)*(1+W126)-1</f>
        <v>415.91876546824278</v>
      </c>
      <c r="X127" s="13">
        <f>(1+W127)/(1+MAX(W$2:W127))-1</f>
        <v>0</v>
      </c>
      <c r="Y127" s="18" t="s">
        <v>43</v>
      </c>
      <c r="Z127" s="16">
        <v>9.5399999999999999E-2</v>
      </c>
      <c r="AA127" s="57" t="s">
        <v>49</v>
      </c>
      <c r="AB127" s="16">
        <v>-0.153</v>
      </c>
      <c r="AC127" s="14">
        <f>AVERAGE(Z127,AB127)</f>
        <v>-2.8799999999999999E-2</v>
      </c>
      <c r="AD127" s="15">
        <f t="shared" si="103"/>
        <v>0.31055502470492602</v>
      </c>
      <c r="AE127" s="15">
        <f>+(1+AC127)*(1+AE126)-1</f>
        <v>40.589276042122933</v>
      </c>
      <c r="AF127" s="13">
        <f>(1+AE127)/(1+MAX(AE$2:AE127))-1</f>
        <v>-9.1588079999999961E-2</v>
      </c>
      <c r="AG127" s="19"/>
      <c r="AH127" s="20">
        <f t="shared" si="88"/>
        <v>6.1028571428571432E-2</v>
      </c>
      <c r="AI127" s="15">
        <f t="shared" si="104"/>
        <v>1.0815607636581537</v>
      </c>
      <c r="AJ127" s="15">
        <f t="shared" si="98"/>
        <v>39.427173324210756</v>
      </c>
      <c r="AK127" s="15">
        <f>(1+AJ127)/(1+MAX(AJ$2:AJ127))-1</f>
        <v>0</v>
      </c>
      <c r="AL127" s="58">
        <f t="shared" si="99"/>
        <v>40427.173324210722</v>
      </c>
      <c r="AM127" s="59"/>
      <c r="AN127" s="12" t="s">
        <v>86</v>
      </c>
      <c r="AO127" s="60">
        <v>7499.36</v>
      </c>
      <c r="AP127" s="14">
        <f t="shared" si="107"/>
        <v>-1.0646353722793878E-2</v>
      </c>
      <c r="AQ127" s="15">
        <f t="shared" si="108"/>
        <v>9.5516762836899805E-2</v>
      </c>
      <c r="AR127" s="15">
        <f t="shared" si="109"/>
        <v>2.8651713190120796</v>
      </c>
      <c r="AS127" s="13">
        <f>(1+AR127)/(1+MAX(AR$2:AR127))-1</f>
        <v>-1.0646353722793878E-2</v>
      </c>
      <c r="BA127" s="62"/>
      <c r="BB127" s="62"/>
    </row>
    <row r="128" spans="1:54" s="61" customFormat="1" outlineLevel="1" x14ac:dyDescent="0.3">
      <c r="A128" s="61" t="s">
        <v>664</v>
      </c>
      <c r="B128" s="55" t="str">
        <f t="shared" si="105"/>
        <v>2026-7</v>
      </c>
      <c r="C128" s="11">
        <v>46204</v>
      </c>
      <c r="D128" s="12" t="s">
        <v>50</v>
      </c>
      <c r="E128" s="14">
        <v>9.4899999999999998E-2</v>
      </c>
      <c r="F128" s="15">
        <f t="shared" si="100"/>
        <v>4.677733749492563E-2</v>
      </c>
      <c r="G128" s="15">
        <f>+(1+E128)*(1+G127)-1</f>
        <v>2.7902123433961203</v>
      </c>
      <c r="H128" s="13">
        <f>(1+G128)/(1+MAX(G$2:G128))-1</f>
        <v>-0.13834482970275808</v>
      </c>
      <c r="I128" s="12" t="s">
        <v>41</v>
      </c>
      <c r="J128" s="16">
        <v>0.1114</v>
      </c>
      <c r="K128" s="17" t="s">
        <v>51</v>
      </c>
      <c r="L128" s="16">
        <v>-8.77E-2</v>
      </c>
      <c r="M128" s="14">
        <f t="shared" si="92"/>
        <v>1.1849999999999999E-2</v>
      </c>
      <c r="N128" s="15">
        <f t="shared" si="101"/>
        <v>0.19600901910543511</v>
      </c>
      <c r="O128" s="15">
        <f>+(1+M128)*(1+O127)-1</f>
        <v>3.6099225740708327</v>
      </c>
      <c r="P128" s="13">
        <f>(1+O128)/(1+MAX(O$2:O128))-1</f>
        <v>0</v>
      </c>
      <c r="Q128" s="18" t="s">
        <v>156</v>
      </c>
      <c r="R128" s="16">
        <v>-0.47039999999999998</v>
      </c>
      <c r="S128" s="56" t="s">
        <v>157</v>
      </c>
      <c r="T128" s="16">
        <v>-0.1545</v>
      </c>
      <c r="U128" s="14">
        <f t="shared" si="106"/>
        <v>-0.31245000000000001</v>
      </c>
      <c r="V128" s="15">
        <f t="shared" si="102"/>
        <v>3.395506917762491</v>
      </c>
      <c r="W128" s="15">
        <f>+(1+U128)*(1+W127)-1</f>
        <v>285.65249719769031</v>
      </c>
      <c r="X128" s="13">
        <f>(1+W128)/(1+MAX(W$2:W128))-1</f>
        <v>-0.31245000000000001</v>
      </c>
      <c r="Y128" s="18" t="s">
        <v>43</v>
      </c>
      <c r="Z128" s="16">
        <v>-0.2918</v>
      </c>
      <c r="AA128" s="57" t="s">
        <v>49</v>
      </c>
      <c r="AB128" s="16">
        <v>-0.155</v>
      </c>
      <c r="AC128" s="14">
        <f>AVERAGE(Z128,AB128)</f>
        <v>-0.22339999999999999</v>
      </c>
      <c r="AD128" s="15">
        <f t="shared" si="103"/>
        <v>1.7777032185845476E-2</v>
      </c>
      <c r="AE128" s="15">
        <f>+(1+AC128)*(1+AE127)-1</f>
        <v>31.298231774312669</v>
      </c>
      <c r="AF128" s="13">
        <f>(1+AE128)/(1+MAX(AE$2:AE128))-1</f>
        <v>-0.294527302928</v>
      </c>
      <c r="AG128" s="19"/>
      <c r="AH128" s="20">
        <f t="shared" si="88"/>
        <v>-0.13615714285714287</v>
      </c>
      <c r="AI128" s="15">
        <f t="shared" si="104"/>
        <v>0.79814139739492695</v>
      </c>
      <c r="AJ128" s="15">
        <f t="shared" ref="AJ128:AJ129" si="110">+(1+AH128)*(1+AJ127)-1</f>
        <v>33.922724910595718</v>
      </c>
      <c r="AK128" s="15">
        <f>(1+AJ128)/(1+MAX(AJ$2:AJ128))-1</f>
        <v>-0.13615714285714287</v>
      </c>
      <c r="AL128" s="58">
        <f t="shared" ref="AL128:AL129" si="111">AL127*(1+AH128)</f>
        <v>34922.724910595687</v>
      </c>
      <c r="AM128" s="59"/>
      <c r="AN128" s="12" t="s">
        <v>86</v>
      </c>
      <c r="AO128" s="60">
        <v>7489.72</v>
      </c>
      <c r="AP128" s="14">
        <f t="shared" si="107"/>
        <v>-1.2854430244713111E-3</v>
      </c>
      <c r="AQ128" s="15">
        <f t="shared" si="108"/>
        <v>9.410853845591971E-2</v>
      </c>
      <c r="AR128" s="15">
        <f t="shared" si="109"/>
        <v>2.8602028615016688</v>
      </c>
      <c r="AS128" s="13">
        <f>(1+AR128)/(1+MAX(AR$2:AR128))-1</f>
        <v>-1.1918111466136194E-2</v>
      </c>
      <c r="BA128" s="62"/>
      <c r="BB128" s="62"/>
    </row>
    <row r="129" spans="1:54" s="61" customFormat="1" outlineLevel="1" x14ac:dyDescent="0.3">
      <c r="A129" s="61" t="s">
        <v>664</v>
      </c>
      <c r="B129" s="55" t="str">
        <f t="shared" si="105"/>
        <v>2026-8</v>
      </c>
      <c r="C129" s="11">
        <v>46235</v>
      </c>
      <c r="D129" s="12" t="s">
        <v>50</v>
      </c>
      <c r="E129" s="14">
        <v>5.6800000000000003E-2</v>
      </c>
      <c r="F129" s="15">
        <f t="shared" si="100"/>
        <v>0.10623429026463738</v>
      </c>
      <c r="G129" s="15">
        <f>+(1+E129)*(1+G128)-1</f>
        <v>3.0054964045010202</v>
      </c>
      <c r="H129" s="13">
        <f>(1+G129)/(1+MAX(G$2:G129))-1</f>
        <v>-8.9402816029874654E-2</v>
      </c>
      <c r="I129" s="12" t="s">
        <v>41</v>
      </c>
      <c r="J129" s="16">
        <v>6.8000000000000005E-2</v>
      </c>
      <c r="K129" s="17" t="s">
        <v>51</v>
      </c>
      <c r="L129" s="16">
        <v>5.7599999999999998E-2</v>
      </c>
      <c r="M129" s="14">
        <f t="shared" si="92"/>
        <v>6.2799999999999995E-2</v>
      </c>
      <c r="N129" s="15">
        <f t="shared" si="101"/>
        <v>0.27111838550525635</v>
      </c>
      <c r="O129" s="15">
        <f>+(1+M129)*(1+O128)-1</f>
        <v>3.8994257117224809</v>
      </c>
      <c r="P129" s="13">
        <f>(1+O129)/(1+MAX(O$2:O129))-1</f>
        <v>0</v>
      </c>
      <c r="Q129" s="18" t="s">
        <v>156</v>
      </c>
      <c r="R129" s="16">
        <v>0.28239999999999998</v>
      </c>
      <c r="S129" s="56" t="s">
        <v>157</v>
      </c>
      <c r="T129" s="16">
        <v>-0.1777</v>
      </c>
      <c r="U129" s="14">
        <f t="shared" si="106"/>
        <v>5.2349999999999994E-2</v>
      </c>
      <c r="V129" s="15">
        <f t="shared" si="102"/>
        <v>3.6256117049073566</v>
      </c>
      <c r="W129" s="15">
        <f>+(1+U129)*(1+W128)-1</f>
        <v>300.65875542598934</v>
      </c>
      <c r="X129" s="13">
        <f>(1+W129)/(1+MAX(W$2:W129))-1</f>
        <v>-0.27645675750000021</v>
      </c>
      <c r="Y129" s="18" t="s">
        <v>43</v>
      </c>
      <c r="Z129" s="16">
        <v>-5.8200000000000002E-2</v>
      </c>
      <c r="AA129" s="57" t="s">
        <v>660</v>
      </c>
      <c r="AB129" s="16">
        <v>1.23E-2</v>
      </c>
      <c r="AC129" s="14">
        <f>AVERAGE(Z129,AB129)</f>
        <v>-2.2950000000000002E-2</v>
      </c>
      <c r="AD129" s="15">
        <f t="shared" si="103"/>
        <v>-5.5809507028197203E-3</v>
      </c>
      <c r="AE129" s="15">
        <f>+(1+AC129)*(1+AE128)-1</f>
        <v>30.556987355092193</v>
      </c>
      <c r="AF129" s="13">
        <f>(1+AE129)/(1+MAX(AE$2:AE129))-1</f>
        <v>-0.31071790132580235</v>
      </c>
      <c r="AG129" s="19"/>
      <c r="AH129" s="20">
        <f t="shared" si="88"/>
        <v>3.445714285714286E-2</v>
      </c>
      <c r="AI129" s="15">
        <f t="shared" si="104"/>
        <v>0.86010021240230672</v>
      </c>
      <c r="AJ129" s="15">
        <f t="shared" si="110"/>
        <v>35.126062231800823</v>
      </c>
      <c r="AK129" s="15">
        <f>(1+AJ129)/(1+MAX(AJ$2:AJ129))-1</f>
        <v>-0.10639158612244881</v>
      </c>
      <c r="AL129" s="58">
        <f t="shared" si="111"/>
        <v>36126.062231800788</v>
      </c>
      <c r="AM129" s="59"/>
      <c r="AN129" s="12" t="s">
        <v>86</v>
      </c>
      <c r="AO129" s="60">
        <v>7686.14</v>
      </c>
      <c r="AP129" s="14">
        <f t="shared" si="107"/>
        <v>2.6225279449699102E-2</v>
      </c>
      <c r="AQ129" s="15">
        <f t="shared" si="108"/>
        <v>0.12280184062522803</v>
      </c>
      <c r="AR129" s="15">
        <f t="shared" si="109"/>
        <v>2.9614377602770783</v>
      </c>
      <c r="AS129" s="13">
        <f>(1+AR129)/(1+MAX(AR$2:AR129))-1</f>
        <v>0</v>
      </c>
      <c r="BA129" s="62"/>
      <c r="BB129" s="62"/>
    </row>
    <row r="130" spans="1:54" s="61" customFormat="1" outlineLevel="1" x14ac:dyDescent="0.3">
      <c r="A130" s="61" t="s">
        <v>664</v>
      </c>
      <c r="B130" s="55" t="str">
        <f t="shared" si="105"/>
        <v>2026-9</v>
      </c>
      <c r="C130" s="11">
        <v>46266</v>
      </c>
      <c r="D130" s="12" t="s">
        <v>50</v>
      </c>
      <c r="E130" s="14">
        <v>5.5199999999999999E-2</v>
      </c>
      <c r="F130" s="15">
        <f t="shared" ref="F130" si="112">+(1+E130)*(1+F129)-1</f>
        <v>0.16729842308724518</v>
      </c>
      <c r="G130" s="15">
        <f>+(1+E130)*(1+G129)-1</f>
        <v>3.2265998060294763</v>
      </c>
      <c r="H130" s="13">
        <f>(1+G130)/(1+MAX(G$2:G130))-1</f>
        <v>-3.9137851474723817E-2</v>
      </c>
      <c r="I130" s="12" t="s">
        <v>41</v>
      </c>
      <c r="J130" s="16">
        <v>-1.1599999999999999E-2</v>
      </c>
      <c r="K130" s="17" t="s">
        <v>51</v>
      </c>
      <c r="L130" s="16">
        <v>7.3800000000000004E-2</v>
      </c>
      <c r="M130" s="14">
        <f t="shared" ref="M130" si="113">AVERAGE(J130,L130)</f>
        <v>3.1100000000000003E-2</v>
      </c>
      <c r="N130" s="15">
        <f t="shared" ref="N130" si="114">+(1+M130)*(1+N129)-1</f>
        <v>0.3106501672944697</v>
      </c>
      <c r="O130" s="15">
        <f>+(1+M130)*(1+O129)-1</f>
        <v>4.0517978513570494</v>
      </c>
      <c r="P130" s="13">
        <f>(1+O130)/(1+MAX(O$2:O130))-1</f>
        <v>0</v>
      </c>
      <c r="Q130" s="18" t="s">
        <v>156</v>
      </c>
      <c r="R130" s="16">
        <v>0.1348</v>
      </c>
      <c r="S130" s="56" t="s">
        <v>661</v>
      </c>
      <c r="T130" s="16">
        <v>8.5000000000000006E-2</v>
      </c>
      <c r="U130" s="14">
        <f t="shared" si="106"/>
        <v>0.1099</v>
      </c>
      <c r="V130" s="15">
        <f t="shared" ref="V130" si="115">+(1+U130)*(1+V129)-1</f>
        <v>4.1339664312766757</v>
      </c>
      <c r="W130" s="15">
        <f>+(1+U130)*(1+W129)-1</f>
        <v>333.81105264730559</v>
      </c>
      <c r="X130" s="13">
        <f>(1+W130)/(1+MAX(W$2:W130))-1</f>
        <v>-0.19693935514925021</v>
      </c>
      <c r="Y130" s="18" t="s">
        <v>43</v>
      </c>
      <c r="Z130" s="16">
        <v>9.5699999999999993E-2</v>
      </c>
      <c r="AA130" s="57" t="s">
        <v>660</v>
      </c>
      <c r="AB130" s="16">
        <v>0.10290000000000001</v>
      </c>
      <c r="AC130" s="14">
        <f>AVERAGE(Z130,AB130)</f>
        <v>9.9299999999999999E-2</v>
      </c>
      <c r="AD130" s="15">
        <f t="shared" ref="AD130" si="116">+(1+AC130)*(1+AD129)-1</f>
        <v>9.3164860892390289E-2</v>
      </c>
      <c r="AE130" s="15">
        <f>+(1+AC130)*(1+AE129)-1</f>
        <v>33.690596199452848</v>
      </c>
      <c r="AF130" s="13">
        <f>(1+AE130)/(1+MAX(AE$2:AE130))-1</f>
        <v>-0.24227218892745461</v>
      </c>
      <c r="AG130" s="19"/>
      <c r="AH130" s="20">
        <f t="shared" ref="AH130" si="117">AVERAGE(E130,J130,L130,R130,T130,Z130,AB130)</f>
        <v>7.6542857142857149E-2</v>
      </c>
      <c r="AI130" s="15">
        <f t="shared" ref="AI130" si="118">+(1+AH130)*(1+AI129)-1</f>
        <v>1.0024775972316151</v>
      </c>
      <c r="AJ130" s="15">
        <f t="shared" ref="AJ130" si="119">+(1+AH130)*(1+AJ129)-1</f>
        <v>37.891254252343522</v>
      </c>
      <c r="AK130" s="15">
        <f>(1+AJ130)/(1+MAX(AJ$2:AJ130))-1</f>
        <v>-3.7992244957364196E-2</v>
      </c>
      <c r="AL130" s="58">
        <f t="shared" ref="AL130" si="120">AL129*(1+AH130)</f>
        <v>38891.254252343489</v>
      </c>
      <c r="AM130" s="59"/>
      <c r="AN130" s="12" t="s">
        <v>86</v>
      </c>
      <c r="AO130" s="60">
        <v>7651.54</v>
      </c>
      <c r="AP130" s="14">
        <f t="shared" si="107"/>
        <v>-4.5016093904092225E-3</v>
      </c>
      <c r="AQ130" s="15">
        <f t="shared" si="108"/>
        <v>0.11774742531590077</v>
      </c>
      <c r="AR130" s="15">
        <f t="shared" si="109"/>
        <v>2.9436049148558934</v>
      </c>
      <c r="AS130" s="13">
        <f>(1+AR130)/(1+MAX(AR$2:AR130))-1</f>
        <v>-4.5016093904092225E-3</v>
      </c>
    </row>
    <row r="131" spans="1:54" s="61" customFormat="1" outlineLevel="1" x14ac:dyDescent="0.3">
      <c r="A131" s="61" t="s">
        <v>664</v>
      </c>
      <c r="B131" s="55" t="str">
        <f t="shared" si="105"/>
        <v>2026-10</v>
      </c>
      <c r="C131" s="11">
        <v>46296</v>
      </c>
      <c r="D131" s="12"/>
      <c r="E131" s="14"/>
      <c r="F131" s="15"/>
      <c r="G131" s="15"/>
      <c r="H131" s="13"/>
      <c r="I131" s="12"/>
      <c r="J131" s="16"/>
      <c r="K131" s="17"/>
      <c r="L131" s="16"/>
      <c r="M131" s="14"/>
      <c r="N131" s="15"/>
      <c r="O131" s="15"/>
      <c r="P131" s="13"/>
      <c r="Q131" s="18"/>
      <c r="R131" s="16"/>
      <c r="S131" s="56"/>
      <c r="T131" s="16"/>
      <c r="U131" s="14"/>
      <c r="V131" s="15"/>
      <c r="W131" s="15"/>
      <c r="X131" s="13"/>
      <c r="Y131" s="18"/>
      <c r="Z131" s="16"/>
      <c r="AA131" s="57"/>
      <c r="AB131" s="16"/>
      <c r="AC131" s="14"/>
      <c r="AD131" s="15"/>
      <c r="AE131" s="15"/>
      <c r="AF131" s="13"/>
      <c r="AG131" s="21"/>
      <c r="AH131" s="20"/>
      <c r="AI131" s="15"/>
      <c r="AJ131" s="15"/>
      <c r="AK131" s="15"/>
      <c r="AL131" s="58"/>
      <c r="AM131" s="59"/>
      <c r="AN131" s="12"/>
      <c r="AO131" s="60"/>
      <c r="AP131" s="14"/>
      <c r="AQ131" s="15"/>
      <c r="AR131" s="15"/>
      <c r="AS131" s="13"/>
    </row>
    <row r="132" spans="1:54" s="61" customFormat="1" outlineLevel="1" x14ac:dyDescent="0.3">
      <c r="A132" s="61" t="s">
        <v>664</v>
      </c>
      <c r="B132" s="55" t="str">
        <f t="shared" si="105"/>
        <v>2026-11</v>
      </c>
      <c r="C132" s="11">
        <v>46327</v>
      </c>
      <c r="D132" s="12"/>
      <c r="E132" s="14"/>
      <c r="F132" s="15"/>
      <c r="G132" s="15"/>
      <c r="H132" s="13"/>
      <c r="I132" s="12"/>
      <c r="J132" s="16"/>
      <c r="K132" s="158"/>
      <c r="L132" s="16"/>
      <c r="M132" s="14"/>
      <c r="N132" s="15"/>
      <c r="O132" s="15"/>
      <c r="P132" s="13"/>
      <c r="Q132" s="18"/>
      <c r="R132" s="16"/>
      <c r="S132" s="56"/>
      <c r="T132" s="16"/>
      <c r="U132" s="14"/>
      <c r="V132" s="15"/>
      <c r="W132" s="15"/>
      <c r="X132" s="13"/>
      <c r="Y132" s="18"/>
      <c r="Z132" s="16"/>
      <c r="AA132" s="57"/>
      <c r="AB132" s="16"/>
      <c r="AC132" s="14"/>
      <c r="AD132" s="15"/>
      <c r="AE132" s="15"/>
      <c r="AF132" s="13"/>
      <c r="AG132" s="21"/>
      <c r="AH132" s="20"/>
      <c r="AI132" s="15"/>
      <c r="AJ132" s="15"/>
      <c r="AK132" s="15"/>
      <c r="AL132" s="58"/>
      <c r="AM132" s="59"/>
      <c r="AN132" s="12"/>
      <c r="AO132" s="60"/>
      <c r="AP132" s="14"/>
      <c r="AQ132" s="15"/>
      <c r="AR132" s="15"/>
      <c r="AS132" s="13"/>
      <c r="AT132" s="62"/>
    </row>
    <row r="133" spans="1:54" s="27" customFormat="1" ht="15" thickBot="1" x14ac:dyDescent="0.35">
      <c r="A133" s="27" t="s">
        <v>664</v>
      </c>
      <c r="B133" s="63" t="str">
        <f t="shared" si="105"/>
        <v>2026-12</v>
      </c>
      <c r="C133" s="22">
        <v>46357</v>
      </c>
      <c r="D133" s="23"/>
      <c r="E133" s="24"/>
      <c r="F133" s="25"/>
      <c r="G133" s="25"/>
      <c r="H133" s="26"/>
      <c r="I133" s="23"/>
      <c r="J133" s="31"/>
      <c r="K133" s="28"/>
      <c r="L133" s="31"/>
      <c r="M133" s="24"/>
      <c r="N133" s="25"/>
      <c r="O133" s="25"/>
      <c r="P133" s="26"/>
      <c r="Q133" s="29"/>
      <c r="R133" s="143"/>
      <c r="S133" s="65"/>
      <c r="T133" s="28"/>
      <c r="U133" s="24"/>
      <c r="V133" s="25"/>
      <c r="W133" s="25"/>
      <c r="X133" s="26"/>
      <c r="Y133" s="29"/>
      <c r="Z133" s="28"/>
      <c r="AA133" s="65"/>
      <c r="AB133" s="28"/>
      <c r="AC133" s="24"/>
      <c r="AD133" s="25"/>
      <c r="AE133" s="25"/>
      <c r="AF133" s="26"/>
      <c r="AG133" s="31"/>
      <c r="AH133" s="32"/>
      <c r="AI133" s="25"/>
      <c r="AJ133" s="25"/>
      <c r="AK133" s="25"/>
      <c r="AL133" s="66"/>
      <c r="AM133" s="22"/>
      <c r="AN133" s="23"/>
      <c r="AO133" s="67"/>
      <c r="AP133" s="24"/>
      <c r="AQ133" s="25"/>
      <c r="AR133" s="25"/>
      <c r="AS133" s="26"/>
      <c r="AT133" s="68"/>
    </row>
    <row r="134" spans="1:54" x14ac:dyDescent="0.3">
      <c r="D134" s="71" t="str">
        <f>+D125</f>
        <v>GLD</v>
      </c>
      <c r="E134" s="72">
        <f>(1+E122)*(1+E123)*(1+E124)*(1+E125)-1</f>
        <v>7.474622394720698E-2</v>
      </c>
      <c r="I134" s="71" t="str">
        <f>+I125</f>
        <v>XLE</v>
      </c>
      <c r="J134" s="72">
        <f>(1+J122)*(1+J123)*(1+J124)*(1+J125)-1</f>
        <v>8.241915033493985E-2</v>
      </c>
      <c r="K134" s="71" t="str">
        <f>+K125</f>
        <v>XLK</v>
      </c>
      <c r="L134" s="72">
        <f>(1+L122)*(1+L123)*(1+L124)*(1+L125)-1</f>
        <v>0.1152116673512551</v>
      </c>
      <c r="Q134" s="71" t="str">
        <f>+Q125</f>
        <v>SNDK</v>
      </c>
      <c r="R134" s="72">
        <f>(1+R122)*(1+R123)*(1+R124)*(1+R125)-1</f>
        <v>3.6440795235954608</v>
      </c>
      <c r="S134" s="71" t="str">
        <f>+S125</f>
        <v>WDC</v>
      </c>
      <c r="T134" s="72">
        <f>(1+T122)*(1+T123)*(1+T124)*(1+T125)-1</f>
        <v>1.5370077968093998</v>
      </c>
      <c r="Y134" s="71" t="str">
        <f>+Y125</f>
        <v>ENR.DE</v>
      </c>
      <c r="Z134" s="72">
        <f>(1+Z122)*(1+Z123)*(1+Z124)*(1+Z125)-1</f>
        <v>0.50626718811144844</v>
      </c>
      <c r="AA134" s="71" t="str">
        <f>+AA125</f>
        <v>SLR.MC</v>
      </c>
      <c r="AB134" s="72">
        <f>(1+AB122)*(1+AB123)*(1+AB124)*(1+AB125)-1</f>
        <v>0.3392134161100604</v>
      </c>
      <c r="AH134" s="72">
        <f>(1+AH122)*(1+AH123)*(1+AH124)*(1+AH125)-1</f>
        <v>0.76489575110970232</v>
      </c>
      <c r="AT134" s="80"/>
      <c r="AU134" s="61"/>
      <c r="AV134" s="62"/>
    </row>
    <row r="135" spans="1:54" x14ac:dyDescent="0.3">
      <c r="C135" s="162">
        <v>70000</v>
      </c>
      <c r="E135" s="162">
        <f>$C135/7*(1+E134)</f>
        <v>10747.46223947207</v>
      </c>
      <c r="J135" s="162">
        <f>$C135/7*(1+J134)</f>
        <v>10824.191503349399</v>
      </c>
      <c r="L135" s="162">
        <f>$C135/7*(1+L134)</f>
        <v>11152.116673512552</v>
      </c>
      <c r="R135" s="162">
        <f>$C135/7*(1+R134)</f>
        <v>46440.795235954611</v>
      </c>
      <c r="T135" s="162">
        <f>$C135/7*(1+T134)</f>
        <v>25370.077968094</v>
      </c>
      <c r="Z135" s="162">
        <f>$C135/7*(1+Z134)</f>
        <v>15062.671881114484</v>
      </c>
      <c r="AB135" s="162">
        <f>$C135/7*(1+AB134)</f>
        <v>13392.134161100605</v>
      </c>
      <c r="AH135" s="162">
        <f>SUM(E135:AF135)</f>
        <v>132989.4496625977</v>
      </c>
      <c r="AT135" s="80"/>
      <c r="AU135" s="61"/>
      <c r="AV135" s="62"/>
    </row>
    <row r="136" spans="1:54" x14ac:dyDescent="0.3">
      <c r="C136" s="167" t="s">
        <v>651</v>
      </c>
      <c r="E136" s="72">
        <f>+E135/$AH135</f>
        <v>8.0814397433322971E-2</v>
      </c>
      <c r="J136" s="72">
        <f>+J135/$AH135</f>
        <v>8.1391354959442483E-2</v>
      </c>
      <c r="L136" s="72">
        <f>+L135/$AH135</f>
        <v>8.3857153344164881E-2</v>
      </c>
      <c r="R136" s="72">
        <f>+R135/$AH135</f>
        <v>0.34920661265820502</v>
      </c>
      <c r="T136" s="72">
        <f>+T135/$AH135</f>
        <v>0.19076759872651119</v>
      </c>
      <c r="Z136" s="72">
        <f>+Z135/$AH135</f>
        <v>0.11326215665475266</v>
      </c>
      <c r="AB136" s="72">
        <f>+AB135/$AH135</f>
        <v>0.10070072622360091</v>
      </c>
      <c r="AH136" s="76">
        <f>SUM(E136:AF136)</f>
        <v>1</v>
      </c>
      <c r="AT136" s="80"/>
      <c r="AU136" s="61"/>
      <c r="AV136" s="62"/>
    </row>
    <row r="137" spans="1:54" x14ac:dyDescent="0.3">
      <c r="C137" s="167" t="s">
        <v>652</v>
      </c>
      <c r="E137" s="72">
        <v>0.14285714285714299</v>
      </c>
      <c r="J137" s="72">
        <v>0.14285714285714299</v>
      </c>
      <c r="L137" s="72">
        <v>0.14285714285714299</v>
      </c>
      <c r="R137" s="72">
        <v>0.14285714285714299</v>
      </c>
      <c r="T137" s="72">
        <v>0.14285714285714299</v>
      </c>
      <c r="Z137" s="72">
        <v>0.14285714285714299</v>
      </c>
      <c r="AB137" s="72">
        <v>0.14285714285714299</v>
      </c>
      <c r="AH137" s="76">
        <f>SUM(E137:AF137)</f>
        <v>1.0000000000000009</v>
      </c>
      <c r="AT137" s="80"/>
      <c r="AU137" s="61"/>
      <c r="AV137" s="62"/>
    </row>
    <row r="138" spans="1:54" x14ac:dyDescent="0.3">
      <c r="E138" s="163"/>
      <c r="F138" s="163"/>
      <c r="G138" s="163"/>
      <c r="H138" s="164"/>
      <c r="J138" s="163"/>
      <c r="L138" s="163"/>
      <c r="M138" s="163"/>
      <c r="N138" s="163"/>
      <c r="O138" s="163"/>
      <c r="P138" s="164"/>
      <c r="R138" s="163"/>
      <c r="T138" s="163"/>
      <c r="U138" s="163"/>
      <c r="V138" s="163"/>
      <c r="W138" s="163"/>
      <c r="X138" s="164"/>
      <c r="Z138" s="163"/>
      <c r="AB138" s="163"/>
      <c r="AC138" s="163"/>
      <c r="AD138" s="163"/>
      <c r="AE138" s="163"/>
      <c r="AF138" s="164"/>
      <c r="AH138" s="165"/>
      <c r="AI138" s="163"/>
      <c r="AJ138" s="163"/>
      <c r="AK138" s="163"/>
      <c r="AL138" s="166"/>
      <c r="AP138" s="165"/>
      <c r="AQ138" s="163"/>
      <c r="AR138" s="163"/>
      <c r="AS138" s="164"/>
      <c r="AT138" s="80"/>
      <c r="AV138" s="80"/>
    </row>
    <row r="139" spans="1:54" x14ac:dyDescent="0.3">
      <c r="E139" s="163" t="s">
        <v>653</v>
      </c>
      <c r="F139" s="163"/>
      <c r="G139" s="163" t="s">
        <v>654</v>
      </c>
      <c r="H139" s="164"/>
      <c r="J139" s="163"/>
      <c r="L139" s="163"/>
      <c r="M139" s="163"/>
      <c r="N139" s="163"/>
      <c r="O139" s="163"/>
      <c r="P139" s="164"/>
      <c r="R139" s="163"/>
      <c r="T139" s="163"/>
      <c r="U139" s="163"/>
      <c r="V139" s="163"/>
      <c r="W139" s="163"/>
      <c r="X139" s="164"/>
      <c r="Z139" s="163"/>
      <c r="AB139" s="163"/>
      <c r="AC139" s="163"/>
      <c r="AD139" s="163"/>
      <c r="AE139" s="163"/>
      <c r="AF139" s="164"/>
      <c r="AH139" s="165"/>
      <c r="AI139" s="163"/>
      <c r="AJ139" s="163"/>
      <c r="AK139" s="163"/>
      <c r="AL139" s="166"/>
      <c r="AP139" s="165"/>
      <c r="AQ139" s="163"/>
      <c r="AR139" s="163"/>
      <c r="AS139" s="164"/>
      <c r="AT139" s="80"/>
      <c r="AV139" s="80"/>
    </row>
    <row r="140" spans="1:54" x14ac:dyDescent="0.3">
      <c r="C140" s="167" t="s">
        <v>651</v>
      </c>
      <c r="E140" s="168">
        <f>SUM(E136:L136)</f>
        <v>0.24606290573693035</v>
      </c>
      <c r="F140" s="163"/>
      <c r="G140" s="163">
        <f>SUM(R136:AB136)</f>
        <v>0.75393709426306987</v>
      </c>
      <c r="H140" s="164"/>
      <c r="J140" s="163"/>
      <c r="L140" s="163"/>
      <c r="M140" s="163"/>
      <c r="N140" s="163"/>
      <c r="O140" s="163"/>
      <c r="P140" s="164"/>
      <c r="R140" s="163"/>
      <c r="T140" s="163"/>
      <c r="U140" s="163"/>
      <c r="V140" s="163"/>
      <c r="W140" s="163"/>
      <c r="X140" s="164"/>
      <c r="Z140" s="163"/>
      <c r="AB140" s="163"/>
      <c r="AC140" s="163"/>
      <c r="AD140" s="163"/>
      <c r="AE140" s="163"/>
      <c r="AF140" s="164"/>
      <c r="AH140" s="165"/>
      <c r="AI140" s="163"/>
      <c r="AJ140" s="163"/>
      <c r="AK140" s="163"/>
      <c r="AL140" s="166"/>
      <c r="AP140" s="165"/>
      <c r="AQ140" s="163"/>
      <c r="AR140" s="163"/>
      <c r="AS140" s="164"/>
      <c r="AT140" s="80"/>
      <c r="AV140" s="80"/>
    </row>
    <row r="141" spans="1:54" x14ac:dyDescent="0.3">
      <c r="C141" s="167" t="s">
        <v>652</v>
      </c>
      <c r="E141" s="168">
        <f>SUM(E137:L137)</f>
        <v>0.42857142857142894</v>
      </c>
      <c r="F141" s="163"/>
      <c r="G141" s="163">
        <f>SUM(R137:AB137)</f>
        <v>0.57142857142857195</v>
      </c>
      <c r="H141" s="164"/>
      <c r="J141" s="163"/>
      <c r="L141" s="163"/>
      <c r="M141" s="163"/>
      <c r="N141" s="163"/>
      <c r="O141" s="163"/>
      <c r="P141" s="164"/>
      <c r="R141" s="163"/>
      <c r="T141" s="163"/>
      <c r="U141" s="163"/>
      <c r="V141" s="163"/>
      <c r="W141" s="163"/>
      <c r="X141" s="164"/>
      <c r="Z141" s="163"/>
      <c r="AB141" s="163"/>
      <c r="AC141" s="163"/>
      <c r="AD141" s="163"/>
      <c r="AE141" s="163"/>
      <c r="AF141" s="164"/>
      <c r="AH141" s="165"/>
      <c r="AI141" s="163"/>
      <c r="AJ141" s="163"/>
      <c r="AK141" s="163"/>
      <c r="AL141" s="166"/>
      <c r="AP141" s="165"/>
      <c r="AQ141" s="163"/>
      <c r="AR141" s="163"/>
      <c r="AS141" s="164"/>
      <c r="AT141" s="80"/>
      <c r="AV141" s="80"/>
    </row>
    <row r="142" spans="1:54" x14ac:dyDescent="0.3">
      <c r="E142" s="163"/>
      <c r="F142" s="163"/>
      <c r="G142" s="163"/>
      <c r="H142" s="164"/>
      <c r="J142" s="163"/>
      <c r="L142" s="163"/>
      <c r="M142" s="163"/>
      <c r="N142" s="163"/>
      <c r="O142" s="163"/>
      <c r="P142" s="164"/>
      <c r="R142" s="163"/>
      <c r="T142" s="163"/>
      <c r="U142" s="163"/>
      <c r="V142" s="163"/>
      <c r="W142" s="163"/>
      <c r="X142" s="164"/>
      <c r="Z142" s="163"/>
      <c r="AB142" s="163"/>
      <c r="AC142" s="163"/>
      <c r="AD142" s="163"/>
      <c r="AE142" s="163"/>
      <c r="AF142" s="164"/>
      <c r="AH142" s="165"/>
      <c r="AI142" s="163"/>
      <c r="AJ142" s="163"/>
      <c r="AK142" s="163"/>
      <c r="AL142" s="166"/>
      <c r="AP142" s="165"/>
      <c r="AQ142" s="163"/>
      <c r="AR142" s="163"/>
      <c r="AS142" s="164"/>
      <c r="AT142" s="80"/>
      <c r="AV142" s="80"/>
    </row>
    <row r="143" spans="1:54" x14ac:dyDescent="0.3">
      <c r="E143" s="163"/>
      <c r="F143" s="163"/>
      <c r="G143" s="163"/>
      <c r="H143" s="164"/>
      <c r="J143" s="163"/>
      <c r="L143" s="163"/>
      <c r="M143" s="163"/>
      <c r="N143" s="163"/>
      <c r="O143" s="163"/>
      <c r="P143" s="164"/>
      <c r="R143" s="163"/>
      <c r="T143" s="163"/>
      <c r="U143" s="163"/>
      <c r="V143" s="163"/>
      <c r="W143" s="163"/>
      <c r="X143" s="164"/>
      <c r="Z143" s="163"/>
      <c r="AB143" s="163"/>
      <c r="AC143" s="163"/>
      <c r="AD143" s="163"/>
      <c r="AE143" s="163"/>
      <c r="AF143" s="164"/>
      <c r="AH143" s="165"/>
      <c r="AI143" s="163"/>
      <c r="AJ143" s="163"/>
      <c r="AK143" s="163"/>
      <c r="AL143" s="166"/>
      <c r="AP143" s="165"/>
      <c r="AQ143" s="163"/>
      <c r="AR143" s="163"/>
      <c r="AS143" s="164"/>
      <c r="AT143" s="80"/>
      <c r="AV143" s="80"/>
    </row>
    <row r="144" spans="1:54" s="78" customFormat="1" x14ac:dyDescent="0.3">
      <c r="B144" s="82"/>
      <c r="C144" s="83" t="s">
        <v>83</v>
      </c>
      <c r="D144" s="84"/>
      <c r="E144" s="85">
        <f>COUNTA(E2:E130)/12</f>
        <v>10.75</v>
      </c>
      <c r="F144" s="86" t="s">
        <v>83</v>
      </c>
      <c r="G144" s="87"/>
      <c r="H144" s="88"/>
      <c r="I144" s="84"/>
      <c r="J144" s="82"/>
      <c r="K144" s="89"/>
      <c r="L144" s="89"/>
      <c r="M144" s="85">
        <f>COUNTA(M2:M130)/12</f>
        <v>10.75</v>
      </c>
      <c r="N144" s="86" t="s">
        <v>83</v>
      </c>
      <c r="O144" s="87"/>
      <c r="P144" s="88"/>
      <c r="Q144" s="90"/>
      <c r="R144" s="82"/>
      <c r="S144" s="91"/>
      <c r="T144" s="89"/>
      <c r="U144" s="85">
        <f>COUNTA(U2:U130)/12</f>
        <v>10.75</v>
      </c>
      <c r="V144" s="86" t="s">
        <v>83</v>
      </c>
      <c r="W144" s="87"/>
      <c r="X144" s="88"/>
      <c r="Y144" s="90"/>
      <c r="Z144" s="82"/>
      <c r="AA144" s="91"/>
      <c r="AB144" s="89"/>
      <c r="AC144" s="85">
        <f>COUNTA(AC2:AC130)/12</f>
        <v>10.75</v>
      </c>
      <c r="AD144" s="86" t="s">
        <v>83</v>
      </c>
      <c r="AE144" s="87"/>
      <c r="AF144" s="88"/>
      <c r="AG144" s="82"/>
      <c r="AH144" s="92">
        <f>COUNTA(AH2:AH130)/12</f>
        <v>10.75</v>
      </c>
      <c r="AI144" s="86" t="s">
        <v>83</v>
      </c>
      <c r="AJ144" s="87"/>
      <c r="AK144" s="87"/>
      <c r="AL144" s="77"/>
      <c r="AN144" s="93"/>
      <c r="AO144" s="94"/>
      <c r="AP144" s="92">
        <f>COUNTA(AP2:AP130)/12</f>
        <v>10.666666666666666</v>
      </c>
      <c r="AQ144" s="86" t="s">
        <v>83</v>
      </c>
      <c r="AR144" s="87"/>
      <c r="AS144" s="88"/>
      <c r="AT144" s="95"/>
    </row>
    <row r="145" spans="2:46" s="78" customFormat="1" x14ac:dyDescent="0.3">
      <c r="B145" s="96"/>
      <c r="C145" s="83" t="s">
        <v>15</v>
      </c>
      <c r="D145" s="84"/>
      <c r="E145" s="97">
        <f>G130^(1/E144)-1</f>
        <v>0.11512904027914006</v>
      </c>
      <c r="F145" s="86" t="s">
        <v>15</v>
      </c>
      <c r="G145" s="87"/>
      <c r="H145" s="88"/>
      <c r="I145" s="84"/>
      <c r="J145" s="82"/>
      <c r="K145" s="98"/>
      <c r="L145" s="98"/>
      <c r="M145" s="97">
        <f>O130^(1/M144)-1</f>
        <v>0.13900432699334586</v>
      </c>
      <c r="N145" s="86" t="s">
        <v>15</v>
      </c>
      <c r="O145" s="87"/>
      <c r="P145" s="88"/>
      <c r="Q145" s="90"/>
      <c r="R145" s="82"/>
      <c r="S145" s="99"/>
      <c r="T145" s="98"/>
      <c r="U145" s="97">
        <f>W130^(1/U144)-1</f>
        <v>0.71689704165275603</v>
      </c>
      <c r="V145" s="86" t="s">
        <v>15</v>
      </c>
      <c r="W145" s="87"/>
      <c r="X145" s="88"/>
      <c r="Y145" s="90"/>
      <c r="Z145" s="82"/>
      <c r="AA145" s="99"/>
      <c r="AB145" s="98"/>
      <c r="AC145" s="97">
        <f>AE130^(1/AC144)-1</f>
        <v>0.38705547911806892</v>
      </c>
      <c r="AD145" s="86" t="s">
        <v>15</v>
      </c>
      <c r="AE145" s="87"/>
      <c r="AF145" s="88"/>
      <c r="AG145" s="82"/>
      <c r="AH145" s="100">
        <f>AJ130^(1/AH144)-1</f>
        <v>0.40229968172732877</v>
      </c>
      <c r="AI145" s="86" t="s">
        <v>15</v>
      </c>
      <c r="AJ145" s="87"/>
      <c r="AK145" s="87"/>
      <c r="AL145" s="77"/>
      <c r="AN145" s="101"/>
      <c r="AO145" s="102"/>
      <c r="AP145" s="100">
        <f>AR130^(1/AP144)-1</f>
        <v>0.10651538042042596</v>
      </c>
      <c r="AQ145" s="86" t="s">
        <v>15</v>
      </c>
      <c r="AR145" s="87"/>
      <c r="AS145" s="88"/>
      <c r="AT145" s="95"/>
    </row>
    <row r="146" spans="2:46" s="78" customFormat="1" x14ac:dyDescent="0.3">
      <c r="B146" s="82"/>
      <c r="C146" s="83" t="s">
        <v>16</v>
      </c>
      <c r="D146" s="84"/>
      <c r="E146" s="97">
        <f>_xlfn.STDEV.S(E2:E130)*SQRT(12)</f>
        <v>0.16021591168656793</v>
      </c>
      <c r="F146" s="86" t="s">
        <v>16</v>
      </c>
      <c r="G146" s="87"/>
      <c r="H146" s="88"/>
      <c r="I146" s="84"/>
      <c r="J146" s="82"/>
      <c r="K146" s="98"/>
      <c r="L146" s="98"/>
      <c r="M146" s="97">
        <f>_xlfn.STDEV.S(M2:M130)*SQRT(12)</f>
        <v>0.15145089259230471</v>
      </c>
      <c r="N146" s="86" t="s">
        <v>16</v>
      </c>
      <c r="O146" s="87"/>
      <c r="P146" s="88"/>
      <c r="Q146" s="90"/>
      <c r="R146" s="82"/>
      <c r="S146" s="99"/>
      <c r="T146" s="98"/>
      <c r="U146" s="97">
        <f>_xlfn.STDEV.S(U2:U130)*SQRT(12)</f>
        <v>0.55484756483514319</v>
      </c>
      <c r="V146" s="86" t="s">
        <v>16</v>
      </c>
      <c r="W146" s="87"/>
      <c r="X146" s="88"/>
      <c r="Y146" s="90"/>
      <c r="Z146" s="82"/>
      <c r="AA146" s="99"/>
      <c r="AB146" s="98"/>
      <c r="AC146" s="97">
        <f>_xlfn.STDEV.S(AC2:AC130)*SQRT(12)</f>
        <v>0.31725700949909375</v>
      </c>
      <c r="AD146" s="86" t="s">
        <v>16</v>
      </c>
      <c r="AE146" s="87"/>
      <c r="AF146" s="88"/>
      <c r="AG146" s="82"/>
      <c r="AH146" s="100">
        <f>_xlfn.STDEV.S(AH2:AH130)*SQRT(12)</f>
        <v>0.24075920488506547</v>
      </c>
      <c r="AI146" s="86" t="s">
        <v>16</v>
      </c>
      <c r="AJ146" s="87"/>
      <c r="AK146" s="87"/>
      <c r="AL146" s="77"/>
      <c r="AN146" s="101"/>
      <c r="AO146" s="102"/>
      <c r="AP146" s="100">
        <f>_xlfn.STDEV.S(AP2:AP130)*SQRT(12)</f>
        <v>0.14993573910997207</v>
      </c>
      <c r="AQ146" s="86" t="s">
        <v>16</v>
      </c>
      <c r="AR146" s="87"/>
      <c r="AS146" s="88"/>
      <c r="AT146" s="95"/>
    </row>
    <row r="147" spans="2:46" s="78" customFormat="1" x14ac:dyDescent="0.3">
      <c r="B147" s="82"/>
      <c r="C147" s="83" t="s">
        <v>17</v>
      </c>
      <c r="D147" s="84"/>
      <c r="E147" s="103">
        <f>AVERAGE(E2:E130)/_xlfn.STDEV.S(E2:E130)*SQRT(12)</f>
        <v>0.91997946574470257</v>
      </c>
      <c r="F147" s="86" t="s">
        <v>17</v>
      </c>
      <c r="G147" s="87"/>
      <c r="H147" s="88"/>
      <c r="I147" s="84"/>
      <c r="J147" s="82"/>
      <c r="K147" s="104"/>
      <c r="L147" s="104"/>
      <c r="M147" s="103">
        <f>AVERAGE(M2:M130)/_xlfn.STDEV.S(M2:M130)*SQRT(12)</f>
        <v>1.0756422359472007</v>
      </c>
      <c r="N147" s="86" t="s">
        <v>17</v>
      </c>
      <c r="O147" s="87"/>
      <c r="P147" s="88"/>
      <c r="Q147" s="90"/>
      <c r="R147" s="82"/>
      <c r="S147" s="105"/>
      <c r="T147" s="104"/>
      <c r="U147" s="103">
        <f>AVERAGE(U2:U130)/_xlfn.STDEV.S(U2:U130)*SQRT(12)</f>
        <v>1.2343721329956951</v>
      </c>
      <c r="V147" s="86" t="s">
        <v>17</v>
      </c>
      <c r="W147" s="87"/>
      <c r="X147" s="88"/>
      <c r="Y147" s="90"/>
      <c r="Z147" s="82"/>
      <c r="AA147" s="105"/>
      <c r="AB147" s="104"/>
      <c r="AC147" s="103">
        <f>AVERAGE(AC2:AC130)/_xlfn.STDEV.S(AC2:AC130)*SQRT(12)</f>
        <v>1.2078681942057621</v>
      </c>
      <c r="AD147" s="86" t="s">
        <v>17</v>
      </c>
      <c r="AE147" s="87"/>
      <c r="AF147" s="88"/>
      <c r="AG147" s="82"/>
      <c r="AH147" s="106">
        <f>AVERAGE(AH2:AH130)/_xlfn.STDEV.S(AH2:AH130)*SQRT(12)</f>
        <v>1.5483136534595052</v>
      </c>
      <c r="AI147" s="86" t="s">
        <v>17</v>
      </c>
      <c r="AJ147" s="87"/>
      <c r="AK147" s="87"/>
      <c r="AL147" s="77"/>
      <c r="AN147" s="107"/>
      <c r="AO147" s="94"/>
      <c r="AP147" s="106">
        <f>AVERAGE(AP2:AP130)/_xlfn.STDEV.S(AP2:AP130)*SQRT(12)</f>
        <v>0.93718032901041481</v>
      </c>
      <c r="AQ147" s="86" t="s">
        <v>17</v>
      </c>
      <c r="AR147" s="87"/>
      <c r="AS147" s="88"/>
      <c r="AT147" s="95"/>
    </row>
    <row r="148" spans="2:46" s="78" customFormat="1" x14ac:dyDescent="0.3">
      <c r="B148" s="82"/>
      <c r="C148" s="83" t="s">
        <v>18</v>
      </c>
      <c r="D148" s="84" t="s">
        <v>150</v>
      </c>
      <c r="E148" s="108">
        <f>MIN(H2:H130)</f>
        <v>-0.21302843154877893</v>
      </c>
      <c r="F148" s="86" t="s">
        <v>18</v>
      </c>
      <c r="G148" s="87"/>
      <c r="H148" s="88"/>
      <c r="I148" s="84"/>
      <c r="J148" s="82"/>
      <c r="K148" s="82"/>
      <c r="L148" s="82"/>
      <c r="M148" s="108">
        <f>MIN(P2:P130)</f>
        <v>-0.17080085999999994</v>
      </c>
      <c r="N148" s="86" t="s">
        <v>18</v>
      </c>
      <c r="O148" s="87"/>
      <c r="P148" s="88"/>
      <c r="Q148" s="90"/>
      <c r="R148" s="82"/>
      <c r="S148" s="109"/>
      <c r="T148" s="82"/>
      <c r="U148" s="108">
        <f>MIN(X2:X130)</f>
        <v>-0.35595013789000007</v>
      </c>
      <c r="V148" s="86" t="s">
        <v>18</v>
      </c>
      <c r="W148" s="87"/>
      <c r="X148" s="88"/>
      <c r="Y148" s="90"/>
      <c r="Z148" s="82"/>
      <c r="AA148" s="109"/>
      <c r="AB148" s="82"/>
      <c r="AC148" s="108">
        <f>MIN(AF2:AF130)</f>
        <v>-0.45187250232210441</v>
      </c>
      <c r="AD148" s="86" t="s">
        <v>18</v>
      </c>
      <c r="AE148" s="87"/>
      <c r="AF148" s="88"/>
      <c r="AG148" s="82"/>
      <c r="AH148" s="110">
        <f>MIN(AK2:AK130)</f>
        <v>-0.19550226570285001</v>
      </c>
      <c r="AI148" s="86" t="s">
        <v>18</v>
      </c>
      <c r="AJ148" s="87"/>
      <c r="AK148" s="87"/>
      <c r="AL148" s="77"/>
      <c r="AN148" s="84"/>
      <c r="AO148" s="94"/>
      <c r="AP148" s="110">
        <f>MIN(AS2:AS130)</f>
        <v>-0.2476952192321733</v>
      </c>
      <c r="AQ148" s="86" t="s">
        <v>18</v>
      </c>
      <c r="AR148" s="87"/>
      <c r="AS148" s="88"/>
      <c r="AT148" s="95"/>
    </row>
  </sheetData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Right="0"/>
  </sheetPr>
  <dimension ref="A1:AK94"/>
  <sheetViews>
    <sheetView showGridLines="0" zoomScale="80" zoomScaleNormal="80" workbookViewId="0">
      <pane xSplit="3" ySplit="1" topLeftCell="D2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11.44140625" defaultRowHeight="14.4" outlineLevelRow="1" x14ac:dyDescent="0.3"/>
  <cols>
    <col min="1" max="1" width="11.44140625" style="81"/>
    <col min="2" max="2" width="10.44140625" style="69" bestFit="1" customWidth="1"/>
    <col min="3" max="3" width="10.44140625" style="70" customWidth="1"/>
    <col min="4" max="4" width="10.6640625" style="84" customWidth="1"/>
    <col min="5" max="5" width="8.44140625" style="72" bestFit="1" customWidth="1"/>
    <col min="6" max="6" width="8.44140625" style="73" customWidth="1"/>
    <col min="7" max="7" width="10.5546875" style="73" customWidth="1"/>
    <col min="8" max="8" width="8.44140625" style="74" customWidth="1"/>
    <col min="9" max="9" width="10.6640625" style="84" customWidth="1"/>
    <col min="10" max="10" width="8.44140625" style="72" bestFit="1" customWidth="1"/>
    <col min="11" max="11" width="8.44140625" style="73" customWidth="1"/>
    <col min="12" max="12" width="10.5546875" style="73" customWidth="1"/>
    <col min="13" max="13" width="8.44140625" style="74" customWidth="1"/>
    <col min="14" max="14" width="7.44140625" style="90" customWidth="1"/>
    <col min="15" max="15" width="9.6640625" style="72" customWidth="1"/>
    <col min="16" max="16" width="10.6640625" style="73" customWidth="1"/>
    <col min="17" max="17" width="10.5546875" style="73" customWidth="1"/>
    <col min="18" max="18" width="8.44140625" style="74" customWidth="1"/>
    <col min="19" max="19" width="8.33203125" style="90" customWidth="1"/>
    <col min="20" max="20" width="9.6640625" style="72" bestFit="1" customWidth="1"/>
    <col min="21" max="21" width="8.44140625" style="73" customWidth="1"/>
    <col min="22" max="22" width="10.5546875" style="73" customWidth="1"/>
    <col min="23" max="23" width="8.44140625" style="74" customWidth="1"/>
    <col min="24" max="24" width="3.5546875" style="69" customWidth="1"/>
    <col min="25" max="25" width="8.44140625" style="76" bestFit="1" customWidth="1"/>
    <col min="26" max="26" width="8.5546875" style="73" customWidth="1"/>
    <col min="27" max="27" width="10.5546875" style="73" customWidth="1"/>
    <col min="28" max="28" width="8.44140625" style="73" customWidth="1"/>
    <col min="29" max="29" width="8.6640625" style="77" bestFit="1" customWidth="1"/>
    <col min="30" max="30" width="6.33203125" style="69" customWidth="1"/>
    <col min="31" max="31" width="10.33203125" style="78" bestFit="1" customWidth="1"/>
    <col min="32" max="16384" width="11.44140625" style="81"/>
  </cols>
  <sheetData>
    <row r="1" spans="1:37" s="35" customFormat="1" ht="30" customHeight="1" thickBot="1" x14ac:dyDescent="0.35">
      <c r="A1" s="35" t="s">
        <v>665</v>
      </c>
      <c r="B1" s="36" t="s">
        <v>22</v>
      </c>
      <c r="C1" s="37" t="s">
        <v>23</v>
      </c>
      <c r="D1" s="38"/>
      <c r="E1" s="40"/>
      <c r="F1" s="41" t="s">
        <v>85</v>
      </c>
      <c r="G1" s="41" t="s">
        <v>84</v>
      </c>
      <c r="H1" s="42" t="s">
        <v>21</v>
      </c>
      <c r="I1" s="38"/>
      <c r="J1" s="40"/>
      <c r="K1" s="41" t="s">
        <v>85</v>
      </c>
      <c r="L1" s="41" t="s">
        <v>84</v>
      </c>
      <c r="M1" s="42" t="s">
        <v>21</v>
      </c>
      <c r="N1" s="38"/>
      <c r="O1" s="40"/>
      <c r="P1" s="41" t="s">
        <v>85</v>
      </c>
      <c r="Q1" s="41" t="s">
        <v>84</v>
      </c>
      <c r="R1" s="42" t="s">
        <v>21</v>
      </c>
      <c r="S1" s="38"/>
      <c r="T1" s="40"/>
      <c r="U1" s="41" t="s">
        <v>85</v>
      </c>
      <c r="V1" s="41" t="s">
        <v>84</v>
      </c>
      <c r="W1" s="42" t="s">
        <v>21</v>
      </c>
      <c r="X1" s="33"/>
      <c r="Y1" s="112" t="s">
        <v>662</v>
      </c>
      <c r="Z1" s="41" t="s">
        <v>85</v>
      </c>
      <c r="AA1" s="41" t="s">
        <v>84</v>
      </c>
      <c r="AB1" s="41" t="s">
        <v>21</v>
      </c>
      <c r="AC1" s="45" t="s">
        <v>87</v>
      </c>
      <c r="AD1" s="33"/>
      <c r="AE1" s="34"/>
    </row>
    <row r="2" spans="1:37" s="54" customFormat="1" outlineLevel="1" x14ac:dyDescent="0.3">
      <c r="A2" s="54" t="s">
        <v>663</v>
      </c>
      <c r="B2" s="48" t="str">
        <f t="shared" ref="B2:B65" si="0">YEAR(C2)&amp;"-"&amp;MONTH(C2)</f>
        <v>2020-1</v>
      </c>
      <c r="C2" s="1">
        <v>43831</v>
      </c>
      <c r="D2" s="113" t="s">
        <v>52</v>
      </c>
      <c r="E2" s="4">
        <v>4.0899999999999999E-2</v>
      </c>
      <c r="F2" s="5">
        <f>+E2</f>
        <v>4.0899999999999999E-2</v>
      </c>
      <c r="G2" s="5">
        <f>+E2</f>
        <v>4.0899999999999999E-2</v>
      </c>
      <c r="H2" s="3">
        <f>(1+G2)/(1+MAX(G$2:G2))-1</f>
        <v>0</v>
      </c>
      <c r="I2" s="113" t="s">
        <v>91</v>
      </c>
      <c r="J2" s="4">
        <v>-0.29339999999999999</v>
      </c>
      <c r="K2" s="5">
        <f>+J2</f>
        <v>-0.29339999999999999</v>
      </c>
      <c r="L2" s="5">
        <f>+J2</f>
        <v>-0.29339999999999999</v>
      </c>
      <c r="M2" s="3">
        <f>(1+L2)/(1+MAX(L$2:L2))-1</f>
        <v>0</v>
      </c>
      <c r="N2" s="114" t="s">
        <v>611</v>
      </c>
      <c r="O2" s="4">
        <v>0.14249999999999999</v>
      </c>
      <c r="P2" s="5">
        <f>+O2</f>
        <v>0.14249999999999999</v>
      </c>
      <c r="Q2" s="5">
        <f>+O2</f>
        <v>0.14249999999999999</v>
      </c>
      <c r="R2" s="3">
        <f>(1+Q2)/(1+MAX(Q$2:Q2))-1</f>
        <v>0</v>
      </c>
      <c r="S2" s="114" t="s">
        <v>95</v>
      </c>
      <c r="T2" s="4">
        <v>-1.7100000000000001E-2</v>
      </c>
      <c r="U2" s="5">
        <f>+T2</f>
        <v>-1.7100000000000001E-2</v>
      </c>
      <c r="V2" s="5">
        <f>+T2</f>
        <v>-1.7100000000000001E-2</v>
      </c>
      <c r="W2" s="3">
        <f>(1+V2)/(1+MAX(V$2:V2))-1</f>
        <v>0</v>
      </c>
      <c r="X2" s="9"/>
      <c r="Y2" s="115">
        <f t="shared" ref="Y2:Y33" si="1">AVERAGE(E2,J2,O2,T2)</f>
        <v>-3.1775000000000005E-2</v>
      </c>
      <c r="Z2" s="5">
        <f>+Y2</f>
        <v>-3.1775000000000005E-2</v>
      </c>
      <c r="AA2" s="5">
        <f>+Y2</f>
        <v>-3.1775000000000005E-2</v>
      </c>
      <c r="AB2" s="5">
        <f>(1+AA2)/(1+MAX(AA$2:AA2))-1</f>
        <v>0</v>
      </c>
      <c r="AC2" s="51">
        <f>1000*(1+Y2)</f>
        <v>968.22500000000002</v>
      </c>
      <c r="AD2" s="9"/>
      <c r="AE2" s="52"/>
    </row>
    <row r="3" spans="1:37" s="61" customFormat="1" outlineLevel="1" x14ac:dyDescent="0.3">
      <c r="A3" s="61" t="s">
        <v>663</v>
      </c>
      <c r="B3" s="55" t="str">
        <f t="shared" si="0"/>
        <v>2020-2</v>
      </c>
      <c r="C3" s="11">
        <v>43862</v>
      </c>
      <c r="D3" s="116" t="s">
        <v>52</v>
      </c>
      <c r="E3" s="14">
        <v>-2.9499999999999998E-2</v>
      </c>
      <c r="F3" s="15">
        <f t="shared" ref="F3:F13" si="2">+(1+E3)*(1+F2)-1</f>
        <v>1.0193450000000048E-2</v>
      </c>
      <c r="G3" s="15">
        <f t="shared" ref="G3:G66" si="3">+(1+E3)*(1+G2)-1</f>
        <v>1.0193450000000048E-2</v>
      </c>
      <c r="H3" s="13">
        <f>(1+G3)/(1+MAX(G$2:G3))-1</f>
        <v>-2.949999999999986E-2</v>
      </c>
      <c r="I3" s="116" t="s">
        <v>149</v>
      </c>
      <c r="J3" s="14">
        <v>-1.32E-2</v>
      </c>
      <c r="K3" s="15">
        <f t="shared" ref="K3:K13" si="4">+(1+J3)*(1+K2)-1</f>
        <v>-0.30272712000000002</v>
      </c>
      <c r="L3" s="15">
        <f t="shared" ref="L3:L66" si="5">+(1+J3)*(1+L2)-1</f>
        <v>-0.30272712000000002</v>
      </c>
      <c r="M3" s="13">
        <f>(1+L3)/(1+MAX(L$2:L3))-1</f>
        <v>-1.319999999999999E-2</v>
      </c>
      <c r="N3" s="117" t="s">
        <v>91</v>
      </c>
      <c r="O3" s="14">
        <v>-1.2800000000000001E-2</v>
      </c>
      <c r="P3" s="15">
        <f t="shared" ref="P3:P13" si="6">+(1+O3)*(1+P2)-1</f>
        <v>0.1278760000000001</v>
      </c>
      <c r="Q3" s="15">
        <f t="shared" ref="Q3:Q66" si="7">+(1+O3)*(1+Q2)-1</f>
        <v>0.1278760000000001</v>
      </c>
      <c r="R3" s="13">
        <f>(1+Q3)/(1+MAX(Q$2:Q3))-1</f>
        <v>-1.2799999999999923E-2</v>
      </c>
      <c r="S3" s="117" t="s">
        <v>611</v>
      </c>
      <c r="T3" s="14">
        <v>-1.1000000000000001E-3</v>
      </c>
      <c r="U3" s="15">
        <f t="shared" ref="U3:U13" si="8">+(1+T3)*(1+U2)-1</f>
        <v>-1.8181189999999958E-2</v>
      </c>
      <c r="V3" s="15">
        <f t="shared" ref="V3:V66" si="9">+(1+T3)*(1+V2)-1</f>
        <v>-1.8181189999999958E-2</v>
      </c>
      <c r="W3" s="13">
        <f>(1+V3)/(1+MAX(V$2:V3))-1</f>
        <v>-1.0999999999999899E-3</v>
      </c>
      <c r="X3" s="19"/>
      <c r="Y3" s="115">
        <f t="shared" si="1"/>
        <v>-1.4149999999999999E-2</v>
      </c>
      <c r="Z3" s="15">
        <f t="shared" ref="Z3:Z13" si="10">+(1+Y3)*(1+Z2)-1</f>
        <v>-4.5475383750000042E-2</v>
      </c>
      <c r="AA3" s="15">
        <f t="shared" ref="AA3:AA66" si="11">+(1+Y3)*(1+AA2)-1</f>
        <v>-4.5475383750000042E-2</v>
      </c>
      <c r="AB3" s="15">
        <f>(1+AA3)/(1+MAX(AA$2:AA3))-1</f>
        <v>-1.4149999999999996E-2</v>
      </c>
      <c r="AC3" s="58">
        <f>AC2*(1+Y3)</f>
        <v>954.52461625000001</v>
      </c>
      <c r="AD3" s="19"/>
      <c r="AE3" s="59"/>
    </row>
    <row r="4" spans="1:37" s="61" customFormat="1" outlineLevel="1" x14ac:dyDescent="0.3">
      <c r="A4" s="61" t="s">
        <v>663</v>
      </c>
      <c r="B4" s="55" t="str">
        <f t="shared" si="0"/>
        <v>2020-3</v>
      </c>
      <c r="C4" s="11">
        <v>43891</v>
      </c>
      <c r="D4" s="116" t="s">
        <v>52</v>
      </c>
      <c r="E4" s="14">
        <v>-3.0000000000000001E-3</v>
      </c>
      <c r="F4" s="15">
        <f t="shared" si="2"/>
        <v>7.1628696500001254E-3</v>
      </c>
      <c r="G4" s="15">
        <f t="shared" si="3"/>
        <v>7.1628696500001254E-3</v>
      </c>
      <c r="H4" s="13">
        <f>(1+G4)/(1+MAX(G$2:G4))-1</f>
        <v>-3.2411499999999815E-2</v>
      </c>
      <c r="I4" s="116" t="s">
        <v>149</v>
      </c>
      <c r="J4" s="14">
        <v>-0.1797</v>
      </c>
      <c r="K4" s="15">
        <f t="shared" si="4"/>
        <v>-0.42802705653600004</v>
      </c>
      <c r="L4" s="15">
        <f t="shared" si="5"/>
        <v>-0.42802705653600004</v>
      </c>
      <c r="M4" s="13">
        <f>(1+L4)/(1+MAX(L$2:L4))-1</f>
        <v>-0.19052796000000005</v>
      </c>
      <c r="N4" s="117" t="s">
        <v>91</v>
      </c>
      <c r="O4" s="14">
        <v>-0.12959999999999999</v>
      </c>
      <c r="P4" s="15">
        <f t="shared" si="6"/>
        <v>-1.8296729599999839E-2</v>
      </c>
      <c r="Q4" s="15">
        <f t="shared" si="7"/>
        <v>-1.8296729599999839E-2</v>
      </c>
      <c r="R4" s="13">
        <f>(1+Q4)/(1+MAX(Q$2:Q4))-1</f>
        <v>-0.14074111999999994</v>
      </c>
      <c r="S4" s="117" t="s">
        <v>611</v>
      </c>
      <c r="T4" s="14">
        <v>-1.9599999999999999E-2</v>
      </c>
      <c r="U4" s="15">
        <f t="shared" si="8"/>
        <v>-3.7424838675999883E-2</v>
      </c>
      <c r="V4" s="15">
        <f t="shared" si="9"/>
        <v>-3.7424838675999883E-2</v>
      </c>
      <c r="W4" s="13">
        <f>(1+V4)/(1+MAX(V$2:V4))-1</f>
        <v>-2.0678439999999854E-2</v>
      </c>
      <c r="X4" s="19"/>
      <c r="Y4" s="115">
        <f t="shared" si="1"/>
        <v>-8.2975000000000007E-2</v>
      </c>
      <c r="Z4" s="15">
        <f t="shared" si="10"/>
        <v>-0.12467706378334376</v>
      </c>
      <c r="AA4" s="15">
        <f t="shared" si="11"/>
        <v>-0.12467706378334376</v>
      </c>
      <c r="AB4" s="15">
        <f>(1+AA4)/(1+MAX(AA$2:AA4))-1</f>
        <v>-9.5950903750000038E-2</v>
      </c>
      <c r="AC4" s="58">
        <f t="shared" ref="AC4:AC67" si="12">AC3*(1+Y4)</f>
        <v>875.32293621665622</v>
      </c>
      <c r="AD4" s="19"/>
      <c r="AE4" s="59"/>
    </row>
    <row r="5" spans="1:37" s="61" customFormat="1" outlineLevel="1" x14ac:dyDescent="0.3">
      <c r="A5" s="61" t="s">
        <v>663</v>
      </c>
      <c r="B5" s="55" t="str">
        <f t="shared" si="0"/>
        <v>2020-4</v>
      </c>
      <c r="C5" s="11">
        <v>43922</v>
      </c>
      <c r="D5" s="116" t="s">
        <v>52</v>
      </c>
      <c r="E5" s="14">
        <v>0.16819999999999999</v>
      </c>
      <c r="F5" s="15">
        <f t="shared" si="2"/>
        <v>0.17656766432513016</v>
      </c>
      <c r="G5" s="15">
        <f t="shared" si="3"/>
        <v>0.17656766432513016</v>
      </c>
      <c r="H5" s="13">
        <f>(1+G5)/(1+MAX(G$2:G5))-1</f>
        <v>0</v>
      </c>
      <c r="I5" s="116" t="s">
        <v>42</v>
      </c>
      <c r="J5" s="14">
        <v>0.1244</v>
      </c>
      <c r="K5" s="15">
        <f t="shared" si="4"/>
        <v>-0.35687362236907838</v>
      </c>
      <c r="L5" s="15">
        <f t="shared" si="5"/>
        <v>-0.35687362236907838</v>
      </c>
      <c r="M5" s="13">
        <f>(1+L5)/(1+MAX(L$2:L5))-1</f>
        <v>-8.982963822400003E-2</v>
      </c>
      <c r="N5" s="117" t="s">
        <v>91</v>
      </c>
      <c r="O5" s="14">
        <v>0.32750000000000001</v>
      </c>
      <c r="P5" s="15">
        <f t="shared" si="6"/>
        <v>0.30321109145600023</v>
      </c>
      <c r="Q5" s="15">
        <f t="shared" si="7"/>
        <v>0.30321109145600023</v>
      </c>
      <c r="R5" s="13">
        <f>(1+Q5)/(1+MAX(Q$2:Q5))-1</f>
        <v>0</v>
      </c>
      <c r="S5" s="117" t="s">
        <v>611</v>
      </c>
      <c r="T5" s="14">
        <v>0.27200000000000002</v>
      </c>
      <c r="U5" s="15">
        <f t="shared" si="8"/>
        <v>0.22439560520412827</v>
      </c>
      <c r="V5" s="15">
        <f t="shared" si="9"/>
        <v>0.22439560520412827</v>
      </c>
      <c r="W5" s="13">
        <f>(1+V5)/(1+MAX(V$2:V5))-1</f>
        <v>0</v>
      </c>
      <c r="X5" s="19"/>
      <c r="Y5" s="115">
        <f t="shared" si="1"/>
        <v>0.223025</v>
      </c>
      <c r="Z5" s="15">
        <f t="shared" si="10"/>
        <v>7.054183406637593E-2</v>
      </c>
      <c r="AA5" s="15">
        <f t="shared" si="11"/>
        <v>7.054183406637593E-2</v>
      </c>
      <c r="AB5" s="15">
        <f>(1+AA5)/(1+MAX(AA$2:AA5))-1</f>
        <v>0</v>
      </c>
      <c r="AC5" s="58">
        <f t="shared" si="12"/>
        <v>1070.5418340663759</v>
      </c>
      <c r="AD5" s="19"/>
      <c r="AE5" s="59"/>
    </row>
    <row r="6" spans="1:37" s="61" customFormat="1" outlineLevel="1" x14ac:dyDescent="0.3">
      <c r="A6" s="61" t="s">
        <v>663</v>
      </c>
      <c r="B6" s="55" t="str">
        <f t="shared" si="0"/>
        <v>2020-5</v>
      </c>
      <c r="C6" s="11">
        <v>43952</v>
      </c>
      <c r="D6" s="116" t="s">
        <v>52</v>
      </c>
      <c r="E6" s="14">
        <v>8.2000000000000007E-3</v>
      </c>
      <c r="F6" s="15">
        <f t="shared" si="2"/>
        <v>0.18621551917259627</v>
      </c>
      <c r="G6" s="15">
        <f t="shared" si="3"/>
        <v>0.18621551917259627</v>
      </c>
      <c r="H6" s="13">
        <f>(1+G6)/(1+MAX(G$2:G6))-1</f>
        <v>0</v>
      </c>
      <c r="I6" s="116" t="s">
        <v>42</v>
      </c>
      <c r="J6" s="14">
        <v>0.1925</v>
      </c>
      <c r="K6" s="15">
        <f t="shared" si="4"/>
        <v>-0.23307179467512606</v>
      </c>
      <c r="L6" s="15">
        <f t="shared" si="5"/>
        <v>-0.23307179467512606</v>
      </c>
      <c r="M6" s="13">
        <f>(1+L6)/(1+MAX(L$2:L6))-1</f>
        <v>0</v>
      </c>
      <c r="N6" s="117" t="s">
        <v>91</v>
      </c>
      <c r="O6" s="14">
        <v>0.309</v>
      </c>
      <c r="P6" s="15">
        <f t="shared" si="6"/>
        <v>0.70590331871590428</v>
      </c>
      <c r="Q6" s="15">
        <f t="shared" si="7"/>
        <v>0.70590331871590428</v>
      </c>
      <c r="R6" s="13">
        <f>(1+Q6)/(1+MAX(Q$2:Q6))-1</f>
        <v>0</v>
      </c>
      <c r="S6" s="117" t="s">
        <v>611</v>
      </c>
      <c r="T6" s="14">
        <v>0.40960000000000002</v>
      </c>
      <c r="U6" s="15">
        <f t="shared" si="8"/>
        <v>0.72590804509573914</v>
      </c>
      <c r="V6" s="15">
        <f t="shared" si="9"/>
        <v>0.72590804509573914</v>
      </c>
      <c r="W6" s="13">
        <f>(1+V6)/(1+MAX(V$2:V6))-1</f>
        <v>0</v>
      </c>
      <c r="X6" s="19"/>
      <c r="Y6" s="115">
        <f t="shared" si="1"/>
        <v>0.229825</v>
      </c>
      <c r="Z6" s="15">
        <f t="shared" si="10"/>
        <v>0.31657911108068082</v>
      </c>
      <c r="AA6" s="15">
        <f t="shared" si="11"/>
        <v>0.31657911108068082</v>
      </c>
      <c r="AB6" s="15">
        <f>(1+AA6)/(1+MAX(AA$2:AA6))-1</f>
        <v>0</v>
      </c>
      <c r="AC6" s="58">
        <f t="shared" si="12"/>
        <v>1316.5791110806808</v>
      </c>
      <c r="AD6" s="19"/>
      <c r="AE6" s="59"/>
      <c r="AH6" s="62"/>
      <c r="AI6" s="62"/>
      <c r="AJ6" s="62"/>
      <c r="AK6" s="62"/>
    </row>
    <row r="7" spans="1:37" s="61" customFormat="1" outlineLevel="1" x14ac:dyDescent="0.3">
      <c r="A7" s="61" t="s">
        <v>663</v>
      </c>
      <c r="B7" s="55" t="str">
        <f t="shared" si="0"/>
        <v>2020-6</v>
      </c>
      <c r="C7" s="11">
        <v>43983</v>
      </c>
      <c r="D7" s="116" t="s">
        <v>52</v>
      </c>
      <c r="E7" s="14">
        <v>-3.6700000000000003E-2</v>
      </c>
      <c r="F7" s="15">
        <f t="shared" si="2"/>
        <v>0.14268140961896214</v>
      </c>
      <c r="G7" s="15">
        <f t="shared" si="3"/>
        <v>0.14268140961896214</v>
      </c>
      <c r="H7" s="13">
        <f>(1+G7)/(1+MAX(G$2:G7))-1</f>
        <v>-3.6699999999999844E-2</v>
      </c>
      <c r="I7" s="116" t="s">
        <v>42</v>
      </c>
      <c r="J7" s="14">
        <v>5.4600000000000003E-2</v>
      </c>
      <c r="K7" s="15">
        <f t="shared" si="4"/>
        <v>-0.19119751466438795</v>
      </c>
      <c r="L7" s="15">
        <f t="shared" si="5"/>
        <v>-0.19119751466438795</v>
      </c>
      <c r="M7" s="13">
        <f>(1+L7)/(1+MAX(L$2:L7))-1</f>
        <v>0</v>
      </c>
      <c r="N7" s="117" t="s">
        <v>91</v>
      </c>
      <c r="O7" s="14">
        <v>-9.7000000000000003E-2</v>
      </c>
      <c r="P7" s="15">
        <f t="shared" si="6"/>
        <v>0.54043069680046152</v>
      </c>
      <c r="Q7" s="15">
        <f t="shared" si="7"/>
        <v>0.54043069680046152</v>
      </c>
      <c r="R7" s="13">
        <f>(1+Q7)/(1+MAX(Q$2:Q7))-1</f>
        <v>-9.6999999999999975E-2</v>
      </c>
      <c r="S7" s="117" t="s">
        <v>611</v>
      </c>
      <c r="T7" s="14">
        <v>0.32379999999999998</v>
      </c>
      <c r="U7" s="15">
        <f t="shared" si="8"/>
        <v>1.2847570700977391</v>
      </c>
      <c r="V7" s="15">
        <f t="shared" si="9"/>
        <v>1.2847570700977391</v>
      </c>
      <c r="W7" s="13">
        <f>(1+V7)/(1+MAX(V$2:V7))-1</f>
        <v>0</v>
      </c>
      <c r="X7" s="19"/>
      <c r="Y7" s="115">
        <f t="shared" si="1"/>
        <v>6.1174999999999993E-2</v>
      </c>
      <c r="Z7" s="15">
        <f t="shared" si="10"/>
        <v>0.39712083820104138</v>
      </c>
      <c r="AA7" s="15">
        <f t="shared" si="11"/>
        <v>0.39712083820104138</v>
      </c>
      <c r="AB7" s="15">
        <f>(1+AA7)/(1+MAX(AA$2:AA7))-1</f>
        <v>0</v>
      </c>
      <c r="AC7" s="58">
        <f t="shared" si="12"/>
        <v>1397.1208382010414</v>
      </c>
      <c r="AD7" s="19"/>
      <c r="AE7" s="59"/>
      <c r="AH7" s="62"/>
      <c r="AI7" s="62"/>
      <c r="AJ7" s="62"/>
      <c r="AK7" s="62"/>
    </row>
    <row r="8" spans="1:37" s="61" customFormat="1" outlineLevel="1" x14ac:dyDescent="0.3">
      <c r="A8" s="61" t="s">
        <v>663</v>
      </c>
      <c r="B8" s="55" t="str">
        <f t="shared" si="0"/>
        <v>2020-7</v>
      </c>
      <c r="C8" s="11">
        <v>44013</v>
      </c>
      <c r="D8" s="116" t="s">
        <v>52</v>
      </c>
      <c r="E8" s="14">
        <v>0.39429999999999998</v>
      </c>
      <c r="F8" s="15">
        <f t="shared" si="2"/>
        <v>0.59324068943171882</v>
      </c>
      <c r="G8" s="15">
        <f t="shared" si="3"/>
        <v>0.59324068943171882</v>
      </c>
      <c r="H8" s="13">
        <f>(1+G8)/(1+MAX(G$2:G8))-1</f>
        <v>0</v>
      </c>
      <c r="I8" s="116" t="s">
        <v>42</v>
      </c>
      <c r="J8" s="14">
        <v>5.8799999999999998E-2</v>
      </c>
      <c r="K8" s="15">
        <f t="shared" si="4"/>
        <v>-0.14363992852665397</v>
      </c>
      <c r="L8" s="15">
        <f t="shared" si="5"/>
        <v>-0.14363992852665397</v>
      </c>
      <c r="M8" s="13">
        <f>(1+L8)/(1+MAX(L$2:L8))-1</f>
        <v>0</v>
      </c>
      <c r="N8" s="117" t="s">
        <v>91</v>
      </c>
      <c r="O8" s="14">
        <v>3.3500000000000002E-2</v>
      </c>
      <c r="P8" s="15">
        <f t="shared" si="6"/>
        <v>0.59203512514327716</v>
      </c>
      <c r="Q8" s="15">
        <f t="shared" si="7"/>
        <v>0.59203512514327716</v>
      </c>
      <c r="R8" s="13">
        <f>(1+Q8)/(1+MAX(Q$2:Q8))-1</f>
        <v>-6.6749499999999906E-2</v>
      </c>
      <c r="S8" s="117" t="s">
        <v>611</v>
      </c>
      <c r="T8" s="14">
        <v>7.9500000000000001E-2</v>
      </c>
      <c r="U8" s="15">
        <f t="shared" si="8"/>
        <v>1.4663952571705092</v>
      </c>
      <c r="V8" s="15">
        <f t="shared" si="9"/>
        <v>1.4663952571705092</v>
      </c>
      <c r="W8" s="13">
        <f>(1+V8)/(1+MAX(V$2:V8))-1</f>
        <v>0</v>
      </c>
      <c r="X8" s="19"/>
      <c r="Y8" s="115">
        <f t="shared" si="1"/>
        <v>0.14152500000000001</v>
      </c>
      <c r="Z8" s="15">
        <f t="shared" si="10"/>
        <v>0.59484836482744385</v>
      </c>
      <c r="AA8" s="15">
        <f t="shared" si="11"/>
        <v>0.59484836482744385</v>
      </c>
      <c r="AB8" s="15">
        <f>(1+AA8)/(1+MAX(AA$2:AA8))-1</f>
        <v>0</v>
      </c>
      <c r="AC8" s="58">
        <f t="shared" si="12"/>
        <v>1594.8483648274439</v>
      </c>
      <c r="AD8" s="19"/>
      <c r="AE8" s="59"/>
      <c r="AH8" s="62"/>
      <c r="AI8" s="62"/>
      <c r="AJ8" s="62"/>
      <c r="AK8" s="62"/>
    </row>
    <row r="9" spans="1:37" s="61" customFormat="1" outlineLevel="1" x14ac:dyDescent="0.3">
      <c r="A9" s="61" t="s">
        <v>663</v>
      </c>
      <c r="B9" s="55" t="str">
        <f t="shared" si="0"/>
        <v>2020-8</v>
      </c>
      <c r="C9" s="11">
        <v>44044</v>
      </c>
      <c r="D9" s="116" t="s">
        <v>52</v>
      </c>
      <c r="E9" s="14">
        <v>0.16839999999999999</v>
      </c>
      <c r="F9" s="15">
        <f t="shared" si="2"/>
        <v>0.86154242153202043</v>
      </c>
      <c r="G9" s="15">
        <f t="shared" si="3"/>
        <v>0.86154242153202043</v>
      </c>
      <c r="H9" s="13">
        <f>(1+G9)/(1+MAX(G$2:G9))-1</f>
        <v>0</v>
      </c>
      <c r="I9" s="116" t="s">
        <v>42</v>
      </c>
      <c r="J9" s="14">
        <v>0.25509999999999999</v>
      </c>
      <c r="K9" s="15">
        <f t="shared" si="4"/>
        <v>7.4817525706196708E-2</v>
      </c>
      <c r="L9" s="15">
        <f t="shared" si="5"/>
        <v>7.4817525706196708E-2</v>
      </c>
      <c r="M9" s="13">
        <f>(1+L9)/(1+MAX(L$2:L9))-1</f>
        <v>0</v>
      </c>
      <c r="N9" s="117" t="s">
        <v>91</v>
      </c>
      <c r="O9" s="14">
        <v>-0.27360000000000001</v>
      </c>
      <c r="P9" s="15">
        <f t="shared" si="6"/>
        <v>0.15645431490407646</v>
      </c>
      <c r="Q9" s="15">
        <f t="shared" si="7"/>
        <v>0.15645431490407646</v>
      </c>
      <c r="R9" s="13">
        <f>(1+Q9)/(1+MAX(Q$2:Q9))-1</f>
        <v>-0.32208683679999994</v>
      </c>
      <c r="S9" s="117" t="s">
        <v>611</v>
      </c>
      <c r="T9" s="14">
        <v>0.2457</v>
      </c>
      <c r="U9" s="15">
        <f t="shared" si="8"/>
        <v>2.0723885718573034</v>
      </c>
      <c r="V9" s="15">
        <f t="shared" si="9"/>
        <v>2.0723885718573034</v>
      </c>
      <c r="W9" s="13">
        <f>(1+V9)/(1+MAX(V$2:V9))-1</f>
        <v>0</v>
      </c>
      <c r="X9" s="19"/>
      <c r="Y9" s="115">
        <f t="shared" si="1"/>
        <v>9.8899999999999988E-2</v>
      </c>
      <c r="Z9" s="15">
        <f t="shared" si="10"/>
        <v>0.75257886810887809</v>
      </c>
      <c r="AA9" s="15">
        <f t="shared" si="11"/>
        <v>0.75257886810887809</v>
      </c>
      <c r="AB9" s="15">
        <f>(1+AA9)/(1+MAX(AA$2:AA9))-1</f>
        <v>0</v>
      </c>
      <c r="AC9" s="58">
        <f t="shared" si="12"/>
        <v>1752.5788681088782</v>
      </c>
      <c r="AD9" s="19"/>
      <c r="AE9" s="59"/>
      <c r="AH9" s="62"/>
      <c r="AI9" s="62"/>
      <c r="AJ9" s="62"/>
      <c r="AK9" s="62"/>
    </row>
    <row r="10" spans="1:37" s="61" customFormat="1" outlineLevel="1" x14ac:dyDescent="0.3">
      <c r="A10" s="61" t="s">
        <v>663</v>
      </c>
      <c r="B10" s="55" t="str">
        <f t="shared" si="0"/>
        <v>2020-9</v>
      </c>
      <c r="C10" s="11">
        <v>44075</v>
      </c>
      <c r="D10" s="116" t="s">
        <v>52</v>
      </c>
      <c r="E10" s="14">
        <v>-8.3699999999999997E-2</v>
      </c>
      <c r="F10" s="15">
        <f t="shared" si="2"/>
        <v>0.7057313208497904</v>
      </c>
      <c r="G10" s="15">
        <f t="shared" si="3"/>
        <v>0.7057313208497904</v>
      </c>
      <c r="H10" s="13">
        <f>(1+G10)/(1+MAX(G$2:G10))-1</f>
        <v>-8.3699999999999997E-2</v>
      </c>
      <c r="I10" s="116" t="s">
        <v>42</v>
      </c>
      <c r="J10" s="14">
        <v>2.7199999999999998E-2</v>
      </c>
      <c r="K10" s="15">
        <f t="shared" si="4"/>
        <v>0.10405256240540517</v>
      </c>
      <c r="L10" s="15">
        <f t="shared" si="5"/>
        <v>0.10405256240540517</v>
      </c>
      <c r="M10" s="13">
        <f>(1+L10)/(1+MAX(L$2:L10))-1</f>
        <v>0</v>
      </c>
      <c r="N10" s="117" t="s">
        <v>611</v>
      </c>
      <c r="O10" s="14">
        <v>2.3199999999999998E-2</v>
      </c>
      <c r="P10" s="15">
        <f t="shared" si="6"/>
        <v>0.18328405500985112</v>
      </c>
      <c r="Q10" s="15">
        <f t="shared" si="7"/>
        <v>0.18328405500985112</v>
      </c>
      <c r="R10" s="13">
        <f>(1+Q10)/(1+MAX(Q$2:Q10))-1</f>
        <v>-0.30635925141375997</v>
      </c>
      <c r="S10" s="117" t="s">
        <v>206</v>
      </c>
      <c r="T10" s="14">
        <v>-3.8E-3</v>
      </c>
      <c r="U10" s="15">
        <f t="shared" si="8"/>
        <v>2.0607134952842454</v>
      </c>
      <c r="V10" s="15">
        <f t="shared" si="9"/>
        <v>2.0607134952842454</v>
      </c>
      <c r="W10" s="13">
        <f>(1+V10)/(1+MAX(V$2:V10))-1</f>
        <v>-3.8000000000000256E-3</v>
      </c>
      <c r="X10" s="19"/>
      <c r="Y10" s="115">
        <f t="shared" si="1"/>
        <v>-9.2749999999999985E-3</v>
      </c>
      <c r="Z10" s="15">
        <f t="shared" si="10"/>
        <v>0.73632369910716822</v>
      </c>
      <c r="AA10" s="15">
        <f t="shared" si="11"/>
        <v>0.73632369910716822</v>
      </c>
      <c r="AB10" s="15">
        <f>(1+AA10)/(1+MAX(AA$2:AA10))-1</f>
        <v>-9.2750000000000332E-3</v>
      </c>
      <c r="AC10" s="58">
        <f t="shared" si="12"/>
        <v>1736.3236991071683</v>
      </c>
      <c r="AD10" s="19"/>
      <c r="AE10" s="59"/>
      <c r="AH10" s="62"/>
    </row>
    <row r="11" spans="1:37" s="61" customFormat="1" outlineLevel="1" x14ac:dyDescent="0.3">
      <c r="A11" s="61" t="s">
        <v>663</v>
      </c>
      <c r="B11" s="55" t="str">
        <f t="shared" si="0"/>
        <v>2020-10</v>
      </c>
      <c r="C11" s="11">
        <v>44105</v>
      </c>
      <c r="D11" s="116" t="s">
        <v>52</v>
      </c>
      <c r="E11" s="14">
        <v>-7.6700000000000004E-2</v>
      </c>
      <c r="F11" s="15">
        <f t="shared" si="2"/>
        <v>0.5749017285406115</v>
      </c>
      <c r="G11" s="15">
        <f t="shared" si="3"/>
        <v>0.5749017285406115</v>
      </c>
      <c r="H11" s="13">
        <f>(1+G11)/(1+MAX(G$2:G11))-1</f>
        <v>-0.15398020999999995</v>
      </c>
      <c r="I11" s="116" t="s">
        <v>42</v>
      </c>
      <c r="J11" s="14">
        <v>-6.8599999999999994E-2</v>
      </c>
      <c r="K11" s="15">
        <f t="shared" si="4"/>
        <v>2.8314556624394305E-2</v>
      </c>
      <c r="L11" s="15">
        <f t="shared" si="5"/>
        <v>2.8314556624394305E-2</v>
      </c>
      <c r="M11" s="13">
        <f>(1+L11)/(1+MAX(L$2:L11))-1</f>
        <v>-6.8600000000000105E-2</v>
      </c>
      <c r="N11" s="117" t="s">
        <v>611</v>
      </c>
      <c r="O11" s="14">
        <v>2.93E-2</v>
      </c>
      <c r="P11" s="15">
        <f t="shared" si="6"/>
        <v>0.2179542778216399</v>
      </c>
      <c r="Q11" s="15">
        <f t="shared" si="7"/>
        <v>0.2179542778216399</v>
      </c>
      <c r="R11" s="13">
        <f>(1+Q11)/(1+MAX(Q$2:Q11))-1</f>
        <v>-0.28603557748018305</v>
      </c>
      <c r="S11" s="117" t="s">
        <v>206</v>
      </c>
      <c r="T11" s="14">
        <v>-2.9899999999999999E-2</v>
      </c>
      <c r="U11" s="15">
        <f t="shared" si="8"/>
        <v>1.9691981617752465</v>
      </c>
      <c r="V11" s="15">
        <f t="shared" si="9"/>
        <v>1.9691981617752465</v>
      </c>
      <c r="W11" s="13">
        <f>(1+V11)/(1+MAX(V$2:V11))-1</f>
        <v>-3.3586380000000027E-2</v>
      </c>
      <c r="X11" s="21"/>
      <c r="Y11" s="115">
        <f t="shared" si="1"/>
        <v>-3.6475E-2</v>
      </c>
      <c r="Z11" s="15">
        <f t="shared" si="10"/>
        <v>0.6729912921822343</v>
      </c>
      <c r="AA11" s="15">
        <f t="shared" si="11"/>
        <v>0.6729912921822343</v>
      </c>
      <c r="AB11" s="15">
        <f>(1+AA11)/(1+MAX(AA$2:AA11))-1</f>
        <v>-4.5411694375000033E-2</v>
      </c>
      <c r="AC11" s="58">
        <f t="shared" si="12"/>
        <v>1672.9912921822342</v>
      </c>
      <c r="AD11" s="21"/>
      <c r="AE11" s="59"/>
    </row>
    <row r="12" spans="1:37" s="61" customFormat="1" outlineLevel="1" x14ac:dyDescent="0.3">
      <c r="A12" s="61" t="s">
        <v>663</v>
      </c>
      <c r="B12" s="55" t="str">
        <f t="shared" si="0"/>
        <v>2020-11</v>
      </c>
      <c r="C12" s="11">
        <v>44136</v>
      </c>
      <c r="D12" s="116" t="s">
        <v>648</v>
      </c>
      <c r="E12" s="14">
        <v>-3.2800000000000003E-2</v>
      </c>
      <c r="F12" s="15">
        <f t="shared" si="2"/>
        <v>0.52324495184447928</v>
      </c>
      <c r="G12" s="15">
        <f t="shared" si="3"/>
        <v>0.52324495184447928</v>
      </c>
      <c r="H12" s="13">
        <f>(1+G12)/(1+MAX(G$2:G12))-1</f>
        <v>-0.18172965911200001</v>
      </c>
      <c r="I12" s="116" t="s">
        <v>42</v>
      </c>
      <c r="J12" s="14">
        <v>4.3099999999999999E-2</v>
      </c>
      <c r="K12" s="15">
        <f t="shared" si="4"/>
        <v>7.2634914014905627E-2</v>
      </c>
      <c r="L12" s="15">
        <f t="shared" si="5"/>
        <v>7.2634914014905627E-2</v>
      </c>
      <c r="M12" s="13">
        <f>(1+L12)/(1+MAX(L$2:L12))-1</f>
        <v>-2.8456660000000134E-2</v>
      </c>
      <c r="N12" s="117" t="s">
        <v>611</v>
      </c>
      <c r="O12" s="14">
        <v>0.1158</v>
      </c>
      <c r="P12" s="15">
        <f t="shared" si="6"/>
        <v>0.35899338319338558</v>
      </c>
      <c r="Q12" s="15">
        <f t="shared" si="7"/>
        <v>0.35899338319338558</v>
      </c>
      <c r="R12" s="13">
        <f>(1+Q12)/(1+MAX(Q$2:Q12))-1</f>
        <v>-0.20335849735238831</v>
      </c>
      <c r="S12" s="117" t="s">
        <v>206</v>
      </c>
      <c r="T12" s="14">
        <v>0.1193</v>
      </c>
      <c r="U12" s="15">
        <f t="shared" si="8"/>
        <v>2.3234235024750332</v>
      </c>
      <c r="V12" s="15">
        <f t="shared" si="9"/>
        <v>2.3234235024750332</v>
      </c>
      <c r="W12" s="13">
        <f>(1+V12)/(1+MAX(V$2:V12))-1</f>
        <v>0</v>
      </c>
      <c r="X12" s="21"/>
      <c r="Y12" s="115">
        <f t="shared" si="1"/>
        <v>6.1350000000000002E-2</v>
      </c>
      <c r="Z12" s="15">
        <f t="shared" si="10"/>
        <v>0.77562930795761442</v>
      </c>
      <c r="AA12" s="15">
        <f t="shared" si="11"/>
        <v>0.77562930795761442</v>
      </c>
      <c r="AB12" s="15">
        <f>(1+AA12)/(1+MAX(AA$2:AA12))-1</f>
        <v>0</v>
      </c>
      <c r="AC12" s="58">
        <f t="shared" si="12"/>
        <v>1775.6293079576144</v>
      </c>
      <c r="AD12" s="21"/>
      <c r="AE12" s="59"/>
    </row>
    <row r="13" spans="1:37" s="27" customFormat="1" ht="15" thickBot="1" x14ac:dyDescent="0.35">
      <c r="A13" s="27" t="s">
        <v>663</v>
      </c>
      <c r="B13" s="63" t="str">
        <f t="shared" si="0"/>
        <v>2020-12</v>
      </c>
      <c r="C13" s="22">
        <v>44166</v>
      </c>
      <c r="D13" s="23" t="s">
        <v>160</v>
      </c>
      <c r="E13" s="24">
        <v>-1.49E-2</v>
      </c>
      <c r="F13" s="25">
        <f t="shared" si="2"/>
        <v>0.50054860206199647</v>
      </c>
      <c r="G13" s="25">
        <f t="shared" si="3"/>
        <v>0.50054860206199647</v>
      </c>
      <c r="H13" s="26">
        <f>(1+G13)/(1+MAX(G$2:G13))-1</f>
        <v>-0.19392188719123127</v>
      </c>
      <c r="I13" s="23" t="s">
        <v>642</v>
      </c>
      <c r="J13" s="24">
        <v>0.31540000000000001</v>
      </c>
      <c r="K13" s="25">
        <f t="shared" si="4"/>
        <v>0.41094396589520676</v>
      </c>
      <c r="L13" s="25">
        <f t="shared" si="5"/>
        <v>0.41094396589520676</v>
      </c>
      <c r="M13" s="26">
        <f>(1+L13)/(1+MAX(L$2:L13))-1</f>
        <v>0</v>
      </c>
      <c r="N13" s="29" t="s">
        <v>611</v>
      </c>
      <c r="O13" s="24">
        <v>7.4099999999999999E-2</v>
      </c>
      <c r="P13" s="25">
        <f t="shared" si="6"/>
        <v>0.45969479288801551</v>
      </c>
      <c r="Q13" s="25">
        <f t="shared" si="7"/>
        <v>0.45969479288801551</v>
      </c>
      <c r="R13" s="26">
        <f>(1+Q13)/(1+MAX(Q$2:Q13))-1</f>
        <v>-0.14432736200620033</v>
      </c>
      <c r="S13" s="29" t="s">
        <v>206</v>
      </c>
      <c r="T13" s="24">
        <v>0.248</v>
      </c>
      <c r="U13" s="25">
        <f t="shared" si="8"/>
        <v>3.1476325310888411</v>
      </c>
      <c r="V13" s="25">
        <f t="shared" si="9"/>
        <v>3.1476325310888411</v>
      </c>
      <c r="W13" s="26">
        <f>(1+V13)/(1+MAX(V$2:V13))-1</f>
        <v>0</v>
      </c>
      <c r="X13" s="31"/>
      <c r="Y13" s="32">
        <f t="shared" si="1"/>
        <v>0.15565000000000001</v>
      </c>
      <c r="Z13" s="25">
        <f t="shared" si="10"/>
        <v>1.0520060097412172</v>
      </c>
      <c r="AA13" s="25">
        <f t="shared" si="11"/>
        <v>1.0520060097412172</v>
      </c>
      <c r="AB13" s="25">
        <f>(1+AA13)/(1+MAX(AA$2:AA13))-1</f>
        <v>0</v>
      </c>
      <c r="AC13" s="66">
        <f t="shared" si="12"/>
        <v>2052.006009741217</v>
      </c>
      <c r="AD13" s="31"/>
      <c r="AE13" s="22"/>
    </row>
    <row r="14" spans="1:37" s="54" customFormat="1" outlineLevel="1" x14ac:dyDescent="0.3">
      <c r="A14" s="54" t="s">
        <v>663</v>
      </c>
      <c r="B14" s="48" t="str">
        <f t="shared" si="0"/>
        <v>2021-1</v>
      </c>
      <c r="C14" s="1">
        <v>44197</v>
      </c>
      <c r="D14" s="113" t="s">
        <v>160</v>
      </c>
      <c r="E14" s="4">
        <v>2.3800000000000002E-2</v>
      </c>
      <c r="F14" s="5">
        <f>+E14</f>
        <v>2.3800000000000002E-2</v>
      </c>
      <c r="G14" s="5">
        <f t="shared" si="3"/>
        <v>0.53626165879107202</v>
      </c>
      <c r="H14" s="3">
        <f>(1+G14)/(1+MAX(G$2:G14))-1</f>
        <v>-0.17473722810638259</v>
      </c>
      <c r="I14" s="113" t="s">
        <v>642</v>
      </c>
      <c r="J14" s="4">
        <v>6.9000000000000006E-2</v>
      </c>
      <c r="K14" s="5">
        <f>+J14</f>
        <v>6.9000000000000006E-2</v>
      </c>
      <c r="L14" s="5">
        <f t="shared" si="5"/>
        <v>0.50829909954197605</v>
      </c>
      <c r="M14" s="3">
        <f>(1+L14)/(1+MAX(L$2:L14))-1</f>
        <v>0</v>
      </c>
      <c r="N14" s="114" t="s">
        <v>611</v>
      </c>
      <c r="O14" s="4">
        <v>0.10489999999999999</v>
      </c>
      <c r="P14" s="5">
        <f>+O14</f>
        <v>0.10489999999999999</v>
      </c>
      <c r="Q14" s="5">
        <f t="shared" si="7"/>
        <v>0.61281677666196832</v>
      </c>
      <c r="R14" s="3">
        <f>(1+Q14)/(1+MAX(Q$2:Q14))-1</f>
        <v>-5.4567302280650654E-2</v>
      </c>
      <c r="S14" s="114" t="s">
        <v>206</v>
      </c>
      <c r="T14" s="4">
        <v>1.4800000000000001E-2</v>
      </c>
      <c r="U14" s="5">
        <f>+T14</f>
        <v>1.4800000000000001E-2</v>
      </c>
      <c r="V14" s="5">
        <f t="shared" si="9"/>
        <v>3.2090174925489556</v>
      </c>
      <c r="W14" s="3">
        <f>(1+V14)/(1+MAX(V$2:V14))-1</f>
        <v>0</v>
      </c>
      <c r="X14" s="9"/>
      <c r="Y14" s="115">
        <f t="shared" si="1"/>
        <v>5.3124999999999999E-2</v>
      </c>
      <c r="Z14" s="5">
        <f>+Y14</f>
        <v>5.3124999999999999E-2</v>
      </c>
      <c r="AA14" s="5">
        <f t="shared" si="11"/>
        <v>1.1610188290087193</v>
      </c>
      <c r="AB14" s="5">
        <f>(1+AA14)/(1+MAX(AA$2:AA14))-1</f>
        <v>0</v>
      </c>
      <c r="AC14" s="51">
        <f t="shared" si="12"/>
        <v>2161.0188290087194</v>
      </c>
      <c r="AD14" s="9"/>
      <c r="AE14" s="52"/>
    </row>
    <row r="15" spans="1:37" s="61" customFormat="1" outlineLevel="1" x14ac:dyDescent="0.3">
      <c r="A15" s="61" t="s">
        <v>663</v>
      </c>
      <c r="B15" s="55" t="str">
        <f t="shared" si="0"/>
        <v>2021-2</v>
      </c>
      <c r="C15" s="11">
        <v>44228</v>
      </c>
      <c r="D15" s="116" t="s">
        <v>160</v>
      </c>
      <c r="E15" s="14">
        <v>-3.8300000000000001E-2</v>
      </c>
      <c r="F15" s="15">
        <f t="shared" ref="F15:F25" si="13">+(1+E15)*(1+F14)-1</f>
        <v>-1.5411540000000001E-2</v>
      </c>
      <c r="G15" s="15">
        <f t="shared" si="3"/>
        <v>0.47742283725937407</v>
      </c>
      <c r="H15" s="13">
        <f>(1+G15)/(1+MAX(G$2:G15))-1</f>
        <v>-0.20634479226990809</v>
      </c>
      <c r="I15" s="116" t="s">
        <v>642</v>
      </c>
      <c r="J15" s="14">
        <v>0.1183</v>
      </c>
      <c r="K15" s="15">
        <f t="shared" ref="K15:K25" si="14">+(1+J15)*(1+K14)-1</f>
        <v>0.19546269999999999</v>
      </c>
      <c r="L15" s="15">
        <f t="shared" si="5"/>
        <v>0.68673088301779184</v>
      </c>
      <c r="M15" s="13">
        <f>(1+L15)/(1+MAX(L$2:L15))-1</f>
        <v>0</v>
      </c>
      <c r="N15" s="117" t="s">
        <v>611</v>
      </c>
      <c r="O15" s="14">
        <v>8.4000000000000005E-2</v>
      </c>
      <c r="P15" s="15">
        <f t="shared" ref="P15:P25" si="15">+(1+O15)*(1+P14)-1</f>
        <v>0.1977116000000001</v>
      </c>
      <c r="Q15" s="15">
        <f t="shared" si="7"/>
        <v>0.74829338590157368</v>
      </c>
      <c r="R15" s="13">
        <f>(1+Q15)/(1+MAX(Q$2:Q15))-1</f>
        <v>0</v>
      </c>
      <c r="S15" s="117" t="s">
        <v>206</v>
      </c>
      <c r="T15" s="14">
        <v>2.3300000000000001E-2</v>
      </c>
      <c r="U15" s="15">
        <f t="shared" ref="U15:U25" si="16">+(1+T15)*(1+U14)-1</f>
        <v>3.8444839999999925E-2</v>
      </c>
      <c r="V15" s="15">
        <f t="shared" si="9"/>
        <v>3.3070876001253469</v>
      </c>
      <c r="W15" s="13">
        <f>(1+V15)/(1+MAX(V$2:V15))-1</f>
        <v>0</v>
      </c>
      <c r="X15" s="19"/>
      <c r="Y15" s="115">
        <f t="shared" si="1"/>
        <v>4.6825000000000006E-2</v>
      </c>
      <c r="Z15" s="15">
        <f t="shared" ref="Z15:Z25" si="17">+(1+Y15)*(1+Z14)-1</f>
        <v>0.10243757812500021</v>
      </c>
      <c r="AA15" s="15">
        <f t="shared" si="11"/>
        <v>1.2622085356770527</v>
      </c>
      <c r="AB15" s="15">
        <f>(1+AA15)/(1+MAX(AA$2:AA15))-1</f>
        <v>0</v>
      </c>
      <c r="AC15" s="58">
        <f t="shared" si="12"/>
        <v>2262.2085356770531</v>
      </c>
      <c r="AD15" s="19"/>
      <c r="AE15" s="59"/>
    </row>
    <row r="16" spans="1:37" s="61" customFormat="1" outlineLevel="1" x14ac:dyDescent="0.3">
      <c r="A16" s="61" t="s">
        <v>663</v>
      </c>
      <c r="B16" s="55" t="str">
        <f t="shared" si="0"/>
        <v>2021-3</v>
      </c>
      <c r="C16" s="11">
        <v>44256</v>
      </c>
      <c r="D16" s="116" t="s">
        <v>646</v>
      </c>
      <c r="E16" s="14">
        <v>-0.1128</v>
      </c>
      <c r="F16" s="15">
        <f t="shared" si="13"/>
        <v>-0.12647311828800001</v>
      </c>
      <c r="G16" s="15">
        <f t="shared" si="3"/>
        <v>0.31076954121651656</v>
      </c>
      <c r="H16" s="13">
        <f>(1+G16)/(1+MAX(G$2:G16))-1</f>
        <v>-0.29586909970186248</v>
      </c>
      <c r="I16" s="116" t="s">
        <v>160</v>
      </c>
      <c r="J16" s="14">
        <v>-1.4800000000000001E-2</v>
      </c>
      <c r="K16" s="15">
        <f t="shared" si="14"/>
        <v>0.17776985203999995</v>
      </c>
      <c r="L16" s="15">
        <f t="shared" si="5"/>
        <v>0.66176726594912849</v>
      </c>
      <c r="M16" s="13">
        <f>(1+L16)/(1+MAX(L$2:L16))-1</f>
        <v>-1.4800000000000035E-2</v>
      </c>
      <c r="N16" s="117" t="s">
        <v>642</v>
      </c>
      <c r="O16" s="14">
        <v>4.7999999999999996E-3</v>
      </c>
      <c r="P16" s="15">
        <f t="shared" si="15"/>
        <v>0.20346061568000007</v>
      </c>
      <c r="Q16" s="15">
        <f t="shared" si="7"/>
        <v>0.75668519415390101</v>
      </c>
      <c r="R16" s="13">
        <f>(1+Q16)/(1+MAX(Q$2:Q16))-1</f>
        <v>0</v>
      </c>
      <c r="S16" s="117" t="s">
        <v>611</v>
      </c>
      <c r="T16" s="14">
        <v>-1.7600000000000001E-2</v>
      </c>
      <c r="U16" s="15">
        <f t="shared" si="16"/>
        <v>2.0168210815999954E-2</v>
      </c>
      <c r="V16" s="15">
        <f t="shared" si="9"/>
        <v>3.2312828583631408</v>
      </c>
      <c r="W16" s="13">
        <f>(1+V16)/(1+MAX(V$2:V16))-1</f>
        <v>-1.7599999999999949E-2</v>
      </c>
      <c r="X16" s="19"/>
      <c r="Y16" s="115">
        <f t="shared" si="1"/>
        <v>-3.5099999999999999E-2</v>
      </c>
      <c r="Z16" s="15">
        <f t="shared" si="17"/>
        <v>6.3742019132812633E-2</v>
      </c>
      <c r="AA16" s="15">
        <f t="shared" si="11"/>
        <v>1.1828050160747883</v>
      </c>
      <c r="AB16" s="15">
        <f>(1+AA16)/(1+MAX(AA$2:AA16))-1</f>
        <v>-3.5099999999999909E-2</v>
      </c>
      <c r="AC16" s="58">
        <f t="shared" si="12"/>
        <v>2182.8050160747885</v>
      </c>
      <c r="AD16" s="19"/>
      <c r="AE16" s="59"/>
    </row>
    <row r="17" spans="1:37" s="61" customFormat="1" outlineLevel="1" x14ac:dyDescent="0.3">
      <c r="A17" s="61" t="s">
        <v>663</v>
      </c>
      <c r="B17" s="55" t="str">
        <f t="shared" si="0"/>
        <v>2021-4</v>
      </c>
      <c r="C17" s="11">
        <v>44287</v>
      </c>
      <c r="D17" s="116" t="s">
        <v>208</v>
      </c>
      <c r="E17" s="14">
        <v>-0.18340000000000001</v>
      </c>
      <c r="F17" s="15">
        <f t="shared" si="13"/>
        <v>-0.28667794839398086</v>
      </c>
      <c r="G17" s="15">
        <f t="shared" si="3"/>
        <v>7.037440735740752E-2</v>
      </c>
      <c r="H17" s="13">
        <f>(1+G17)/(1+MAX(G$2:G17))-1</f>
        <v>-0.42500670681654085</v>
      </c>
      <c r="I17" s="116" t="s">
        <v>642</v>
      </c>
      <c r="J17" s="14">
        <v>9.0899999999999995E-2</v>
      </c>
      <c r="K17" s="15">
        <f t="shared" si="14"/>
        <v>0.28482913159043588</v>
      </c>
      <c r="L17" s="15">
        <f t="shared" si="5"/>
        <v>0.81282191042390428</v>
      </c>
      <c r="M17" s="13">
        <f>(1+L17)/(1+MAX(L$2:L17))-1</f>
        <v>0</v>
      </c>
      <c r="N17" s="117" t="s">
        <v>91</v>
      </c>
      <c r="O17" s="14">
        <v>-0.1908</v>
      </c>
      <c r="P17" s="15">
        <f t="shared" si="15"/>
        <v>-2.6159669791743889E-2</v>
      </c>
      <c r="Q17" s="15">
        <f t="shared" si="7"/>
        <v>0.4215096591093368</v>
      </c>
      <c r="R17" s="13">
        <f>(1+Q17)/(1+MAX(Q$2:Q17))-1</f>
        <v>-0.19079999999999997</v>
      </c>
      <c r="S17" s="117" t="s">
        <v>611</v>
      </c>
      <c r="T17" s="14">
        <v>9.3700000000000006E-2</v>
      </c>
      <c r="U17" s="15">
        <f t="shared" si="16"/>
        <v>0.11575797216945927</v>
      </c>
      <c r="V17" s="15">
        <f t="shared" si="9"/>
        <v>3.6277540621917677</v>
      </c>
      <c r="W17" s="13">
        <f>(1+V17)/(1+MAX(V$2:V17))-1</f>
        <v>0</v>
      </c>
      <c r="X17" s="19"/>
      <c r="Y17" s="115">
        <f t="shared" si="1"/>
        <v>-4.7399999999999998E-2</v>
      </c>
      <c r="Z17" s="15">
        <f t="shared" si="17"/>
        <v>1.332064742591732E-2</v>
      </c>
      <c r="AA17" s="15">
        <f t="shared" si="11"/>
        <v>1.0793400583128432</v>
      </c>
      <c r="AB17" s="15">
        <f>(1+AA17)/(1+MAX(AA$2:AA17))-1</f>
        <v>-8.0836259999999993E-2</v>
      </c>
      <c r="AC17" s="58">
        <f t="shared" si="12"/>
        <v>2079.3400583128437</v>
      </c>
      <c r="AD17" s="19"/>
      <c r="AE17" s="59"/>
    </row>
    <row r="18" spans="1:37" s="61" customFormat="1" outlineLevel="1" x14ac:dyDescent="0.3">
      <c r="A18" s="61" t="s">
        <v>663</v>
      </c>
      <c r="B18" s="55" t="str">
        <f t="shared" si="0"/>
        <v>2021-5</v>
      </c>
      <c r="C18" s="11">
        <v>44317</v>
      </c>
      <c r="D18" s="116" t="s">
        <v>208</v>
      </c>
      <c r="E18" s="14">
        <v>-0.11360000000000001</v>
      </c>
      <c r="F18" s="15">
        <f t="shared" si="13"/>
        <v>-0.3677113334564247</v>
      </c>
      <c r="G18" s="15">
        <f t="shared" si="3"/>
        <v>-5.1220125318394039E-2</v>
      </c>
      <c r="H18" s="13">
        <f>(1+G18)/(1+MAX(G$2:G18))-1</f>
        <v>-0.49032594492218184</v>
      </c>
      <c r="I18" s="116" t="s">
        <v>642</v>
      </c>
      <c r="J18" s="14">
        <v>8.3299999999999999E-2</v>
      </c>
      <c r="K18" s="15">
        <f t="shared" si="14"/>
        <v>0.39185539825191906</v>
      </c>
      <c r="L18" s="15">
        <f t="shared" si="5"/>
        <v>0.96382997556221528</v>
      </c>
      <c r="M18" s="13">
        <f>(1+L18)/(1+MAX(L$2:L18))-1</f>
        <v>0</v>
      </c>
      <c r="N18" s="117" t="s">
        <v>91</v>
      </c>
      <c r="O18" s="14">
        <v>9.9599999999999994E-2</v>
      </c>
      <c r="P18" s="15">
        <f t="shared" si="15"/>
        <v>7.0834827096998287E-2</v>
      </c>
      <c r="Q18" s="15">
        <f t="shared" si="7"/>
        <v>0.5630920211566266</v>
      </c>
      <c r="R18" s="13">
        <f>(1+Q18)/(1+MAX(Q$2:Q18))-1</f>
        <v>-0.11020368000000003</v>
      </c>
      <c r="S18" s="117" t="s">
        <v>611</v>
      </c>
      <c r="T18" s="14">
        <v>-2.3999999999999998E-3</v>
      </c>
      <c r="U18" s="15">
        <f t="shared" si="16"/>
        <v>0.11308015303625263</v>
      </c>
      <c r="V18" s="15">
        <f t="shared" si="9"/>
        <v>3.6166474524425078</v>
      </c>
      <c r="W18" s="13">
        <f>(1+V18)/(1+MAX(V$2:V18))-1</f>
        <v>-2.3999999999999577E-3</v>
      </c>
      <c r="X18" s="19"/>
      <c r="Y18" s="115">
        <f t="shared" si="1"/>
        <v>1.6724999999999997E-2</v>
      </c>
      <c r="Z18" s="15">
        <f t="shared" si="17"/>
        <v>3.0268435254115822E-2</v>
      </c>
      <c r="AA18" s="15">
        <f t="shared" si="11"/>
        <v>1.1141170207881257</v>
      </c>
      <c r="AB18" s="15">
        <f>(1+AA18)/(1+MAX(AA$2:AA18))-1</f>
        <v>-6.5463246448499879E-2</v>
      </c>
      <c r="AC18" s="58">
        <f t="shared" si="12"/>
        <v>2114.1170207881264</v>
      </c>
      <c r="AD18" s="19"/>
      <c r="AE18" s="59"/>
      <c r="AH18" s="62"/>
      <c r="AI18" s="62"/>
      <c r="AJ18" s="62"/>
      <c r="AK18" s="62"/>
    </row>
    <row r="19" spans="1:37" s="61" customFormat="1" outlineLevel="1" x14ac:dyDescent="0.3">
      <c r="A19" s="61" t="s">
        <v>663</v>
      </c>
      <c r="B19" s="55" t="str">
        <f t="shared" si="0"/>
        <v>2021-6</v>
      </c>
      <c r="C19" s="11">
        <v>44348</v>
      </c>
      <c r="D19" s="116" t="s">
        <v>208</v>
      </c>
      <c r="E19" s="14">
        <v>-8.6800000000000002E-2</v>
      </c>
      <c r="F19" s="15">
        <f t="shared" si="13"/>
        <v>-0.42259398971240703</v>
      </c>
      <c r="G19" s="15">
        <f t="shared" si="3"/>
        <v>-0.13357421844075745</v>
      </c>
      <c r="H19" s="13">
        <f>(1+G19)/(1+MAX(G$2:G19))-1</f>
        <v>-0.53456565290293645</v>
      </c>
      <c r="I19" s="116" t="s">
        <v>634</v>
      </c>
      <c r="J19" s="14">
        <v>-0.1103</v>
      </c>
      <c r="K19" s="15">
        <f t="shared" si="14"/>
        <v>0.23833374782473249</v>
      </c>
      <c r="L19" s="15">
        <f t="shared" si="5"/>
        <v>0.74721952925770307</v>
      </c>
      <c r="M19" s="13">
        <f>(1+L19)/(1+MAX(L$2:L19))-1</f>
        <v>-0.11029999999999995</v>
      </c>
      <c r="N19" s="117" t="s">
        <v>642</v>
      </c>
      <c r="O19" s="14">
        <v>0.1741</v>
      </c>
      <c r="P19" s="15">
        <f t="shared" si="15"/>
        <v>0.2572671704945857</v>
      </c>
      <c r="Q19" s="15">
        <f t="shared" si="7"/>
        <v>0.83522634203999524</v>
      </c>
      <c r="R19" s="13">
        <f>(1+Q19)/(1+MAX(Q$2:Q19))-1</f>
        <v>0</v>
      </c>
      <c r="S19" s="117" t="s">
        <v>611</v>
      </c>
      <c r="T19" s="14">
        <v>0.1106</v>
      </c>
      <c r="U19" s="15">
        <f t="shared" si="16"/>
        <v>0.23618681796206231</v>
      </c>
      <c r="V19" s="15">
        <f t="shared" si="9"/>
        <v>4.1272486606826497</v>
      </c>
      <c r="W19" s="13">
        <f>(1+V19)/(1+MAX(V$2:V19))-1</f>
        <v>0</v>
      </c>
      <c r="X19" s="19"/>
      <c r="Y19" s="115">
        <f t="shared" si="1"/>
        <v>2.1900000000000003E-2</v>
      </c>
      <c r="Z19" s="15">
        <f t="shared" si="17"/>
        <v>5.2831313986180906E-2</v>
      </c>
      <c r="AA19" s="15">
        <f t="shared" si="11"/>
        <v>1.1604161835433855</v>
      </c>
      <c r="AB19" s="15">
        <f>(1+AA19)/(1+MAX(AA$2:AA19))-1</f>
        <v>-4.4996891545722173E-2</v>
      </c>
      <c r="AC19" s="58">
        <f t="shared" si="12"/>
        <v>2160.4161835433865</v>
      </c>
      <c r="AD19" s="19"/>
      <c r="AE19" s="59"/>
      <c r="AH19" s="62"/>
      <c r="AI19" s="62"/>
      <c r="AJ19" s="62"/>
      <c r="AK19" s="62"/>
    </row>
    <row r="20" spans="1:37" s="61" customFormat="1" outlineLevel="1" x14ac:dyDescent="0.3">
      <c r="A20" s="61" t="s">
        <v>663</v>
      </c>
      <c r="B20" s="55" t="str">
        <f t="shared" si="0"/>
        <v>2021-7</v>
      </c>
      <c r="C20" s="11">
        <v>44378</v>
      </c>
      <c r="D20" s="116" t="s">
        <v>634</v>
      </c>
      <c r="E20" s="14">
        <v>2.9600000000000001E-2</v>
      </c>
      <c r="F20" s="15">
        <f t="shared" si="13"/>
        <v>-0.40550277180789418</v>
      </c>
      <c r="G20" s="15">
        <f t="shared" si="3"/>
        <v>-0.10792801530660379</v>
      </c>
      <c r="H20" s="13">
        <f>(1+G20)/(1+MAX(G$2:G20))-1</f>
        <v>-0.52078879622886332</v>
      </c>
      <c r="I20" s="116" t="s">
        <v>53</v>
      </c>
      <c r="J20" s="14">
        <v>0.14380000000000001</v>
      </c>
      <c r="K20" s="15">
        <f t="shared" si="14"/>
        <v>0.41640614076192883</v>
      </c>
      <c r="L20" s="15">
        <f t="shared" si="5"/>
        <v>0.99846969756496073</v>
      </c>
      <c r="M20" s="13">
        <f>(1+L20)/(1+MAX(L$2:L20))-1</f>
        <v>0</v>
      </c>
      <c r="N20" s="117" t="s">
        <v>642</v>
      </c>
      <c r="O20" s="14">
        <v>0.22070000000000001</v>
      </c>
      <c r="P20" s="15">
        <f t="shared" si="15"/>
        <v>0.53474603502274065</v>
      </c>
      <c r="Q20" s="15">
        <f t="shared" si="7"/>
        <v>1.2402607957282221</v>
      </c>
      <c r="R20" s="13">
        <f>(1+Q20)/(1+MAX(Q$2:Q20))-1</f>
        <v>0</v>
      </c>
      <c r="S20" s="117" t="s">
        <v>611</v>
      </c>
      <c r="T20" s="14">
        <v>6.4000000000000003E-3</v>
      </c>
      <c r="U20" s="15">
        <f t="shared" si="16"/>
        <v>0.24409841359701945</v>
      </c>
      <c r="V20" s="15">
        <f t="shared" si="9"/>
        <v>4.1600630521110187</v>
      </c>
      <c r="W20" s="13">
        <f>(1+V20)/(1+MAX(V$2:V20))-1</f>
        <v>0</v>
      </c>
      <c r="X20" s="19"/>
      <c r="Y20" s="115">
        <f t="shared" si="1"/>
        <v>0.10012500000000001</v>
      </c>
      <c r="Z20" s="15">
        <f t="shared" si="17"/>
        <v>0.1582460492990474</v>
      </c>
      <c r="AA20" s="15">
        <f t="shared" si="11"/>
        <v>1.3767278539206669</v>
      </c>
      <c r="AB20" s="15">
        <f>(1+AA20)/(1+MAX(AA$2:AA20))-1</f>
        <v>0</v>
      </c>
      <c r="AC20" s="58">
        <f t="shared" si="12"/>
        <v>2376.7278539206682</v>
      </c>
      <c r="AD20" s="19"/>
      <c r="AE20" s="59"/>
      <c r="AH20" s="62"/>
      <c r="AI20" s="62"/>
      <c r="AJ20" s="62"/>
      <c r="AK20" s="62"/>
    </row>
    <row r="21" spans="1:37" s="61" customFormat="1" outlineLevel="1" x14ac:dyDescent="0.3">
      <c r="A21" s="61" t="s">
        <v>663</v>
      </c>
      <c r="B21" s="55" t="str">
        <f t="shared" si="0"/>
        <v>2021-8</v>
      </c>
      <c r="C21" s="11">
        <v>44409</v>
      </c>
      <c r="D21" s="116" t="s">
        <v>634</v>
      </c>
      <c r="E21" s="14">
        <v>-3.7100000000000001E-2</v>
      </c>
      <c r="F21" s="15">
        <f t="shared" si="13"/>
        <v>-0.4275586189738213</v>
      </c>
      <c r="G21" s="15">
        <f t="shared" si="3"/>
        <v>-0.14102388593872883</v>
      </c>
      <c r="H21" s="13">
        <f>(1+G21)/(1+MAX(G$2:G21))-1</f>
        <v>-0.5385675318887726</v>
      </c>
      <c r="I21" s="116" t="s">
        <v>53</v>
      </c>
      <c r="J21" s="14">
        <v>0.16700000000000001</v>
      </c>
      <c r="K21" s="15">
        <f t="shared" si="14"/>
        <v>0.65294596626917101</v>
      </c>
      <c r="L21" s="15">
        <f t="shared" si="5"/>
        <v>1.3322141370583092</v>
      </c>
      <c r="M21" s="13">
        <f>(1+L21)/(1+MAX(L$2:L21))-1</f>
        <v>0</v>
      </c>
      <c r="N21" s="117" t="s">
        <v>160</v>
      </c>
      <c r="O21" s="14">
        <v>2.6100000000000002E-2</v>
      </c>
      <c r="P21" s="15">
        <f t="shared" si="15"/>
        <v>0.5748029065368343</v>
      </c>
      <c r="Q21" s="15">
        <f t="shared" si="7"/>
        <v>1.2987316024967286</v>
      </c>
      <c r="R21" s="13">
        <f>(1+Q21)/(1+MAX(Q$2:Q21))-1</f>
        <v>0</v>
      </c>
      <c r="S21" s="117" t="s">
        <v>642</v>
      </c>
      <c r="T21" s="14">
        <v>0.25990000000000002</v>
      </c>
      <c r="U21" s="15">
        <f t="shared" si="16"/>
        <v>0.56743959129088473</v>
      </c>
      <c r="V21" s="15">
        <f t="shared" si="9"/>
        <v>5.5011634393546727</v>
      </c>
      <c r="W21" s="13">
        <f>(1+V21)/(1+MAX(V$2:V21))-1</f>
        <v>0</v>
      </c>
      <c r="X21" s="19"/>
      <c r="Y21" s="115">
        <f t="shared" si="1"/>
        <v>0.10397500000000001</v>
      </c>
      <c r="Z21" s="15">
        <f t="shared" si="17"/>
        <v>0.27867468227491576</v>
      </c>
      <c r="AA21" s="15">
        <f t="shared" si="11"/>
        <v>1.6238481325320682</v>
      </c>
      <c r="AB21" s="15">
        <f>(1+AA21)/(1+MAX(AA$2:AA21))-1</f>
        <v>0</v>
      </c>
      <c r="AC21" s="58">
        <f t="shared" si="12"/>
        <v>2623.8481325320695</v>
      </c>
      <c r="AD21" s="19"/>
      <c r="AE21" s="59"/>
      <c r="AH21" s="62"/>
      <c r="AI21" s="62"/>
      <c r="AJ21" s="62"/>
      <c r="AK21" s="62"/>
    </row>
    <row r="22" spans="1:37" s="61" customFormat="1" outlineLevel="1" x14ac:dyDescent="0.3">
      <c r="A22" s="61" t="s">
        <v>663</v>
      </c>
      <c r="B22" s="55" t="str">
        <f t="shared" si="0"/>
        <v>2021-9</v>
      </c>
      <c r="C22" s="11">
        <v>44440</v>
      </c>
      <c r="D22" s="116" t="s">
        <v>53</v>
      </c>
      <c r="E22" s="14">
        <v>-5.7700000000000001E-2</v>
      </c>
      <c r="F22" s="15">
        <f t="shared" si="13"/>
        <v>-0.46058848665903185</v>
      </c>
      <c r="G22" s="15">
        <f t="shared" si="3"/>
        <v>-0.1905868077200642</v>
      </c>
      <c r="H22" s="13">
        <f>(1+G22)/(1+MAX(G$2:G22))-1</f>
        <v>-0.56519218529879045</v>
      </c>
      <c r="I22" s="116" t="s">
        <v>643</v>
      </c>
      <c r="J22" s="14">
        <v>-2.47E-2</v>
      </c>
      <c r="K22" s="15">
        <f t="shared" si="14"/>
        <v>0.6121182009023225</v>
      </c>
      <c r="L22" s="15">
        <f t="shared" si="5"/>
        <v>1.2746084478729691</v>
      </c>
      <c r="M22" s="13">
        <f>(1+L22)/(1+MAX(L$2:L22))-1</f>
        <v>-2.4699999999999944E-2</v>
      </c>
      <c r="N22" s="117" t="s">
        <v>160</v>
      </c>
      <c r="O22" s="14">
        <v>-5.1299999999999998E-2</v>
      </c>
      <c r="P22" s="15">
        <f t="shared" si="15"/>
        <v>0.49401551743149463</v>
      </c>
      <c r="Q22" s="15">
        <f t="shared" si="7"/>
        <v>1.1808066712886465</v>
      </c>
      <c r="R22" s="13">
        <f>(1+Q22)/(1+MAX(Q$2:Q22))-1</f>
        <v>-5.1300000000000012E-2</v>
      </c>
      <c r="S22" s="117" t="s">
        <v>642</v>
      </c>
      <c r="T22" s="14">
        <v>-8.0699999999999994E-2</v>
      </c>
      <c r="U22" s="15">
        <f t="shared" si="16"/>
        <v>0.44094721627371025</v>
      </c>
      <c r="V22" s="15">
        <f t="shared" si="9"/>
        <v>4.9765195497987502</v>
      </c>
      <c r="W22" s="13">
        <f>(1+V22)/(1+MAX(V$2:V22))-1</f>
        <v>-8.0700000000000105E-2</v>
      </c>
      <c r="X22" s="19"/>
      <c r="Y22" s="115">
        <f t="shared" si="1"/>
        <v>-5.3599999999999995E-2</v>
      </c>
      <c r="Z22" s="15">
        <f t="shared" si="17"/>
        <v>0.21013771930498026</v>
      </c>
      <c r="AA22" s="15">
        <f t="shared" si="11"/>
        <v>1.4832098726283496</v>
      </c>
      <c r="AB22" s="15">
        <f>(1+AA22)/(1+MAX(AA$2:AA22))-1</f>
        <v>-5.359999999999987E-2</v>
      </c>
      <c r="AC22" s="58">
        <f t="shared" si="12"/>
        <v>2483.2098726283507</v>
      </c>
      <c r="AD22" s="19"/>
      <c r="AE22" s="59"/>
      <c r="AH22" s="62"/>
    </row>
    <row r="23" spans="1:37" s="61" customFormat="1" outlineLevel="1" x14ac:dyDescent="0.3">
      <c r="A23" s="61" t="s">
        <v>663</v>
      </c>
      <c r="B23" s="55" t="str">
        <f t="shared" si="0"/>
        <v>2021-10</v>
      </c>
      <c r="C23" s="11">
        <v>44470</v>
      </c>
      <c r="D23" s="116" t="s">
        <v>53</v>
      </c>
      <c r="E23" s="14">
        <v>0.14360000000000001</v>
      </c>
      <c r="F23" s="15">
        <f t="shared" si="13"/>
        <v>-0.38312899334326889</v>
      </c>
      <c r="G23" s="15">
        <f t="shared" si="3"/>
        <v>-7.435507330866542E-2</v>
      </c>
      <c r="H23" s="13">
        <f>(1+G23)/(1+MAX(G$2:G23))-1</f>
        <v>-0.50275378310769669</v>
      </c>
      <c r="I23" s="116" t="s">
        <v>643</v>
      </c>
      <c r="J23" s="14">
        <v>9.2399999999999996E-2</v>
      </c>
      <c r="K23" s="15">
        <f t="shared" si="14"/>
        <v>0.76107792266569718</v>
      </c>
      <c r="L23" s="15">
        <f t="shared" si="5"/>
        <v>1.4847822684564314</v>
      </c>
      <c r="M23" s="13">
        <f>(1+L23)/(1+MAX(L$2:L23))-1</f>
        <v>0</v>
      </c>
      <c r="N23" s="117" t="s">
        <v>160</v>
      </c>
      <c r="O23" s="14">
        <v>0.71640000000000004</v>
      </c>
      <c r="P23" s="15">
        <f t="shared" si="15"/>
        <v>1.5643282341194178</v>
      </c>
      <c r="Q23" s="15">
        <f t="shared" si="7"/>
        <v>2.743136570599833</v>
      </c>
      <c r="R23" s="13">
        <f>(1+Q23)/(1+MAX(Q$2:Q23))-1</f>
        <v>0</v>
      </c>
      <c r="S23" s="117" t="s">
        <v>642</v>
      </c>
      <c r="T23" s="14">
        <v>7.3200000000000001E-2</v>
      </c>
      <c r="U23" s="15">
        <f t="shared" si="16"/>
        <v>0.54642455250494582</v>
      </c>
      <c r="V23" s="15">
        <f t="shared" si="9"/>
        <v>5.4140007808440185</v>
      </c>
      <c r="W23" s="13">
        <f>(1+V23)/(1+MAX(V$2:V23))-1</f>
        <v>-1.3407240000000153E-2</v>
      </c>
      <c r="X23" s="21"/>
      <c r="Y23" s="115">
        <f t="shared" si="1"/>
        <v>0.25640000000000002</v>
      </c>
      <c r="Z23" s="15">
        <f t="shared" si="17"/>
        <v>0.52041703053477706</v>
      </c>
      <c r="AA23" s="15">
        <f t="shared" si="11"/>
        <v>2.1199048839702583</v>
      </c>
      <c r="AB23" s="15">
        <f>(1+AA23)/(1+MAX(AA$2:AA23))-1</f>
        <v>0</v>
      </c>
      <c r="AC23" s="58">
        <f t="shared" si="12"/>
        <v>3119.9048839702596</v>
      </c>
      <c r="AD23" s="21"/>
      <c r="AE23" s="59"/>
    </row>
    <row r="24" spans="1:37" s="61" customFormat="1" outlineLevel="1" x14ac:dyDescent="0.3">
      <c r="A24" s="61" t="s">
        <v>663</v>
      </c>
      <c r="B24" s="55" t="str">
        <f t="shared" si="0"/>
        <v>2021-11</v>
      </c>
      <c r="C24" s="11">
        <v>44501</v>
      </c>
      <c r="D24" s="116" t="s">
        <v>92</v>
      </c>
      <c r="E24" s="14">
        <v>-6.6600000000000006E-2</v>
      </c>
      <c r="F24" s="15">
        <f t="shared" si="13"/>
        <v>-0.42421260238660718</v>
      </c>
      <c r="G24" s="15">
        <f t="shared" si="3"/>
        <v>-0.13600302542630827</v>
      </c>
      <c r="H24" s="13">
        <f>(1+G24)/(1+MAX(G$2:G24))-1</f>
        <v>-0.53587038115272412</v>
      </c>
      <c r="I24" s="116" t="s">
        <v>53</v>
      </c>
      <c r="J24" s="14">
        <v>2.1499999999999998E-2</v>
      </c>
      <c r="K24" s="15">
        <f t="shared" si="14"/>
        <v>0.79894109800300983</v>
      </c>
      <c r="L24" s="15">
        <f t="shared" si="5"/>
        <v>1.5382050872282447</v>
      </c>
      <c r="M24" s="13">
        <f>(1+L24)/(1+MAX(L$2:L24))-1</f>
        <v>0</v>
      </c>
      <c r="N24" s="117" t="s">
        <v>160</v>
      </c>
      <c r="O24" s="14">
        <v>1E-4</v>
      </c>
      <c r="P24" s="15">
        <f t="shared" si="15"/>
        <v>1.5645846669428298</v>
      </c>
      <c r="Q24" s="15">
        <f t="shared" si="7"/>
        <v>2.7435108842568927</v>
      </c>
      <c r="R24" s="13">
        <f>(1+Q24)/(1+MAX(Q$2:Q24))-1</f>
        <v>0</v>
      </c>
      <c r="S24" s="117" t="s">
        <v>642</v>
      </c>
      <c r="T24" s="14">
        <v>0.18179999999999999</v>
      </c>
      <c r="U24" s="15">
        <f t="shared" si="16"/>
        <v>0.82756453615034498</v>
      </c>
      <c r="V24" s="15">
        <f t="shared" si="9"/>
        <v>6.580066122801461</v>
      </c>
      <c r="W24" s="13">
        <f>(1+V24)/(1+MAX(V$2:V24))-1</f>
        <v>0</v>
      </c>
      <c r="X24" s="21"/>
      <c r="Y24" s="115">
        <f t="shared" si="1"/>
        <v>3.4199999999999994E-2</v>
      </c>
      <c r="Z24" s="15">
        <f t="shared" si="17"/>
        <v>0.57241529297906646</v>
      </c>
      <c r="AA24" s="15">
        <f t="shared" si="11"/>
        <v>2.226605631002041</v>
      </c>
      <c r="AB24" s="15">
        <f>(1+AA24)/(1+MAX(AA$2:AA24))-1</f>
        <v>0</v>
      </c>
      <c r="AC24" s="58">
        <f t="shared" si="12"/>
        <v>3226.6056310020426</v>
      </c>
      <c r="AD24" s="21"/>
      <c r="AE24" s="59"/>
    </row>
    <row r="25" spans="1:37" s="27" customFormat="1" ht="15" thickBot="1" x14ac:dyDescent="0.35">
      <c r="A25" s="27" t="s">
        <v>663</v>
      </c>
      <c r="B25" s="63" t="str">
        <f t="shared" si="0"/>
        <v>2021-12</v>
      </c>
      <c r="C25" s="22">
        <v>44531</v>
      </c>
      <c r="D25" s="23" t="s">
        <v>92</v>
      </c>
      <c r="E25" s="24">
        <v>8.0299999999999996E-2</v>
      </c>
      <c r="F25" s="25">
        <f t="shared" si="13"/>
        <v>-0.37797687435825167</v>
      </c>
      <c r="G25" s="25">
        <f t="shared" si="3"/>
        <v>-6.6624068368040801E-2</v>
      </c>
      <c r="H25" s="26">
        <f>(1+G25)/(1+MAX(G$2:G25))-1</f>
        <v>-0.49860077275928782</v>
      </c>
      <c r="I25" s="23" t="s">
        <v>53</v>
      </c>
      <c r="J25" s="24">
        <v>7.9200000000000007E-2</v>
      </c>
      <c r="K25" s="25">
        <f t="shared" si="14"/>
        <v>0.94141723296484803</v>
      </c>
      <c r="L25" s="25">
        <f t="shared" si="5"/>
        <v>1.7392309301367215</v>
      </c>
      <c r="M25" s="26">
        <f>(1+L25)/(1+MAX(L$2:L25))-1</f>
        <v>0</v>
      </c>
      <c r="N25" s="29" t="s">
        <v>160</v>
      </c>
      <c r="O25" s="24">
        <v>-0.3034</v>
      </c>
      <c r="P25" s="25">
        <f t="shared" si="15"/>
        <v>0.78648967899237521</v>
      </c>
      <c r="Q25" s="25">
        <f t="shared" si="7"/>
        <v>1.6077296819733515</v>
      </c>
      <c r="R25" s="26">
        <f>(1+Q25)/(1+MAX(Q$2:Q25))-1</f>
        <v>-0.3034</v>
      </c>
      <c r="S25" s="29" t="s">
        <v>642</v>
      </c>
      <c r="T25" s="24">
        <v>0.23080000000000001</v>
      </c>
      <c r="U25" s="25">
        <f t="shared" si="16"/>
        <v>1.2493664310938444</v>
      </c>
      <c r="V25" s="25">
        <f t="shared" si="9"/>
        <v>8.329545383944037</v>
      </c>
      <c r="W25" s="26">
        <f>(1+V25)/(1+MAX(V$2:V25))-1</f>
        <v>0</v>
      </c>
      <c r="X25" s="31"/>
      <c r="Y25" s="32">
        <f t="shared" si="1"/>
        <v>2.1725000000000001E-2</v>
      </c>
      <c r="Z25" s="25">
        <f t="shared" si="17"/>
        <v>0.6065760152190367</v>
      </c>
      <c r="AA25" s="25">
        <f t="shared" si="11"/>
        <v>2.2967036383355603</v>
      </c>
      <c r="AB25" s="25">
        <f>(1+AA25)/(1+MAX(AA$2:AA25))-1</f>
        <v>0</v>
      </c>
      <c r="AC25" s="66">
        <f t="shared" si="12"/>
        <v>3296.7036383355621</v>
      </c>
      <c r="AD25" s="31"/>
      <c r="AE25" s="22"/>
    </row>
    <row r="26" spans="1:37" s="54" customFormat="1" outlineLevel="1" x14ac:dyDescent="0.3">
      <c r="A26" s="54" t="s">
        <v>663</v>
      </c>
      <c r="B26" s="48" t="str">
        <f t="shared" si="0"/>
        <v>2022-1</v>
      </c>
      <c r="C26" s="1">
        <v>44562</v>
      </c>
      <c r="D26" s="113" t="s">
        <v>92</v>
      </c>
      <c r="E26" s="4">
        <v>1.3566</v>
      </c>
      <c r="F26" s="5">
        <f>+E26</f>
        <v>1.3566</v>
      </c>
      <c r="G26" s="5">
        <f t="shared" si="3"/>
        <v>1.1995937204838754</v>
      </c>
      <c r="H26" s="3">
        <f>(1+G26)/(1+MAX(G$2:G26))-1</f>
        <v>0</v>
      </c>
      <c r="I26" s="113" t="s">
        <v>53</v>
      </c>
      <c r="J26" s="4">
        <v>-0.16020000000000001</v>
      </c>
      <c r="K26" s="5">
        <f>+J26</f>
        <v>-0.16020000000000001</v>
      </c>
      <c r="L26" s="5">
        <f t="shared" si="5"/>
        <v>1.3004061351288185</v>
      </c>
      <c r="M26" s="3">
        <f>(1+L26)/(1+MAX(L$2:L26))-1</f>
        <v>-0.16020000000000001</v>
      </c>
      <c r="N26" s="114" t="s">
        <v>160</v>
      </c>
      <c r="O26" s="4">
        <v>-0.25559999999999999</v>
      </c>
      <c r="P26" s="5">
        <f>+O26</f>
        <v>-0.25559999999999999</v>
      </c>
      <c r="Q26" s="5">
        <f t="shared" si="7"/>
        <v>0.94119397526096282</v>
      </c>
      <c r="R26" s="3">
        <f>(1+Q26)/(1+MAX(Q$2:Q26))-1</f>
        <v>-0.48145095999999998</v>
      </c>
      <c r="S26" s="114" t="s">
        <v>642</v>
      </c>
      <c r="T26" s="4">
        <v>0</v>
      </c>
      <c r="U26" s="5">
        <f>+T26</f>
        <v>0</v>
      </c>
      <c r="V26" s="5">
        <f t="shared" si="9"/>
        <v>8.329545383944037</v>
      </c>
      <c r="W26" s="3">
        <f>(1+V26)/(1+MAX(V$2:V26))-1</f>
        <v>0</v>
      </c>
      <c r="X26" s="9"/>
      <c r="Y26" s="115">
        <f t="shared" si="1"/>
        <v>0.23520000000000002</v>
      </c>
      <c r="Z26" s="5">
        <f>+Y26</f>
        <v>0.23520000000000002</v>
      </c>
      <c r="AA26" s="5">
        <f t="shared" si="11"/>
        <v>3.0720883340720846</v>
      </c>
      <c r="AB26" s="5">
        <f>(1+AA26)/(1+MAX(AA$2:AA26))-1</f>
        <v>0</v>
      </c>
      <c r="AC26" s="51">
        <f t="shared" si="12"/>
        <v>4072.0883340720866</v>
      </c>
      <c r="AD26" s="9"/>
      <c r="AE26" s="52"/>
    </row>
    <row r="27" spans="1:37" s="61" customFormat="1" outlineLevel="1" x14ac:dyDescent="0.3">
      <c r="A27" s="61" t="s">
        <v>663</v>
      </c>
      <c r="B27" s="55" t="str">
        <f t="shared" si="0"/>
        <v>2022-2</v>
      </c>
      <c r="C27" s="11">
        <v>44593</v>
      </c>
      <c r="D27" s="116" t="s">
        <v>92</v>
      </c>
      <c r="E27" s="14">
        <v>-0.1489</v>
      </c>
      <c r="F27" s="15">
        <f t="shared" ref="F27:F37" si="18">+(1+E27)*(1+F26)-1</f>
        <v>1.0057022600000001</v>
      </c>
      <c r="G27" s="15">
        <f t="shared" si="3"/>
        <v>0.87207421550382636</v>
      </c>
      <c r="H27" s="13">
        <f>(1+G27)/(1+MAX(G$2:G27))-1</f>
        <v>-0.14890000000000003</v>
      </c>
      <c r="I27" s="116" t="s">
        <v>53</v>
      </c>
      <c r="J27" s="14">
        <v>0.15609999999999999</v>
      </c>
      <c r="K27" s="15">
        <f t="shared" ref="K27:K37" si="19">+(1+J27)*(1+K26)-1</f>
        <v>-2.91072200000001E-2</v>
      </c>
      <c r="L27" s="15">
        <f t="shared" si="5"/>
        <v>1.6594995328224269</v>
      </c>
      <c r="M27" s="13">
        <f>(1+L27)/(1+MAX(L$2:L27))-1</f>
        <v>-2.91072200000001E-2</v>
      </c>
      <c r="N27" s="117" t="s">
        <v>42</v>
      </c>
      <c r="O27" s="14">
        <v>-6.7000000000000002E-3</v>
      </c>
      <c r="P27" s="15">
        <f t="shared" ref="P27:P37" si="20">+(1+O27)*(1+P26)-1</f>
        <v>-0.26058748000000009</v>
      </c>
      <c r="Q27" s="15">
        <f t="shared" si="7"/>
        <v>0.9281879756267144</v>
      </c>
      <c r="R27" s="13">
        <f>(1+Q27)/(1+MAX(Q$2:Q27))-1</f>
        <v>-0.48492523856799996</v>
      </c>
      <c r="S27" s="117" t="s">
        <v>642</v>
      </c>
      <c r="T27" s="14">
        <v>-0.15310000000000001</v>
      </c>
      <c r="U27" s="15">
        <f t="shared" ref="U27:U37" si="21">+(1+T27)*(1+U26)-1</f>
        <v>-0.15310000000000001</v>
      </c>
      <c r="V27" s="15">
        <f t="shared" si="9"/>
        <v>6.901191985662205</v>
      </c>
      <c r="W27" s="13">
        <f>(1+V27)/(1+MAX(V$2:V27))-1</f>
        <v>-0.15310000000000001</v>
      </c>
      <c r="X27" s="19"/>
      <c r="Y27" s="115">
        <f t="shared" si="1"/>
        <v>-3.815000000000001E-2</v>
      </c>
      <c r="Z27" s="15">
        <f t="shared" ref="Z27:Z37" si="22">+(1+Y27)*(1+Z26)-1</f>
        <v>0.18807711999999999</v>
      </c>
      <c r="AA27" s="15">
        <f t="shared" si="11"/>
        <v>2.9167381641272345</v>
      </c>
      <c r="AB27" s="15">
        <f>(1+AA27)/(1+MAX(AA$2:AA27))-1</f>
        <v>-3.8150000000000017E-2</v>
      </c>
      <c r="AC27" s="58">
        <f t="shared" si="12"/>
        <v>3916.7381641272364</v>
      </c>
      <c r="AD27" s="19"/>
      <c r="AE27" s="59"/>
    </row>
    <row r="28" spans="1:37" s="61" customFormat="1" outlineLevel="1" x14ac:dyDescent="0.3">
      <c r="A28" s="61" t="s">
        <v>663</v>
      </c>
      <c r="B28" s="55" t="str">
        <f t="shared" si="0"/>
        <v>2022-3</v>
      </c>
      <c r="C28" s="11">
        <v>44621</v>
      </c>
      <c r="D28" s="116" t="s">
        <v>92</v>
      </c>
      <c r="E28" s="14">
        <v>0.32890000000000003</v>
      </c>
      <c r="F28" s="15">
        <f t="shared" si="18"/>
        <v>1.6653777333140001</v>
      </c>
      <c r="G28" s="15">
        <f t="shared" si="3"/>
        <v>1.4877994249830349</v>
      </c>
      <c r="H28" s="13">
        <f>(1+G28)/(1+MAX(G$2:G28))-1</f>
        <v>0</v>
      </c>
      <c r="I28" s="116" t="s">
        <v>53</v>
      </c>
      <c r="J28" s="14">
        <v>-6.4000000000000003E-3</v>
      </c>
      <c r="K28" s="15">
        <f t="shared" si="19"/>
        <v>-3.5320933792000075E-2</v>
      </c>
      <c r="L28" s="15">
        <f t="shared" si="5"/>
        <v>1.6424787358123636</v>
      </c>
      <c r="M28" s="13">
        <f>(1+L28)/(1+MAX(L$2:L28))-1</f>
        <v>-3.5320933792000075E-2</v>
      </c>
      <c r="N28" s="117" t="s">
        <v>643</v>
      </c>
      <c r="O28" s="14">
        <v>5.1799999999999999E-2</v>
      </c>
      <c r="P28" s="15">
        <f t="shared" si="20"/>
        <v>-0.22228591146400001</v>
      </c>
      <c r="Q28" s="15">
        <f t="shared" si="7"/>
        <v>1.0280681127641782</v>
      </c>
      <c r="R28" s="13">
        <f>(1+Q28)/(1+MAX(Q$2:Q28))-1</f>
        <v>-0.45824436592582241</v>
      </c>
      <c r="S28" s="117" t="s">
        <v>642</v>
      </c>
      <c r="T28" s="14">
        <v>0.18079999999999999</v>
      </c>
      <c r="U28" s="15">
        <f t="shared" si="21"/>
        <v>1.9519999999939586E-5</v>
      </c>
      <c r="V28" s="15">
        <f t="shared" si="9"/>
        <v>8.329727496669932</v>
      </c>
      <c r="W28" s="13">
        <f>(1+V28)/(1+MAX(V$2:V28))-1</f>
        <v>0</v>
      </c>
      <c r="X28" s="19"/>
      <c r="Y28" s="115">
        <f t="shared" si="1"/>
        <v>0.13877500000000001</v>
      </c>
      <c r="Z28" s="15">
        <f t="shared" si="22"/>
        <v>0.35295252232800012</v>
      </c>
      <c r="AA28" s="15">
        <f t="shared" si="11"/>
        <v>3.4602835028539918</v>
      </c>
      <c r="AB28" s="15">
        <f>(1+AA28)/(1+MAX(AA$2:AA28))-1</f>
        <v>0</v>
      </c>
      <c r="AC28" s="58">
        <f t="shared" si="12"/>
        <v>4460.2835028539939</v>
      </c>
      <c r="AD28" s="19"/>
      <c r="AE28" s="59"/>
    </row>
    <row r="29" spans="1:37" s="61" customFormat="1" outlineLevel="1" x14ac:dyDescent="0.3">
      <c r="A29" s="61" t="s">
        <v>663</v>
      </c>
      <c r="B29" s="55" t="str">
        <f t="shared" si="0"/>
        <v>2022-4</v>
      </c>
      <c r="C29" s="11">
        <v>44652</v>
      </c>
      <c r="D29" s="116" t="s">
        <v>92</v>
      </c>
      <c r="E29" s="14">
        <v>-4.6899999999999997E-2</v>
      </c>
      <c r="F29" s="15">
        <f t="shared" si="18"/>
        <v>1.5403715176215735</v>
      </c>
      <c r="G29" s="15">
        <f t="shared" si="3"/>
        <v>1.3711216319513309</v>
      </c>
      <c r="H29" s="13">
        <f>(1+G29)/(1+MAX(G$2:G29))-1</f>
        <v>-4.6899999999999831E-2</v>
      </c>
      <c r="I29" s="116" t="s">
        <v>53</v>
      </c>
      <c r="J29" s="14">
        <v>-0.1014</v>
      </c>
      <c r="K29" s="15">
        <f t="shared" si="19"/>
        <v>-0.13313939110549133</v>
      </c>
      <c r="L29" s="15">
        <f t="shared" si="5"/>
        <v>1.3745313920009896</v>
      </c>
      <c r="M29" s="13">
        <f>(1+L29)/(1+MAX(L$2:L29))-1</f>
        <v>-0.13313939110549133</v>
      </c>
      <c r="N29" s="117" t="s">
        <v>642</v>
      </c>
      <c r="O29" s="14">
        <v>-0.1094</v>
      </c>
      <c r="P29" s="15">
        <f t="shared" si="20"/>
        <v>-0.30736783274983837</v>
      </c>
      <c r="Q29" s="15">
        <f t="shared" si="7"/>
        <v>0.80619746122777713</v>
      </c>
      <c r="R29" s="13">
        <f>(1+Q29)/(1+MAX(Q$2:Q29))-1</f>
        <v>-0.51751243229353738</v>
      </c>
      <c r="S29" s="117" t="s">
        <v>77</v>
      </c>
      <c r="T29" s="14">
        <v>0.1182</v>
      </c>
      <c r="U29" s="15">
        <f t="shared" si="21"/>
        <v>0.1182218272640001</v>
      </c>
      <c r="V29" s="15">
        <f t="shared" si="9"/>
        <v>9.4325012867763185</v>
      </c>
      <c r="W29" s="13">
        <f>(1+V29)/(1+MAX(V$2:V29))-1</f>
        <v>0</v>
      </c>
      <c r="X29" s="19"/>
      <c r="Y29" s="115">
        <f t="shared" si="1"/>
        <v>-3.4874999999999996E-2</v>
      </c>
      <c r="Z29" s="15">
        <f t="shared" si="22"/>
        <v>0.30576830311181102</v>
      </c>
      <c r="AA29" s="15">
        <f t="shared" si="11"/>
        <v>3.3047311156919585</v>
      </c>
      <c r="AB29" s="15">
        <f>(1+AA29)/(1+MAX(AA$2:AA29))-1</f>
        <v>-3.48750000000001E-2</v>
      </c>
      <c r="AC29" s="58">
        <f t="shared" si="12"/>
        <v>4304.7311156919613</v>
      </c>
      <c r="AD29" s="19"/>
      <c r="AE29" s="59"/>
    </row>
    <row r="30" spans="1:37" s="61" customFormat="1" outlineLevel="1" x14ac:dyDescent="0.3">
      <c r="A30" s="61" t="s">
        <v>663</v>
      </c>
      <c r="B30" s="55" t="str">
        <f t="shared" si="0"/>
        <v>2022-5</v>
      </c>
      <c r="C30" s="11">
        <v>44682</v>
      </c>
      <c r="D30" s="116" t="s">
        <v>92</v>
      </c>
      <c r="E30" s="14">
        <v>-9.2799999999999994E-2</v>
      </c>
      <c r="F30" s="15">
        <f t="shared" si="18"/>
        <v>1.3046250407862914</v>
      </c>
      <c r="G30" s="15">
        <f t="shared" si="3"/>
        <v>1.1510815445062472</v>
      </c>
      <c r="H30" s="13">
        <f>(1+G30)/(1+MAX(G$2:G30))-1</f>
        <v>-0.13534767999999997</v>
      </c>
      <c r="I30" s="116" t="s">
        <v>642</v>
      </c>
      <c r="J30" s="14">
        <v>3.5099999999999999E-2</v>
      </c>
      <c r="K30" s="15">
        <f t="shared" si="19"/>
        <v>-0.10271258373329417</v>
      </c>
      <c r="L30" s="15">
        <f t="shared" si="5"/>
        <v>1.457877443860224</v>
      </c>
      <c r="M30" s="13">
        <f>(1+L30)/(1+MAX(L$2:L30))-1</f>
        <v>-0.10271258373329428</v>
      </c>
      <c r="N30" s="117" t="s">
        <v>77</v>
      </c>
      <c r="O30" s="14">
        <v>-0.1072</v>
      </c>
      <c r="P30" s="15">
        <f t="shared" si="20"/>
        <v>-0.38161800107905564</v>
      </c>
      <c r="Q30" s="15">
        <f t="shared" si="7"/>
        <v>0.61257309338415955</v>
      </c>
      <c r="R30" s="13">
        <f>(1+Q30)/(1+MAX(Q$2:Q30))-1</f>
        <v>-0.56923509955167018</v>
      </c>
      <c r="S30" s="117" t="s">
        <v>644</v>
      </c>
      <c r="T30" s="14">
        <v>2.64E-2</v>
      </c>
      <c r="U30" s="15">
        <f t="shared" si="21"/>
        <v>0.14774288350376974</v>
      </c>
      <c r="V30" s="15">
        <f t="shared" si="9"/>
        <v>9.7079193207472123</v>
      </c>
      <c r="W30" s="13">
        <f>(1+V30)/(1+MAX(V$2:V30))-1</f>
        <v>0</v>
      </c>
      <c r="X30" s="19"/>
      <c r="Y30" s="115">
        <f t="shared" si="1"/>
        <v>-3.4624999999999996E-2</v>
      </c>
      <c r="Z30" s="15">
        <f t="shared" si="22"/>
        <v>0.26055607561656458</v>
      </c>
      <c r="AA30" s="15">
        <f t="shared" si="11"/>
        <v>3.1556798008111242</v>
      </c>
      <c r="AB30" s="15">
        <f>(1+AA30)/(1+MAX(AA$2:AA30))-1</f>
        <v>-6.8292453125000097E-2</v>
      </c>
      <c r="AC30" s="58">
        <f t="shared" si="12"/>
        <v>4155.6798008111273</v>
      </c>
      <c r="AD30" s="19"/>
      <c r="AE30" s="59"/>
      <c r="AH30" s="62"/>
      <c r="AI30" s="62"/>
      <c r="AJ30" s="62"/>
      <c r="AK30" s="62"/>
    </row>
    <row r="31" spans="1:37" s="61" customFormat="1" outlineLevel="1" x14ac:dyDescent="0.3">
      <c r="A31" s="61" t="s">
        <v>663</v>
      </c>
      <c r="B31" s="55" t="str">
        <f t="shared" si="0"/>
        <v>2022-6</v>
      </c>
      <c r="C31" s="11">
        <v>44713</v>
      </c>
      <c r="D31" s="116" t="s">
        <v>92</v>
      </c>
      <c r="E31" s="14">
        <v>-0.31929999999999997</v>
      </c>
      <c r="F31" s="15">
        <f t="shared" si="18"/>
        <v>0.56875826526322881</v>
      </c>
      <c r="G31" s="15">
        <f t="shared" si="3"/>
        <v>0.46424120734540275</v>
      </c>
      <c r="H31" s="13">
        <f>(1+G31)/(1+MAX(G$2:G31))-1</f>
        <v>-0.41143116577599981</v>
      </c>
      <c r="I31" s="116" t="s">
        <v>77</v>
      </c>
      <c r="J31" s="14">
        <v>0.1699</v>
      </c>
      <c r="K31" s="15">
        <f t="shared" si="19"/>
        <v>4.9736548290419069E-2</v>
      </c>
      <c r="L31" s="15">
        <f t="shared" si="5"/>
        <v>1.8754708215720761</v>
      </c>
      <c r="M31" s="13">
        <f>(1+L31)/(1+MAX(L$2:L31))-1</f>
        <v>0</v>
      </c>
      <c r="N31" s="117" t="s">
        <v>612</v>
      </c>
      <c r="O31" s="14">
        <v>-0.16550000000000001</v>
      </c>
      <c r="P31" s="15">
        <f t="shared" si="20"/>
        <v>-0.48396022190047194</v>
      </c>
      <c r="Q31" s="15">
        <f t="shared" si="7"/>
        <v>0.34569224642908125</v>
      </c>
      <c r="R31" s="13">
        <f>(1+Q31)/(1+MAX(Q$2:Q31))-1</f>
        <v>-0.64052669057586875</v>
      </c>
      <c r="S31" s="117" t="s">
        <v>644</v>
      </c>
      <c r="T31" s="14">
        <v>-0.2392</v>
      </c>
      <c r="U31" s="15">
        <f t="shared" si="21"/>
        <v>-0.12679721423033197</v>
      </c>
      <c r="V31" s="15">
        <f t="shared" si="9"/>
        <v>7.1465850192244798</v>
      </c>
      <c r="W31" s="13">
        <f>(1+V31)/(1+MAX(V$2:V31))-1</f>
        <v>-0.23919999999999997</v>
      </c>
      <c r="X31" s="19"/>
      <c r="Y31" s="115">
        <f t="shared" si="1"/>
        <v>-0.13852499999999998</v>
      </c>
      <c r="Z31" s="15">
        <f t="shared" si="22"/>
        <v>8.5937545241779878E-2</v>
      </c>
      <c r="AA31" s="15">
        <f t="shared" si="11"/>
        <v>2.5800142564037634</v>
      </c>
      <c r="AB31" s="15">
        <f>(1+AA31)/(1+MAX(AA$2:AA31))-1</f>
        <v>-0.1973572410558595</v>
      </c>
      <c r="AC31" s="58">
        <f t="shared" si="12"/>
        <v>3580.014256403766</v>
      </c>
      <c r="AD31" s="19"/>
      <c r="AE31" s="59"/>
      <c r="AH31" s="62"/>
      <c r="AI31" s="62"/>
      <c r="AJ31" s="62"/>
      <c r="AK31" s="62"/>
    </row>
    <row r="32" spans="1:37" s="61" customFormat="1" outlineLevel="1" x14ac:dyDescent="0.3">
      <c r="A32" s="61" t="s">
        <v>663</v>
      </c>
      <c r="B32" s="55" t="str">
        <f t="shared" si="0"/>
        <v>2022-7</v>
      </c>
      <c r="C32" s="11">
        <v>44743</v>
      </c>
      <c r="D32" s="116" t="s">
        <v>92</v>
      </c>
      <c r="E32" s="14">
        <v>-2.8E-3</v>
      </c>
      <c r="F32" s="15">
        <f t="shared" si="18"/>
        <v>0.56436574212049173</v>
      </c>
      <c r="G32" s="15">
        <f t="shared" si="3"/>
        <v>0.46014133196483553</v>
      </c>
      <c r="H32" s="13">
        <f>(1+G32)/(1+MAX(G$2:G32))-1</f>
        <v>-0.41307915851182708</v>
      </c>
      <c r="I32" s="116" t="s">
        <v>77</v>
      </c>
      <c r="J32" s="14">
        <v>-0.18820000000000001</v>
      </c>
      <c r="K32" s="15">
        <f t="shared" si="19"/>
        <v>-0.14782387009783782</v>
      </c>
      <c r="L32" s="15">
        <f t="shared" si="5"/>
        <v>1.3343072129522113</v>
      </c>
      <c r="M32" s="13">
        <f>(1+L32)/(1+MAX(L$2:L32))-1</f>
        <v>-0.18820000000000003</v>
      </c>
      <c r="N32" s="117" t="s">
        <v>612</v>
      </c>
      <c r="O32" s="14">
        <v>0.20699999999999999</v>
      </c>
      <c r="P32" s="15">
        <f t="shared" si="20"/>
        <v>-0.37713998783386959</v>
      </c>
      <c r="Q32" s="15">
        <f t="shared" si="7"/>
        <v>0.62425054143990111</v>
      </c>
      <c r="R32" s="13">
        <f>(1+Q32)/(1+MAX(Q$2:Q32))-1</f>
        <v>-0.56611571552507356</v>
      </c>
      <c r="S32" s="117" t="s">
        <v>644</v>
      </c>
      <c r="T32" s="14">
        <v>-1.46E-2</v>
      </c>
      <c r="U32" s="15">
        <f t="shared" si="21"/>
        <v>-0.13954597490256904</v>
      </c>
      <c r="V32" s="15">
        <f t="shared" si="9"/>
        <v>7.0276448779438034</v>
      </c>
      <c r="W32" s="13">
        <f>(1+V32)/(1+MAX(V$2:V32))-1</f>
        <v>-0.25030767999999981</v>
      </c>
      <c r="X32" s="19"/>
      <c r="Y32" s="115">
        <f t="shared" si="1"/>
        <v>3.4999999999999658E-4</v>
      </c>
      <c r="Z32" s="15">
        <f t="shared" si="22"/>
        <v>8.6317623382614617E-2</v>
      </c>
      <c r="AA32" s="15">
        <f t="shared" si="11"/>
        <v>2.581267261393505</v>
      </c>
      <c r="AB32" s="15">
        <f>(1+AA32)/(1+MAX(AA$2:AA32))-1</f>
        <v>-0.19707631609022891</v>
      </c>
      <c r="AC32" s="58">
        <f t="shared" si="12"/>
        <v>3581.2672613935074</v>
      </c>
      <c r="AD32" s="19"/>
      <c r="AE32" s="59"/>
      <c r="AH32" s="62"/>
      <c r="AI32" s="62"/>
      <c r="AJ32" s="62"/>
      <c r="AK32" s="62"/>
    </row>
    <row r="33" spans="1:37" s="61" customFormat="1" outlineLevel="1" x14ac:dyDescent="0.3">
      <c r="A33" s="61" t="s">
        <v>663</v>
      </c>
      <c r="B33" s="55" t="str">
        <f t="shared" si="0"/>
        <v>2022-8</v>
      </c>
      <c r="C33" s="11">
        <v>44774</v>
      </c>
      <c r="D33" s="116" t="s">
        <v>92</v>
      </c>
      <c r="E33" s="14">
        <v>-8.3299999999999999E-2</v>
      </c>
      <c r="F33" s="15">
        <f t="shared" si="18"/>
        <v>0.43405407580185473</v>
      </c>
      <c r="G33" s="15">
        <f t="shared" si="3"/>
        <v>0.33851155901216456</v>
      </c>
      <c r="H33" s="13">
        <f>(1+G33)/(1+MAX(G$2:G33))-1</f>
        <v>-0.46196966460779199</v>
      </c>
      <c r="I33" s="116" t="s">
        <v>77</v>
      </c>
      <c r="J33" s="14">
        <v>-0.1143</v>
      </c>
      <c r="K33" s="15">
        <f t="shared" si="19"/>
        <v>-0.24522760174565494</v>
      </c>
      <c r="L33" s="15">
        <f t="shared" si="5"/>
        <v>1.0674958985117735</v>
      </c>
      <c r="M33" s="13">
        <f>(1+L33)/(1+MAX(L$2:L33))-1</f>
        <v>-0.28098874000000007</v>
      </c>
      <c r="N33" s="117" t="s">
        <v>645</v>
      </c>
      <c r="O33" s="14">
        <v>-2.6700000000000002E-2</v>
      </c>
      <c r="P33" s="15">
        <f t="shared" si="20"/>
        <v>-0.39377035015870521</v>
      </c>
      <c r="Q33" s="15">
        <f t="shared" si="7"/>
        <v>0.5808830519834558</v>
      </c>
      <c r="R33" s="13">
        <f>(1+Q33)/(1+MAX(Q$2:Q33))-1</f>
        <v>-0.57770042592055404</v>
      </c>
      <c r="S33" s="117" t="s">
        <v>612</v>
      </c>
      <c r="T33" s="14">
        <v>3.0200000000000001E-2</v>
      </c>
      <c r="U33" s="15">
        <f t="shared" si="21"/>
        <v>-0.11356026334462666</v>
      </c>
      <c r="V33" s="15">
        <f t="shared" si="9"/>
        <v>7.2700797532577059</v>
      </c>
      <c r="W33" s="13">
        <f>(1+V33)/(1+MAX(V$2:V33))-1</f>
        <v>-0.22766697193599983</v>
      </c>
      <c r="X33" s="19"/>
      <c r="Y33" s="115">
        <f t="shared" si="1"/>
        <v>-4.8524999999999999E-2</v>
      </c>
      <c r="Z33" s="15">
        <f t="shared" si="22"/>
        <v>3.3604060707973282E-2</v>
      </c>
      <c r="AA33" s="15">
        <f t="shared" si="11"/>
        <v>2.4074862675343849</v>
      </c>
      <c r="AB33" s="15">
        <f>(1+AA33)/(1+MAX(AA$2:AA33))-1</f>
        <v>-0.23603818785195063</v>
      </c>
      <c r="AC33" s="58">
        <f t="shared" si="12"/>
        <v>3407.4862675343875</v>
      </c>
      <c r="AD33" s="19"/>
      <c r="AE33" s="59"/>
      <c r="AH33" s="62"/>
      <c r="AI33" s="62"/>
      <c r="AJ33" s="62"/>
      <c r="AK33" s="62"/>
    </row>
    <row r="34" spans="1:37" s="61" customFormat="1" outlineLevel="1" x14ac:dyDescent="0.3">
      <c r="A34" s="61" t="s">
        <v>663</v>
      </c>
      <c r="B34" s="55" t="str">
        <f t="shared" si="0"/>
        <v>2022-9</v>
      </c>
      <c r="C34" s="11">
        <v>44805</v>
      </c>
      <c r="D34" s="116" t="s">
        <v>92</v>
      </c>
      <c r="E34" s="14">
        <v>-8.8300000000000003E-2</v>
      </c>
      <c r="F34" s="15">
        <f t="shared" si="18"/>
        <v>0.30742710090855097</v>
      </c>
      <c r="G34" s="15">
        <f t="shared" si="3"/>
        <v>0.22032098835139036</v>
      </c>
      <c r="H34" s="13">
        <f>(1+G34)/(1+MAX(G$2:G34))-1</f>
        <v>-0.50947774322292394</v>
      </c>
      <c r="I34" s="116" t="s">
        <v>642</v>
      </c>
      <c r="J34" s="14">
        <v>0.24929999999999999</v>
      </c>
      <c r="K34" s="15">
        <f t="shared" si="19"/>
        <v>-5.7062842860846619E-2</v>
      </c>
      <c r="L34" s="15">
        <f t="shared" si="5"/>
        <v>1.5829226260107587</v>
      </c>
      <c r="M34" s="13">
        <f>(1+L34)/(1+MAX(L$2:L34))-1</f>
        <v>-0.10173923288200004</v>
      </c>
      <c r="N34" s="117" t="s">
        <v>77</v>
      </c>
      <c r="O34" s="14">
        <v>-1.2999999999999999E-3</v>
      </c>
      <c r="P34" s="15">
        <f t="shared" si="20"/>
        <v>-0.39455844870349888</v>
      </c>
      <c r="Q34" s="15">
        <f t="shared" si="7"/>
        <v>0.57882790401587725</v>
      </c>
      <c r="R34" s="13">
        <f>(1+Q34)/(1+MAX(Q$2:Q34))-1</f>
        <v>-0.57824941536685737</v>
      </c>
      <c r="S34" s="117" t="s">
        <v>612</v>
      </c>
      <c r="T34" s="14">
        <v>-5.3100000000000001E-2</v>
      </c>
      <c r="U34" s="15">
        <f t="shared" si="21"/>
        <v>-0.16063021336102701</v>
      </c>
      <c r="V34" s="15">
        <f t="shared" si="9"/>
        <v>6.8309385183597211</v>
      </c>
      <c r="W34" s="13">
        <f>(1+V34)/(1+MAX(V$2:V34))-1</f>
        <v>-0.26867785572619829</v>
      </c>
      <c r="X34" s="19"/>
      <c r="Y34" s="115">
        <f t="shared" ref="Y34:Y65" si="23">AVERAGE(E34,J34,O34,T34)</f>
        <v>2.6649999999999993E-2</v>
      </c>
      <c r="Z34" s="15">
        <f t="shared" si="22"/>
        <v>6.1149608925840759E-2</v>
      </c>
      <c r="AA34" s="15">
        <f t="shared" si="11"/>
        <v>2.4982957765641767</v>
      </c>
      <c r="AB34" s="15">
        <f>(1+AA34)/(1+MAX(AA$2:AA34))-1</f>
        <v>-0.21567860555820506</v>
      </c>
      <c r="AC34" s="58">
        <f t="shared" si="12"/>
        <v>3498.2957765641791</v>
      </c>
      <c r="AD34" s="19"/>
      <c r="AE34" s="59"/>
      <c r="AH34" s="62"/>
    </row>
    <row r="35" spans="1:37" s="61" customFormat="1" outlineLevel="1" x14ac:dyDescent="0.3">
      <c r="A35" s="61" t="s">
        <v>663</v>
      </c>
      <c r="B35" s="55" t="str">
        <f t="shared" si="0"/>
        <v>2022-10</v>
      </c>
      <c r="C35" s="11">
        <v>44835</v>
      </c>
      <c r="D35" s="116" t="s">
        <v>92</v>
      </c>
      <c r="E35" s="14">
        <v>-0.18329999999999999</v>
      </c>
      <c r="F35" s="15">
        <f t="shared" si="18"/>
        <v>6.7775713312013597E-2</v>
      </c>
      <c r="G35" s="15">
        <f t="shared" si="3"/>
        <v>-3.3638488134195565E-3</v>
      </c>
      <c r="H35" s="13">
        <f>(1+G35)/(1+MAX(G$2:G35))-1</f>
        <v>-0.59939047289016201</v>
      </c>
      <c r="I35" s="116" t="s">
        <v>642</v>
      </c>
      <c r="J35" s="14">
        <v>0.1162</v>
      </c>
      <c r="K35" s="15">
        <f t="shared" si="19"/>
        <v>5.2506454798723068E-2</v>
      </c>
      <c r="L35" s="15">
        <f t="shared" si="5"/>
        <v>1.883058235153209</v>
      </c>
      <c r="M35" s="13">
        <f>(1+L35)/(1+MAX(L$2:L35))-1</f>
        <v>0</v>
      </c>
      <c r="N35" s="117" t="s">
        <v>77</v>
      </c>
      <c r="O35" s="14">
        <v>3.9800000000000002E-2</v>
      </c>
      <c r="P35" s="15">
        <f t="shared" si="20"/>
        <v>-0.37046187496189809</v>
      </c>
      <c r="Q35" s="15">
        <f t="shared" si="7"/>
        <v>0.64166525459570933</v>
      </c>
      <c r="R35" s="13">
        <f>(1+Q35)/(1+MAX(Q$2:Q35))-1</f>
        <v>-0.56146374209845828</v>
      </c>
      <c r="S35" s="117" t="s">
        <v>612</v>
      </c>
      <c r="T35" s="14">
        <v>1.9300000000000001E-2</v>
      </c>
      <c r="U35" s="15">
        <f t="shared" si="21"/>
        <v>-0.14443037647889478</v>
      </c>
      <c r="V35" s="15">
        <f t="shared" si="9"/>
        <v>6.9820756317640642</v>
      </c>
      <c r="W35" s="13">
        <f>(1+V35)/(1+MAX(V$2:V35))-1</f>
        <v>-0.25456333834171396</v>
      </c>
      <c r="X35" s="21"/>
      <c r="Y35" s="115">
        <f t="shared" si="23"/>
        <v>-1.9999999999999974E-3</v>
      </c>
      <c r="Z35" s="15">
        <f t="shared" si="22"/>
        <v>5.9027309707988973E-2</v>
      </c>
      <c r="AA35" s="15">
        <f t="shared" si="11"/>
        <v>2.4912991850110484</v>
      </c>
      <c r="AB35" s="15">
        <f>(1+AA35)/(1+MAX(AA$2:AA35))-1</f>
        <v>-0.21724724834708864</v>
      </c>
      <c r="AC35" s="58">
        <f t="shared" si="12"/>
        <v>3491.2991850110507</v>
      </c>
      <c r="AD35" s="21"/>
      <c r="AE35" s="59"/>
    </row>
    <row r="36" spans="1:37" s="61" customFormat="1" outlineLevel="1" x14ac:dyDescent="0.3">
      <c r="A36" s="61" t="s">
        <v>663</v>
      </c>
      <c r="B36" s="55" t="str">
        <f t="shared" si="0"/>
        <v>2022-11</v>
      </c>
      <c r="C36" s="11">
        <v>44866</v>
      </c>
      <c r="D36" s="116" t="s">
        <v>92</v>
      </c>
      <c r="E36" s="14">
        <v>0.1065</v>
      </c>
      <c r="F36" s="15">
        <f t="shared" si="18"/>
        <v>0.18149382677974302</v>
      </c>
      <c r="G36" s="15">
        <f t="shared" si="3"/>
        <v>0.10277790128795128</v>
      </c>
      <c r="H36" s="13">
        <f>(1+G36)/(1+MAX(G$2:G36))-1</f>
        <v>-0.55672555825296421</v>
      </c>
      <c r="I36" s="116" t="s">
        <v>642</v>
      </c>
      <c r="J36" s="14">
        <v>-8.4500000000000006E-2</v>
      </c>
      <c r="K36" s="15">
        <f t="shared" si="19"/>
        <v>-3.6430340631769087E-2</v>
      </c>
      <c r="L36" s="15">
        <f t="shared" si="5"/>
        <v>1.6394398142827629</v>
      </c>
      <c r="M36" s="13">
        <f>(1+L36)/(1+MAX(L$2:L36))-1</f>
        <v>-8.450000000000002E-2</v>
      </c>
      <c r="N36" s="117" t="s">
        <v>77</v>
      </c>
      <c r="O36" s="14">
        <v>0.18179999999999999</v>
      </c>
      <c r="P36" s="15">
        <f t="shared" si="20"/>
        <v>-0.25601184382997122</v>
      </c>
      <c r="Q36" s="15">
        <f t="shared" si="7"/>
        <v>0.94011999788120915</v>
      </c>
      <c r="R36" s="13">
        <f>(1+Q36)/(1+MAX(Q$2:Q36))-1</f>
        <v>-0.48173785041195805</v>
      </c>
      <c r="S36" s="117" t="s">
        <v>612</v>
      </c>
      <c r="T36" s="14">
        <v>2.06E-2</v>
      </c>
      <c r="U36" s="15">
        <f t="shared" si="21"/>
        <v>-0.12680564223436008</v>
      </c>
      <c r="V36" s="15">
        <f t="shared" si="9"/>
        <v>7.1465063897784038</v>
      </c>
      <c r="W36" s="13">
        <f>(1+V36)/(1+MAX(V$2:V36))-1</f>
        <v>-0.23920734311155323</v>
      </c>
      <c r="X36" s="21"/>
      <c r="Y36" s="115">
        <f t="shared" si="23"/>
        <v>5.6099999999999997E-2</v>
      </c>
      <c r="Z36" s="15">
        <f t="shared" si="22"/>
        <v>0.11843874178260716</v>
      </c>
      <c r="AA36" s="15">
        <f t="shared" si="11"/>
        <v>2.6871610692901684</v>
      </c>
      <c r="AB36" s="15">
        <f>(1+AA36)/(1+MAX(AA$2:AA36))-1</f>
        <v>-0.17333481897936021</v>
      </c>
      <c r="AC36" s="58">
        <f t="shared" si="12"/>
        <v>3687.1610692901709</v>
      </c>
      <c r="AD36" s="21"/>
      <c r="AE36" s="59"/>
    </row>
    <row r="37" spans="1:37" s="27" customFormat="1" ht="15" thickBot="1" x14ac:dyDescent="0.35">
      <c r="A37" s="27" t="s">
        <v>663</v>
      </c>
      <c r="B37" s="63" t="str">
        <f t="shared" si="0"/>
        <v>2022-12</v>
      </c>
      <c r="C37" s="22">
        <v>44896</v>
      </c>
      <c r="D37" s="23" t="s">
        <v>647</v>
      </c>
      <c r="E37" s="24">
        <v>-9.1999999999999998E-3</v>
      </c>
      <c r="F37" s="25">
        <f t="shared" si="18"/>
        <v>0.17062408357336944</v>
      </c>
      <c r="G37" s="25">
        <f t="shared" si="3"/>
        <v>9.2632344596102145E-2</v>
      </c>
      <c r="H37" s="26">
        <f>(1+G37)/(1+MAX(G$2:G37))-1</f>
        <v>-0.56080368311703699</v>
      </c>
      <c r="I37" s="23" t="s">
        <v>642</v>
      </c>
      <c r="J37" s="24">
        <v>-0.1953</v>
      </c>
      <c r="K37" s="25">
        <f t="shared" si="19"/>
        <v>-0.22461549510638457</v>
      </c>
      <c r="L37" s="25">
        <f t="shared" si="5"/>
        <v>1.1239572185533393</v>
      </c>
      <c r="M37" s="26">
        <f>(1+L37)/(1+MAX(L$2:L37))-1</f>
        <v>-0.26329714999999998</v>
      </c>
      <c r="N37" s="29" t="s">
        <v>77</v>
      </c>
      <c r="O37" s="24">
        <v>-4.2999999999999997E-2</v>
      </c>
      <c r="P37" s="25">
        <f t="shared" si="20"/>
        <v>-0.28800333454528249</v>
      </c>
      <c r="Q37" s="25">
        <f t="shared" si="7"/>
        <v>0.85669483797231716</v>
      </c>
      <c r="R37" s="26">
        <f>(1+Q37)/(1+MAX(Q$2:Q37))-1</f>
        <v>-0.50402312284424378</v>
      </c>
      <c r="S37" s="29" t="s">
        <v>612</v>
      </c>
      <c r="T37" s="24">
        <v>-0.19420000000000001</v>
      </c>
      <c r="U37" s="25">
        <f t="shared" si="21"/>
        <v>-0.29637998651244735</v>
      </c>
      <c r="V37" s="25">
        <f t="shared" si="9"/>
        <v>5.5644548488834378</v>
      </c>
      <c r="W37" s="26">
        <f>(1+V37)/(1+MAX(V$2:V37))-1</f>
        <v>-0.38695327707928961</v>
      </c>
      <c r="X37" s="31"/>
      <c r="Y37" s="32">
        <f t="shared" si="23"/>
        <v>-0.110425</v>
      </c>
      <c r="Z37" s="25">
        <f t="shared" si="22"/>
        <v>-5.0648562787372065E-3</v>
      </c>
      <c r="AA37" s="25">
        <f t="shared" si="11"/>
        <v>2.2800063082138018</v>
      </c>
      <c r="AB37" s="25">
        <f>(1+AA37)/(1+MAX(AA$2:AA37))-1</f>
        <v>-0.26461932159356427</v>
      </c>
      <c r="AC37" s="66">
        <f t="shared" si="12"/>
        <v>3280.0063082138035</v>
      </c>
      <c r="AD37" s="31"/>
      <c r="AE37" s="22"/>
    </row>
    <row r="38" spans="1:37" s="54" customFormat="1" outlineLevel="1" x14ac:dyDescent="0.3">
      <c r="A38" s="54" t="s">
        <v>663</v>
      </c>
      <c r="B38" s="48" t="str">
        <f t="shared" si="0"/>
        <v>2023-1</v>
      </c>
      <c r="C38" s="1">
        <v>44927</v>
      </c>
      <c r="D38" s="113" t="s">
        <v>647</v>
      </c>
      <c r="E38" s="4">
        <v>-0.19320000000000001</v>
      </c>
      <c r="F38" s="5">
        <f>+E38</f>
        <v>-0.19320000000000001</v>
      </c>
      <c r="G38" s="5">
        <f t="shared" si="3"/>
        <v>-0.11846422437986481</v>
      </c>
      <c r="H38" s="3">
        <f>(1+G38)/(1+MAX(G$2:G38))-1</f>
        <v>-0.64565641153882547</v>
      </c>
      <c r="I38" s="113" t="s">
        <v>642</v>
      </c>
      <c r="J38" s="4">
        <v>0.26669999999999999</v>
      </c>
      <c r="K38" s="5">
        <f>+J38</f>
        <v>0.26669999999999999</v>
      </c>
      <c r="L38" s="5">
        <f t="shared" si="5"/>
        <v>1.6904166087415149</v>
      </c>
      <c r="M38" s="3">
        <f>(1+L38)/(1+MAX(L$2:L38))-1</f>
        <v>-6.6818499904999995E-2</v>
      </c>
      <c r="N38" s="114" t="s">
        <v>77</v>
      </c>
      <c r="O38" s="4">
        <v>0.1502</v>
      </c>
      <c r="P38" s="5">
        <f>+O38</f>
        <v>0.1502</v>
      </c>
      <c r="Q38" s="5">
        <f t="shared" si="7"/>
        <v>1.1355704026357589</v>
      </c>
      <c r="R38" s="3">
        <f>(1+Q38)/(1+MAX(Q$2:Q38))-1</f>
        <v>-0.4295273958954493</v>
      </c>
      <c r="S38" s="114" t="s">
        <v>612</v>
      </c>
      <c r="T38" s="4">
        <v>0.20030000000000001</v>
      </c>
      <c r="U38" s="5">
        <f>+T38</f>
        <v>0.20030000000000001</v>
      </c>
      <c r="V38" s="5">
        <f t="shared" si="9"/>
        <v>6.8793151551147895</v>
      </c>
      <c r="W38" s="3">
        <f>(1+V38)/(1+MAX(V$2:V38))-1</f>
        <v>-0.26416001847827142</v>
      </c>
      <c r="X38" s="9"/>
      <c r="Y38" s="115">
        <f t="shared" si="23"/>
        <v>0.106</v>
      </c>
      <c r="Z38" s="5">
        <f>+Y38</f>
        <v>0.106</v>
      </c>
      <c r="AA38" s="5">
        <f t="shared" si="11"/>
        <v>2.6276869768844651</v>
      </c>
      <c r="AB38" s="5">
        <f>(1+AA38)/(1+MAX(AA$2:AA38))-1</f>
        <v>-0.18666896968248203</v>
      </c>
      <c r="AC38" s="51">
        <f t="shared" si="12"/>
        <v>3627.6869768844672</v>
      </c>
      <c r="AD38" s="9"/>
      <c r="AE38" s="52"/>
    </row>
    <row r="39" spans="1:37" s="61" customFormat="1" outlineLevel="1" x14ac:dyDescent="0.3">
      <c r="A39" s="61" t="s">
        <v>663</v>
      </c>
      <c r="B39" s="55" t="str">
        <f t="shared" si="0"/>
        <v>2023-2</v>
      </c>
      <c r="C39" s="11">
        <v>44958</v>
      </c>
      <c r="D39" s="116" t="s">
        <v>649</v>
      </c>
      <c r="E39" s="14">
        <v>-4.9700000000000001E-2</v>
      </c>
      <c r="F39" s="15">
        <f t="shared" ref="F39:F49" si="24">+(1+E39)*(1+F38)-1</f>
        <v>-0.23329796000000003</v>
      </c>
      <c r="G39" s="15">
        <f t="shared" si="3"/>
        <v>-0.16227655242818551</v>
      </c>
      <c r="H39" s="13">
        <f>(1+G39)/(1+MAX(G$2:G39))-1</f>
        <v>-0.66326728788534584</v>
      </c>
      <c r="I39" s="116" t="s">
        <v>642</v>
      </c>
      <c r="J39" s="14">
        <v>-0.1221</v>
      </c>
      <c r="K39" s="15">
        <f t="shared" ref="K39:K49" si="25">+(1+J39)*(1+K38)-1</f>
        <v>0.11203593000000001</v>
      </c>
      <c r="L39" s="15">
        <f t="shared" si="5"/>
        <v>1.3619167408141761</v>
      </c>
      <c r="M39" s="13">
        <f>(1+L39)/(1+MAX(L$2:L39))-1</f>
        <v>-0.18075996106659942</v>
      </c>
      <c r="N39" s="117" t="s">
        <v>77</v>
      </c>
      <c r="O39" s="14">
        <v>0.12429999999999999</v>
      </c>
      <c r="P39" s="15">
        <f t="shared" ref="P39:P49" si="26">+(1+O39)*(1+P38)-1</f>
        <v>0.29316985999999989</v>
      </c>
      <c r="Q39" s="15">
        <f t="shared" si="7"/>
        <v>1.4010218036833839</v>
      </c>
      <c r="R39" s="13">
        <f>(1+Q39)/(1+MAX(Q$2:Q39))-1</f>
        <v>-0.35861765120525357</v>
      </c>
      <c r="S39" s="117" t="s">
        <v>612</v>
      </c>
      <c r="T39" s="14">
        <v>-6.9599999999999995E-2</v>
      </c>
      <c r="U39" s="15">
        <f t="shared" ref="U39:U49" si="27">+(1+T39)*(1+U38)-1</f>
        <v>0.11675911999999999</v>
      </c>
      <c r="V39" s="15">
        <f t="shared" si="9"/>
        <v>6.3309148203188004</v>
      </c>
      <c r="W39" s="13">
        <f>(1+V39)/(1+MAX(V$2:V39))-1</f>
        <v>-0.3153744811921837</v>
      </c>
      <c r="X39" s="19"/>
      <c r="Y39" s="115">
        <f t="shared" si="23"/>
        <v>-2.9275000000000002E-2</v>
      </c>
      <c r="Z39" s="15">
        <f t="shared" ref="Z39:Z49" si="28">+(1+Y39)*(1+Z38)-1</f>
        <v>7.36218500000001E-2</v>
      </c>
      <c r="AA39" s="15">
        <f t="shared" si="11"/>
        <v>2.5214864406361723</v>
      </c>
      <c r="AB39" s="15">
        <f>(1+AA39)/(1+MAX(AA$2:AA39))-1</f>
        <v>-0.21047923559502746</v>
      </c>
      <c r="AC39" s="58">
        <f t="shared" si="12"/>
        <v>3521.4864406361744</v>
      </c>
      <c r="AD39" s="19"/>
      <c r="AE39" s="59"/>
    </row>
    <row r="40" spans="1:37" s="61" customFormat="1" outlineLevel="1" x14ac:dyDescent="0.3">
      <c r="A40" s="61" t="s">
        <v>663</v>
      </c>
      <c r="B40" s="55" t="str">
        <f t="shared" si="0"/>
        <v>2023-3</v>
      </c>
      <c r="C40" s="11">
        <v>44986</v>
      </c>
      <c r="D40" s="116" t="s">
        <v>642</v>
      </c>
      <c r="E40" s="14">
        <v>-2.98E-2</v>
      </c>
      <c r="F40" s="15">
        <f t="shared" si="24"/>
        <v>-0.25614568079200006</v>
      </c>
      <c r="G40" s="15">
        <f t="shared" si="3"/>
        <v>-0.18724071116582564</v>
      </c>
      <c r="H40" s="13">
        <f>(1+G40)/(1+MAX(G$2:G40))-1</f>
        <v>-0.67330192270636258</v>
      </c>
      <c r="I40" s="116" t="s">
        <v>77</v>
      </c>
      <c r="J40" s="14">
        <v>0.13719999999999999</v>
      </c>
      <c r="K40" s="15">
        <f t="shared" si="25"/>
        <v>0.26460725959600007</v>
      </c>
      <c r="L40" s="15">
        <f t="shared" si="5"/>
        <v>1.6859717176538811</v>
      </c>
      <c r="M40" s="13">
        <f>(1+L40)/(1+MAX(L$2:L40))-1</f>
        <v>-6.8360227724936884E-2</v>
      </c>
      <c r="N40" s="117" t="s">
        <v>645</v>
      </c>
      <c r="O40" s="14">
        <v>4.3999999999999997E-2</v>
      </c>
      <c r="P40" s="15">
        <f t="shared" si="26"/>
        <v>0.35006933383999983</v>
      </c>
      <c r="Q40" s="15">
        <f t="shared" si="7"/>
        <v>1.5066667630454531</v>
      </c>
      <c r="R40" s="13">
        <f>(1+Q40)/(1+MAX(Q$2:Q40))-1</f>
        <v>-0.33039682785828461</v>
      </c>
      <c r="S40" s="117" t="s">
        <v>612</v>
      </c>
      <c r="T40" s="14">
        <v>-0.11119999999999999</v>
      </c>
      <c r="U40" s="15">
        <f t="shared" si="27"/>
        <v>-7.4244941439999268E-3</v>
      </c>
      <c r="V40" s="15">
        <f t="shared" si="9"/>
        <v>5.5157170922993499</v>
      </c>
      <c r="W40" s="13">
        <f>(1+V40)/(1+MAX(V$2:V40))-1</f>
        <v>-0.39150483888361287</v>
      </c>
      <c r="X40" s="19"/>
      <c r="Y40" s="115">
        <f t="shared" si="23"/>
        <v>1.0049999999999996E-2</v>
      </c>
      <c r="Z40" s="15">
        <f t="shared" si="28"/>
        <v>8.4411749592500085E-2</v>
      </c>
      <c r="AA40" s="15">
        <f t="shared" si="11"/>
        <v>2.5568773793645656</v>
      </c>
      <c r="AB40" s="15">
        <f>(1+AA40)/(1+MAX(AA$2:AA40))-1</f>
        <v>-0.20254455191275744</v>
      </c>
      <c r="AC40" s="58">
        <f t="shared" si="12"/>
        <v>3556.8773793645678</v>
      </c>
      <c r="AD40" s="19"/>
      <c r="AE40" s="59"/>
    </row>
    <row r="41" spans="1:37" s="61" customFormat="1" outlineLevel="1" x14ac:dyDescent="0.3">
      <c r="A41" s="61" t="s">
        <v>663</v>
      </c>
      <c r="B41" s="55" t="str">
        <f t="shared" si="0"/>
        <v>2023-4</v>
      </c>
      <c r="C41" s="11">
        <v>45017</v>
      </c>
      <c r="D41" s="116" t="s">
        <v>642</v>
      </c>
      <c r="E41" s="14">
        <v>7.6100000000000001E-2</v>
      </c>
      <c r="F41" s="15">
        <f t="shared" si="24"/>
        <v>-0.19953836710027117</v>
      </c>
      <c r="G41" s="15">
        <f t="shared" si="3"/>
        <v>-0.12538972928554493</v>
      </c>
      <c r="H41" s="13">
        <f>(1+G41)/(1+MAX(G$2:G41))-1</f>
        <v>-0.64844019902431671</v>
      </c>
      <c r="I41" s="116" t="s">
        <v>77</v>
      </c>
      <c r="J41" s="14">
        <v>-2.9600000000000001E-2</v>
      </c>
      <c r="K41" s="15">
        <f t="shared" si="25"/>
        <v>0.22717488471195857</v>
      </c>
      <c r="L41" s="15">
        <f t="shared" si="5"/>
        <v>1.6064669548113262</v>
      </c>
      <c r="M41" s="13">
        <f>(1+L41)/(1+MAX(L$2:L41))-1</f>
        <v>-9.5936764984278722E-2</v>
      </c>
      <c r="N41" s="117" t="s">
        <v>645</v>
      </c>
      <c r="O41" s="14">
        <v>-8.0199999999999994E-2</v>
      </c>
      <c r="P41" s="15">
        <f t="shared" si="26"/>
        <v>0.2417937732660318</v>
      </c>
      <c r="Q41" s="15">
        <f t="shared" si="7"/>
        <v>1.3056320886492077</v>
      </c>
      <c r="R41" s="13">
        <f>(1+Q41)/(1+MAX(Q$2:Q41))-1</f>
        <v>-0.38409900226405025</v>
      </c>
      <c r="S41" s="117" t="s">
        <v>650</v>
      </c>
      <c r="T41" s="14">
        <v>-2.3999999999999998E-3</v>
      </c>
      <c r="U41" s="15">
        <f t="shared" si="27"/>
        <v>-9.8066753580542398E-3</v>
      </c>
      <c r="V41" s="15">
        <f t="shared" si="9"/>
        <v>5.500079371277832</v>
      </c>
      <c r="W41" s="13">
        <f>(1+V41)/(1+MAX(V$2:V41))-1</f>
        <v>-0.39296522727029215</v>
      </c>
      <c r="X41" s="19"/>
      <c r="Y41" s="115">
        <f t="shared" si="23"/>
        <v>-9.0249999999999983E-3</v>
      </c>
      <c r="Z41" s="15">
        <f t="shared" si="28"/>
        <v>7.462493355242783E-2</v>
      </c>
      <c r="AA41" s="15">
        <f t="shared" si="11"/>
        <v>2.5247765610158006</v>
      </c>
      <c r="AB41" s="15">
        <f>(1+AA41)/(1+MAX(AA$2:AA41))-1</f>
        <v>-0.20974158733174486</v>
      </c>
      <c r="AC41" s="58">
        <f t="shared" si="12"/>
        <v>3524.7765610158026</v>
      </c>
      <c r="AD41" s="19"/>
      <c r="AE41" s="59"/>
    </row>
    <row r="42" spans="1:37" s="61" customFormat="1" outlineLevel="1" x14ac:dyDescent="0.3">
      <c r="A42" s="61" t="s">
        <v>663</v>
      </c>
      <c r="B42" s="55" t="str">
        <f t="shared" si="0"/>
        <v>2023-5</v>
      </c>
      <c r="C42" s="11">
        <v>45047</v>
      </c>
      <c r="D42" s="116" t="s">
        <v>42</v>
      </c>
      <c r="E42" s="14">
        <v>0.40139999999999998</v>
      </c>
      <c r="F42" s="15">
        <f t="shared" si="24"/>
        <v>0.12176693234568003</v>
      </c>
      <c r="G42" s="15">
        <f t="shared" si="3"/>
        <v>0.22567883337923722</v>
      </c>
      <c r="H42" s="13">
        <f>(1+G42)/(1+MAX(G$2:G42))-1</f>
        <v>-0.50732409491267749</v>
      </c>
      <c r="I42" s="116" t="s">
        <v>642</v>
      </c>
      <c r="J42" s="14">
        <v>4.0099999999999997E-2</v>
      </c>
      <c r="K42" s="15">
        <f t="shared" si="25"/>
        <v>0.2763845975889081</v>
      </c>
      <c r="L42" s="15">
        <f t="shared" si="5"/>
        <v>1.7109862796992603</v>
      </c>
      <c r="M42" s="13">
        <f>(1+L42)/(1+MAX(L$2:L42))-1</f>
        <v>-5.9683829260148369E-2</v>
      </c>
      <c r="N42" s="117" t="s">
        <v>77</v>
      </c>
      <c r="O42" s="14">
        <v>-9.4799999999999995E-2</v>
      </c>
      <c r="P42" s="15">
        <f t="shared" si="26"/>
        <v>0.12407172356041207</v>
      </c>
      <c r="Q42" s="15">
        <f t="shared" si="7"/>
        <v>1.0870581666452628</v>
      </c>
      <c r="R42" s="13">
        <f>(1+Q42)/(1+MAX(Q$2:Q42))-1</f>
        <v>-0.44248641684941825</v>
      </c>
      <c r="S42" s="117" t="s">
        <v>645</v>
      </c>
      <c r="T42" s="14">
        <v>2.64E-2</v>
      </c>
      <c r="U42" s="15">
        <f t="shared" si="27"/>
        <v>1.6334428412493107E-2</v>
      </c>
      <c r="V42" s="15">
        <f t="shared" si="9"/>
        <v>5.6716814666795665</v>
      </c>
      <c r="W42" s="13">
        <f>(1+V42)/(1+MAX(V$2:V42))-1</f>
        <v>-0.3769395092702279</v>
      </c>
      <c r="X42" s="19"/>
      <c r="Y42" s="115">
        <f t="shared" si="23"/>
        <v>9.3274999999999997E-2</v>
      </c>
      <c r="Z42" s="15">
        <f t="shared" si="28"/>
        <v>0.17486057422953061</v>
      </c>
      <c r="AA42" s="15">
        <f t="shared" si="11"/>
        <v>2.8535500947445493</v>
      </c>
      <c r="AB42" s="15">
        <f>(1+AA42)/(1+MAX(AA$2:AA42))-1</f>
        <v>-0.13603023389011337</v>
      </c>
      <c r="AC42" s="58">
        <f t="shared" si="12"/>
        <v>3853.5500947445516</v>
      </c>
      <c r="AD42" s="19"/>
      <c r="AE42" s="59"/>
      <c r="AH42" s="62"/>
      <c r="AI42" s="62"/>
      <c r="AJ42" s="62"/>
      <c r="AK42" s="62"/>
    </row>
    <row r="43" spans="1:37" s="61" customFormat="1" outlineLevel="1" x14ac:dyDescent="0.3">
      <c r="A43" s="61" t="s">
        <v>663</v>
      </c>
      <c r="B43" s="55" t="str">
        <f t="shared" si="0"/>
        <v>2023-6</v>
      </c>
      <c r="C43" s="11">
        <v>45078</v>
      </c>
      <c r="D43" s="116" t="s">
        <v>42</v>
      </c>
      <c r="E43" s="14">
        <v>0.1043</v>
      </c>
      <c r="F43" s="15">
        <f t="shared" si="24"/>
        <v>0.23876722338933454</v>
      </c>
      <c r="G43" s="15">
        <f t="shared" si="3"/>
        <v>0.35351713570069165</v>
      </c>
      <c r="H43" s="13">
        <f>(1+G43)/(1+MAX(G$2:G43))-1</f>
        <v>-0.4559379980120698</v>
      </c>
      <c r="I43" s="116" t="s">
        <v>642</v>
      </c>
      <c r="J43" s="14">
        <v>0.10879999999999999</v>
      </c>
      <c r="K43" s="15">
        <f t="shared" si="25"/>
        <v>0.41525524180658135</v>
      </c>
      <c r="L43" s="15">
        <f t="shared" si="5"/>
        <v>2.0059415869305397</v>
      </c>
      <c r="M43" s="13">
        <f>(1+L43)/(1+MAX(L$2:L43))-1</f>
        <v>0</v>
      </c>
      <c r="N43" s="117" t="s">
        <v>77</v>
      </c>
      <c r="O43" s="14">
        <v>6.0900000000000003E-2</v>
      </c>
      <c r="P43" s="15">
        <f t="shared" si="26"/>
        <v>0.19252769152524118</v>
      </c>
      <c r="Q43" s="15">
        <f t="shared" si="7"/>
        <v>1.214160008993959</v>
      </c>
      <c r="R43" s="13">
        <f>(1+Q43)/(1+MAX(Q$2:Q43))-1</f>
        <v>-0.4085338396355479</v>
      </c>
      <c r="S43" s="117" t="s">
        <v>645</v>
      </c>
      <c r="T43" s="14">
        <v>-1.29E-2</v>
      </c>
      <c r="U43" s="15">
        <f t="shared" si="27"/>
        <v>3.2237142859719015E-3</v>
      </c>
      <c r="V43" s="15">
        <f t="shared" si="9"/>
        <v>5.5856167757593997</v>
      </c>
      <c r="W43" s="13">
        <f>(1+V43)/(1+MAX(V$2:V43))-1</f>
        <v>-0.38497698960064197</v>
      </c>
      <c r="X43" s="19"/>
      <c r="Y43" s="115">
        <f t="shared" si="23"/>
        <v>6.5275E-2</v>
      </c>
      <c r="Z43" s="15">
        <f t="shared" si="28"/>
        <v>0.25154959821236322</v>
      </c>
      <c r="AA43" s="15">
        <f t="shared" si="11"/>
        <v>3.1050905771789994</v>
      </c>
      <c r="AB43" s="15">
        <f>(1+AA43)/(1+MAX(AA$2:AA43))-1</f>
        <v>-7.9634607407290559E-2</v>
      </c>
      <c r="AC43" s="58">
        <f t="shared" si="12"/>
        <v>4105.0905771790021</v>
      </c>
      <c r="AD43" s="19"/>
      <c r="AE43" s="59"/>
      <c r="AH43" s="62"/>
      <c r="AI43" s="62"/>
      <c r="AJ43" s="62"/>
      <c r="AK43" s="62"/>
    </row>
    <row r="44" spans="1:37" s="61" customFormat="1" outlineLevel="1" x14ac:dyDescent="0.3">
      <c r="A44" s="61" t="s">
        <v>663</v>
      </c>
      <c r="B44" s="55" t="str">
        <f t="shared" si="0"/>
        <v>2023-7</v>
      </c>
      <c r="C44" s="11">
        <v>45108</v>
      </c>
      <c r="D44" s="116" t="s">
        <v>97</v>
      </c>
      <c r="E44" s="14">
        <v>0.40260000000000001</v>
      </c>
      <c r="F44" s="15">
        <f t="shared" si="24"/>
        <v>0.73749490752588076</v>
      </c>
      <c r="G44" s="15">
        <f t="shared" si="3"/>
        <v>0.89844313453379021</v>
      </c>
      <c r="H44" s="13">
        <f>(1+G44)/(1+MAX(G$2:G44))-1</f>
        <v>-0.236898636011729</v>
      </c>
      <c r="I44" s="116" t="s">
        <v>74</v>
      </c>
      <c r="J44" s="14">
        <v>9.4399999999999998E-2</v>
      </c>
      <c r="K44" s="15">
        <f t="shared" si="25"/>
        <v>0.54885533663312258</v>
      </c>
      <c r="L44" s="15">
        <f t="shared" si="5"/>
        <v>2.2897024727367827</v>
      </c>
      <c r="M44" s="13">
        <f>(1+L44)/(1+MAX(L$2:L44))-1</f>
        <v>0</v>
      </c>
      <c r="N44" s="117" t="s">
        <v>42</v>
      </c>
      <c r="O44" s="14">
        <v>8.8999999999999996E-2</v>
      </c>
      <c r="P44" s="15">
        <f t="shared" si="26"/>
        <v>0.29866265607098752</v>
      </c>
      <c r="Q44" s="15">
        <f t="shared" si="7"/>
        <v>1.4112202497944213</v>
      </c>
      <c r="R44" s="13">
        <f>(1+Q44)/(1+MAX(Q$2:Q44))-1</f>
        <v>-0.35589335136311173</v>
      </c>
      <c r="S44" s="117" t="s">
        <v>645</v>
      </c>
      <c r="T44" s="14">
        <v>-4.87E-2</v>
      </c>
      <c r="U44" s="15">
        <f t="shared" si="27"/>
        <v>-4.5633280599754911E-2</v>
      </c>
      <c r="V44" s="15">
        <f t="shared" si="9"/>
        <v>5.2648972387799171</v>
      </c>
      <c r="W44" s="13">
        <f>(1+V44)/(1+MAX(V$2:V44))-1</f>
        <v>-0.41492861020709071</v>
      </c>
      <c r="X44" s="19"/>
      <c r="Y44" s="115">
        <f t="shared" si="23"/>
        <v>0.134325</v>
      </c>
      <c r="Z44" s="15">
        <f t="shared" si="28"/>
        <v>0.41966399799223897</v>
      </c>
      <c r="AA44" s="15">
        <f t="shared" si="11"/>
        <v>3.6565068689585685</v>
      </c>
      <c r="AB44" s="15">
        <f>(1+AA44)/(1+MAX(AA$2:AA44))-1</f>
        <v>0</v>
      </c>
      <c r="AC44" s="58">
        <f t="shared" si="12"/>
        <v>4656.5068689585714</v>
      </c>
      <c r="AD44" s="19"/>
      <c r="AE44" s="59"/>
      <c r="AH44" s="62"/>
      <c r="AI44" s="62"/>
      <c r="AJ44" s="62"/>
      <c r="AK44" s="62"/>
    </row>
    <row r="45" spans="1:37" s="61" customFormat="1" outlineLevel="1" x14ac:dyDescent="0.3">
      <c r="A45" s="61" t="s">
        <v>663</v>
      </c>
      <c r="B45" s="55" t="str">
        <f t="shared" si="0"/>
        <v>2023-8</v>
      </c>
      <c r="C45" s="11">
        <v>45139</v>
      </c>
      <c r="D45" s="116" t="s">
        <v>97</v>
      </c>
      <c r="E45" s="14">
        <v>-9.9500000000000005E-2</v>
      </c>
      <c r="F45" s="15">
        <f t="shared" si="24"/>
        <v>0.56461416422705546</v>
      </c>
      <c r="G45" s="15">
        <f t="shared" si="3"/>
        <v>0.70954804264767812</v>
      </c>
      <c r="H45" s="13">
        <f>(1+G45)/(1+MAX(G$2:G45))-1</f>
        <v>-0.31282722172856192</v>
      </c>
      <c r="I45" s="116" t="s">
        <v>74</v>
      </c>
      <c r="J45" s="14">
        <v>-6.3500000000000001E-2</v>
      </c>
      <c r="K45" s="15">
        <f t="shared" si="25"/>
        <v>0.45050302275691934</v>
      </c>
      <c r="L45" s="15">
        <f t="shared" si="5"/>
        <v>2.0808063657179972</v>
      </c>
      <c r="M45" s="13">
        <f>(1+L45)/(1+MAX(L$2:L45))-1</f>
        <v>-6.3500000000000001E-2</v>
      </c>
      <c r="N45" s="117" t="s">
        <v>42</v>
      </c>
      <c r="O45" s="14">
        <v>6.5100000000000005E-2</v>
      </c>
      <c r="P45" s="15">
        <f t="shared" si="26"/>
        <v>0.38320559498120876</v>
      </c>
      <c r="Q45" s="15">
        <f t="shared" si="7"/>
        <v>1.5681906880560379</v>
      </c>
      <c r="R45" s="13">
        <f>(1+Q45)/(1+MAX(Q$2:Q45))-1</f>
        <v>-0.31396200853685041</v>
      </c>
      <c r="S45" s="117" t="s">
        <v>645</v>
      </c>
      <c r="T45" s="14">
        <v>4.2900000000000001E-2</v>
      </c>
      <c r="U45" s="15">
        <f t="shared" si="27"/>
        <v>-4.6909483374844019E-3</v>
      </c>
      <c r="V45" s="15">
        <f t="shared" si="9"/>
        <v>5.5336613303235751</v>
      </c>
      <c r="W45" s="13">
        <f>(1+V45)/(1+MAX(V$2:V45))-1</f>
        <v>-0.38982904758497494</v>
      </c>
      <c r="X45" s="19"/>
      <c r="Y45" s="115">
        <f t="shared" si="23"/>
        <v>-1.375E-2</v>
      </c>
      <c r="Z45" s="15">
        <f t="shared" si="28"/>
        <v>0.40014361801984566</v>
      </c>
      <c r="AA45" s="15">
        <f t="shared" si="11"/>
        <v>3.5924798995103879</v>
      </c>
      <c r="AB45" s="15">
        <f>(1+AA45)/(1+MAX(AA$2:AA45))-1</f>
        <v>-1.375000000000004E-2</v>
      </c>
      <c r="AC45" s="58">
        <f t="shared" si="12"/>
        <v>4592.4798995103911</v>
      </c>
      <c r="AD45" s="19"/>
      <c r="AE45" s="59"/>
      <c r="AH45" s="62"/>
      <c r="AI45" s="62"/>
      <c r="AJ45" s="62"/>
      <c r="AK45" s="62"/>
    </row>
    <row r="46" spans="1:37" s="61" customFormat="1" outlineLevel="1" x14ac:dyDescent="0.3">
      <c r="A46" s="61" t="s">
        <v>663</v>
      </c>
      <c r="B46" s="55" t="str">
        <f t="shared" si="0"/>
        <v>2023-9</v>
      </c>
      <c r="C46" s="11">
        <v>45170</v>
      </c>
      <c r="D46" s="116" t="s">
        <v>97</v>
      </c>
      <c r="E46" s="14">
        <v>-0.1041</v>
      </c>
      <c r="F46" s="15">
        <f t="shared" si="24"/>
        <v>0.40173782973101901</v>
      </c>
      <c r="G46" s="15">
        <f t="shared" si="3"/>
        <v>0.53158409140805496</v>
      </c>
      <c r="H46" s="13">
        <f>(1+G46)/(1+MAX(G$2:G46))-1</f>
        <v>-0.38436190794661862</v>
      </c>
      <c r="I46" s="116" t="s">
        <v>74</v>
      </c>
      <c r="J46" s="14">
        <v>5.0200000000000002E-2</v>
      </c>
      <c r="K46" s="15">
        <f t="shared" si="25"/>
        <v>0.52331827449931678</v>
      </c>
      <c r="L46" s="15">
        <f t="shared" si="5"/>
        <v>2.2354628452770409</v>
      </c>
      <c r="M46" s="13">
        <f>(1+L46)/(1+MAX(L$2:L46))-1</f>
        <v>-1.6487699999999883E-2</v>
      </c>
      <c r="N46" s="117" t="s">
        <v>42</v>
      </c>
      <c r="O46" s="14">
        <v>-8.77E-2</v>
      </c>
      <c r="P46" s="15">
        <f t="shared" si="26"/>
        <v>0.26189846430135666</v>
      </c>
      <c r="Q46" s="15">
        <f t="shared" si="7"/>
        <v>1.3429603647135235</v>
      </c>
      <c r="R46" s="13">
        <f>(1+Q46)/(1+MAX(Q$2:Q46))-1</f>
        <v>-0.37412754038816853</v>
      </c>
      <c r="S46" s="117" t="s">
        <v>161</v>
      </c>
      <c r="T46" s="14">
        <v>0.1055</v>
      </c>
      <c r="U46" s="15">
        <f t="shared" si="27"/>
        <v>0.10031415661291088</v>
      </c>
      <c r="V46" s="15">
        <f t="shared" si="9"/>
        <v>6.2229626006727115</v>
      </c>
      <c r="W46" s="13">
        <f>(1+V46)/(1+MAX(V$2:V46))-1</f>
        <v>-0.32545601210518982</v>
      </c>
      <c r="X46" s="19"/>
      <c r="Y46" s="115">
        <f t="shared" si="23"/>
        <v>-9.0250000000000018E-3</v>
      </c>
      <c r="Z46" s="15">
        <f t="shared" si="28"/>
        <v>0.3875073218672167</v>
      </c>
      <c r="AA46" s="15">
        <f t="shared" si="11"/>
        <v>3.5510327684173069</v>
      </c>
      <c r="AB46" s="15">
        <f>(1+AA46)/(1+MAX(AA$2:AA46))-1</f>
        <v>-2.2650906249999991E-2</v>
      </c>
      <c r="AC46" s="58">
        <f t="shared" si="12"/>
        <v>4551.0327684173099</v>
      </c>
      <c r="AD46" s="19"/>
      <c r="AE46" s="59"/>
      <c r="AH46" s="62"/>
    </row>
    <row r="47" spans="1:37" s="61" customFormat="1" outlineLevel="1" x14ac:dyDescent="0.3">
      <c r="A47" s="61" t="s">
        <v>663</v>
      </c>
      <c r="B47" s="55" t="str">
        <f t="shared" si="0"/>
        <v>2023-10</v>
      </c>
      <c r="C47" s="11">
        <v>45200</v>
      </c>
      <c r="D47" s="116" t="s">
        <v>97</v>
      </c>
      <c r="E47" s="14">
        <v>-0.35539999999999999</v>
      </c>
      <c r="F47" s="15">
        <f t="shared" si="24"/>
        <v>-9.6439794955385016E-2</v>
      </c>
      <c r="G47" s="15">
        <f t="shared" si="3"/>
        <v>-1.2740894678367698E-2</v>
      </c>
      <c r="H47" s="13">
        <f>(1+G47)/(1+MAX(G$2:G47))-1</f>
        <v>-0.60315968586239033</v>
      </c>
      <c r="I47" s="116" t="s">
        <v>74</v>
      </c>
      <c r="J47" s="14">
        <v>-1.4E-3</v>
      </c>
      <c r="K47" s="15">
        <f t="shared" si="25"/>
        <v>0.52118562891501785</v>
      </c>
      <c r="L47" s="15">
        <f t="shared" si="5"/>
        <v>2.2309331972936532</v>
      </c>
      <c r="M47" s="13">
        <f>(1+L47)/(1+MAX(L$2:L47))-1</f>
        <v>-1.7864617219999768E-2</v>
      </c>
      <c r="N47" s="117" t="s">
        <v>42</v>
      </c>
      <c r="O47" s="14">
        <v>-6.7199999999999996E-2</v>
      </c>
      <c r="P47" s="15">
        <f t="shared" si="26"/>
        <v>0.17709888750030545</v>
      </c>
      <c r="Q47" s="15">
        <f t="shared" si="7"/>
        <v>1.1855134282047746</v>
      </c>
      <c r="R47" s="13">
        <f>(1+Q47)/(1+MAX(Q$2:Q47))-1</f>
        <v>-0.41618616967408362</v>
      </c>
      <c r="S47" s="117" t="s">
        <v>161</v>
      </c>
      <c r="T47" s="14">
        <v>-7.9600000000000004E-2</v>
      </c>
      <c r="U47" s="15">
        <f t="shared" si="27"/>
        <v>1.2729149746523172E-2</v>
      </c>
      <c r="V47" s="15">
        <f t="shared" si="9"/>
        <v>5.6480147776591636</v>
      </c>
      <c r="W47" s="13">
        <f>(1+V47)/(1+MAX(V$2:V47))-1</f>
        <v>-0.37914971354161675</v>
      </c>
      <c r="X47" s="21"/>
      <c r="Y47" s="115">
        <f t="shared" si="23"/>
        <v>-0.12590000000000001</v>
      </c>
      <c r="Z47" s="15">
        <f t="shared" si="28"/>
        <v>0.21282015004413402</v>
      </c>
      <c r="AA47" s="15">
        <f t="shared" si="11"/>
        <v>2.9780577428735677</v>
      </c>
      <c r="AB47" s="15">
        <f>(1+AA47)/(1+MAX(AA$2:AA47))-1</f>
        <v>-0.14569915715312509</v>
      </c>
      <c r="AC47" s="58">
        <f t="shared" si="12"/>
        <v>3978.0577428735705</v>
      </c>
      <c r="AD47" s="21"/>
      <c r="AE47" s="59"/>
    </row>
    <row r="48" spans="1:37" s="61" customFormat="1" outlineLevel="1" x14ac:dyDescent="0.3">
      <c r="A48" s="61" t="s">
        <v>663</v>
      </c>
      <c r="B48" s="55" t="str">
        <f t="shared" si="0"/>
        <v>2023-11</v>
      </c>
      <c r="C48" s="11">
        <v>45231</v>
      </c>
      <c r="D48" s="116" t="s">
        <v>97</v>
      </c>
      <c r="E48" s="14">
        <v>0.22720000000000001</v>
      </c>
      <c r="F48" s="15">
        <f t="shared" si="24"/>
        <v>0.10884908363075163</v>
      </c>
      <c r="G48" s="15">
        <f t="shared" si="3"/>
        <v>0.21156437405070716</v>
      </c>
      <c r="H48" s="13">
        <f>(1+G48)/(1+MAX(G$2:G48))-1</f>
        <v>-0.51299756649032546</v>
      </c>
      <c r="I48" s="116" t="s">
        <v>74</v>
      </c>
      <c r="J48" s="14">
        <v>5.04E-2</v>
      </c>
      <c r="K48" s="15">
        <f t="shared" si="25"/>
        <v>0.59785338461233484</v>
      </c>
      <c r="L48" s="15">
        <f t="shared" si="5"/>
        <v>2.3937722304372535</v>
      </c>
      <c r="M48" s="13">
        <f>(1+L48)/(1+MAX(L$2:L48))-1</f>
        <v>0</v>
      </c>
      <c r="N48" s="117" t="s">
        <v>42</v>
      </c>
      <c r="O48" s="14">
        <v>0.1094</v>
      </c>
      <c r="P48" s="15">
        <f t="shared" si="26"/>
        <v>0.30587350579283878</v>
      </c>
      <c r="Q48" s="15">
        <f t="shared" si="7"/>
        <v>1.4246085972503768</v>
      </c>
      <c r="R48" s="13">
        <f>(1+Q48)/(1+MAX(Q$2:Q48))-1</f>
        <v>-0.35231693663642849</v>
      </c>
      <c r="S48" s="117" t="s">
        <v>161</v>
      </c>
      <c r="T48" s="14">
        <v>0.3105</v>
      </c>
      <c r="U48" s="15">
        <f t="shared" si="27"/>
        <v>0.32718155074281863</v>
      </c>
      <c r="V48" s="15">
        <f t="shared" si="9"/>
        <v>7.7122233661223341</v>
      </c>
      <c r="W48" s="13">
        <f>(1+V48)/(1+MAX(V$2:V48))-1</f>
        <v>-0.18637569959628875</v>
      </c>
      <c r="X48" s="21"/>
      <c r="Y48" s="115">
        <f t="shared" si="23"/>
        <v>0.174375</v>
      </c>
      <c r="Z48" s="15">
        <f t="shared" si="28"/>
        <v>0.42430566370807976</v>
      </c>
      <c r="AA48" s="15">
        <f t="shared" si="11"/>
        <v>3.671731561787146</v>
      </c>
      <c r="AB48" s="15">
        <f>(1+AA48)/(1+MAX(AA$2:AA48))-1</f>
        <v>0</v>
      </c>
      <c r="AC48" s="58">
        <f t="shared" si="12"/>
        <v>4671.7315617871491</v>
      </c>
      <c r="AD48" s="21"/>
      <c r="AE48" s="59"/>
    </row>
    <row r="49" spans="1:37" s="27" customFormat="1" ht="15" thickBot="1" x14ac:dyDescent="0.35">
      <c r="A49" s="27" t="s">
        <v>663</v>
      </c>
      <c r="B49" s="63" t="str">
        <f t="shared" si="0"/>
        <v>2023-12</v>
      </c>
      <c r="C49" s="22">
        <v>45261</v>
      </c>
      <c r="D49" s="23" t="s">
        <v>97</v>
      </c>
      <c r="E49" s="24">
        <v>4.4000000000000003E-3</v>
      </c>
      <c r="F49" s="25">
        <f t="shared" si="24"/>
        <v>0.11372801959872691</v>
      </c>
      <c r="G49" s="25">
        <f t="shared" si="3"/>
        <v>0.21689525729653014</v>
      </c>
      <c r="H49" s="26">
        <f>(1+G49)/(1+MAX(G$2:G49))-1</f>
        <v>-0.51085475578288286</v>
      </c>
      <c r="I49" s="23" t="s">
        <v>74</v>
      </c>
      <c r="J49" s="24">
        <v>7.2700000000000001E-2</v>
      </c>
      <c r="K49" s="25">
        <f t="shared" si="25"/>
        <v>0.7140173256736515</v>
      </c>
      <c r="L49" s="25">
        <f t="shared" si="5"/>
        <v>2.6404994715900418</v>
      </c>
      <c r="M49" s="26">
        <f>(1+L49)/(1+MAX(L$2:L49))-1</f>
        <v>0</v>
      </c>
      <c r="N49" s="29" t="s">
        <v>42</v>
      </c>
      <c r="O49" s="24">
        <v>4.99E-2</v>
      </c>
      <c r="P49" s="25">
        <f t="shared" si="26"/>
        <v>0.37103659373190157</v>
      </c>
      <c r="Q49" s="25">
        <f t="shared" si="7"/>
        <v>1.5455965662531708</v>
      </c>
      <c r="R49" s="26">
        <f>(1+Q49)/(1+MAX(Q$2:Q49))-1</f>
        <v>-0.31999755177458622</v>
      </c>
      <c r="S49" s="29" t="s">
        <v>161</v>
      </c>
      <c r="T49" s="24">
        <v>-0.151</v>
      </c>
      <c r="U49" s="25">
        <f t="shared" si="27"/>
        <v>0.12677713658065293</v>
      </c>
      <c r="V49" s="25">
        <f t="shared" si="9"/>
        <v>6.3966776378378611</v>
      </c>
      <c r="W49" s="26">
        <f>(1+V49)/(1+MAX(V$2:V49))-1</f>
        <v>-0.30923296895724917</v>
      </c>
      <c r="X49" s="31"/>
      <c r="Y49" s="32">
        <f t="shared" si="23"/>
        <v>-5.9999999999999984E-3</v>
      </c>
      <c r="Z49" s="25">
        <f t="shared" si="28"/>
        <v>0.41575982972583136</v>
      </c>
      <c r="AA49" s="25">
        <f t="shared" si="11"/>
        <v>3.6437011724164234</v>
      </c>
      <c r="AB49" s="25">
        <f>(1+AA49)/(1+MAX(AA$2:AA49))-1</f>
        <v>-5.9999999999998943E-3</v>
      </c>
      <c r="AC49" s="66">
        <f t="shared" si="12"/>
        <v>4643.7011724164258</v>
      </c>
      <c r="AD49" s="31"/>
      <c r="AE49" s="22"/>
    </row>
    <row r="50" spans="1:37" s="54" customFormat="1" outlineLevel="1" x14ac:dyDescent="0.3">
      <c r="A50" s="54" t="s">
        <v>664</v>
      </c>
      <c r="B50" s="48" t="str">
        <f t="shared" si="0"/>
        <v>2024-1</v>
      </c>
      <c r="C50" s="1">
        <v>45292</v>
      </c>
      <c r="D50" s="113" t="s">
        <v>75</v>
      </c>
      <c r="E50" s="4">
        <v>0.1694</v>
      </c>
      <c r="F50" s="5">
        <f>+E50</f>
        <v>0.1694</v>
      </c>
      <c r="G50" s="5">
        <f t="shared" si="3"/>
        <v>0.42303731388256227</v>
      </c>
      <c r="H50" s="3">
        <f>(1+G50)/(1+MAX(G$2:G50))-1</f>
        <v>-0.42799355141250328</v>
      </c>
      <c r="I50" s="113" t="s">
        <v>97</v>
      </c>
      <c r="J50" s="4">
        <v>-0.15390000000000001</v>
      </c>
      <c r="K50" s="5">
        <f>+J50</f>
        <v>-0.15390000000000001</v>
      </c>
      <c r="L50" s="5">
        <f t="shared" si="5"/>
        <v>2.0802266029123344</v>
      </c>
      <c r="M50" s="3">
        <f>(1+L50)/(1+MAX(L$2:L50))-1</f>
        <v>-0.15390000000000004</v>
      </c>
      <c r="N50" s="114" t="s">
        <v>42</v>
      </c>
      <c r="O50" s="4">
        <v>0.26819999999999999</v>
      </c>
      <c r="P50" s="5">
        <f>+O50</f>
        <v>0.26819999999999999</v>
      </c>
      <c r="Q50" s="5">
        <f t="shared" si="7"/>
        <v>2.2283255653222711</v>
      </c>
      <c r="R50" s="3">
        <f>(1+Q50)/(1+MAX(Q$2:Q50))-1</f>
        <v>-0.13762089516053022</v>
      </c>
      <c r="S50" s="114" t="s">
        <v>161</v>
      </c>
      <c r="T50" s="4">
        <v>-4.3499999999999997E-2</v>
      </c>
      <c r="U50" s="5">
        <f>+T50</f>
        <v>-4.3499999999999997E-2</v>
      </c>
      <c r="V50" s="5">
        <f t="shared" si="9"/>
        <v>6.0749221605919139</v>
      </c>
      <c r="W50" s="3">
        <f>(1+V50)/(1+MAX(V$2:V50))-1</f>
        <v>-0.3392813348076088</v>
      </c>
      <c r="X50" s="9"/>
      <c r="Y50" s="115">
        <f t="shared" si="23"/>
        <v>6.0049999999999992E-2</v>
      </c>
      <c r="Z50" s="5">
        <f>+Y50</f>
        <v>6.0049999999999992E-2</v>
      </c>
      <c r="AA50" s="5">
        <f t="shared" si="11"/>
        <v>3.9225554278200292</v>
      </c>
      <c r="AB50" s="5">
        <f>(1+AA50)/(1+MAX(AA$2:AA50))-1</f>
        <v>0</v>
      </c>
      <c r="AC50" s="51">
        <f t="shared" si="12"/>
        <v>4922.5554278200316</v>
      </c>
      <c r="AD50" s="9"/>
      <c r="AE50" s="52"/>
    </row>
    <row r="51" spans="1:37" s="61" customFormat="1" outlineLevel="1" x14ac:dyDescent="0.3">
      <c r="A51" s="61" t="s">
        <v>664</v>
      </c>
      <c r="B51" s="55" t="str">
        <f t="shared" si="0"/>
        <v>2024-2</v>
      </c>
      <c r="C51" s="11">
        <v>45323</v>
      </c>
      <c r="D51" s="116" t="s">
        <v>75</v>
      </c>
      <c r="E51" s="14">
        <v>0.1087</v>
      </c>
      <c r="F51" s="15">
        <f t="shared" ref="F51:F61" si="29">+(1+E51)*(1+F50)-1</f>
        <v>0.29651377999999995</v>
      </c>
      <c r="G51" s="15">
        <f t="shared" si="3"/>
        <v>0.5777214699015969</v>
      </c>
      <c r="H51" s="13">
        <f>(1+G51)/(1+MAX(G$2:G51))-1</f>
        <v>-0.36581645045104227</v>
      </c>
      <c r="I51" s="116" t="s">
        <v>74</v>
      </c>
      <c r="J51" s="14">
        <v>0.25819999999999999</v>
      </c>
      <c r="K51" s="15">
        <f t="shared" ref="K51:K61" si="30">+(1+J51)*(1+K50)-1</f>
        <v>6.4563020000000026E-2</v>
      </c>
      <c r="L51" s="15">
        <f t="shared" si="5"/>
        <v>2.8755411117842993</v>
      </c>
      <c r="M51" s="13">
        <f>(1+L51)/(1+MAX(L$2:L51))-1</f>
        <v>0</v>
      </c>
      <c r="N51" s="117" t="s">
        <v>42</v>
      </c>
      <c r="O51" s="14">
        <v>0.28639999999999999</v>
      </c>
      <c r="P51" s="15">
        <f t="shared" ref="P51:P61" si="31">+(1+O51)*(1+P50)-1</f>
        <v>0.63141248000000005</v>
      </c>
      <c r="Q51" s="15">
        <f t="shared" si="7"/>
        <v>3.1529180072305696</v>
      </c>
      <c r="R51" s="13">
        <f>(1+Q51)/(1+MAX(Q$2:Q51))-1</f>
        <v>0</v>
      </c>
      <c r="S51" s="117" t="s">
        <v>161</v>
      </c>
      <c r="T51" s="14">
        <v>0.55940000000000001</v>
      </c>
      <c r="U51" s="15">
        <f t="shared" ref="U51:U61" si="32">+(1+T51)*(1+U50)-1</f>
        <v>0.49156610000000023</v>
      </c>
      <c r="V51" s="15">
        <f t="shared" si="9"/>
        <v>10.032633617227031</v>
      </c>
      <c r="W51" s="13">
        <f>(1+V51)/(1+MAX(V$2:V51))-1</f>
        <v>0</v>
      </c>
      <c r="X51" s="19"/>
      <c r="Y51" s="115">
        <f t="shared" si="23"/>
        <v>0.30317499999999997</v>
      </c>
      <c r="Z51" s="15">
        <f t="shared" ref="Z51:Z61" si="33">+(1+Y51)*(1+Z50)-1</f>
        <v>0.38143065874999982</v>
      </c>
      <c r="AA51" s="15">
        <f t="shared" si="11"/>
        <v>5.4149511696493668</v>
      </c>
      <c r="AB51" s="15">
        <f>(1+AA51)/(1+MAX(AA$2:AA51))-1</f>
        <v>0</v>
      </c>
      <c r="AC51" s="58">
        <f t="shared" si="12"/>
        <v>6414.9511696493691</v>
      </c>
      <c r="AD51" s="19"/>
      <c r="AE51" s="59"/>
    </row>
    <row r="52" spans="1:37" s="61" customFormat="1" outlineLevel="1" x14ac:dyDescent="0.3">
      <c r="A52" s="61" t="s">
        <v>664</v>
      </c>
      <c r="B52" s="55" t="str">
        <f t="shared" si="0"/>
        <v>2024-3</v>
      </c>
      <c r="C52" s="11">
        <v>45352</v>
      </c>
      <c r="D52" s="116" t="s">
        <v>75</v>
      </c>
      <c r="E52" s="14">
        <v>-8.6999999999999994E-3</v>
      </c>
      <c r="F52" s="15">
        <f t="shared" si="29"/>
        <v>0.28523411011399991</v>
      </c>
      <c r="G52" s="15">
        <f t="shared" si="3"/>
        <v>0.56399529311345287</v>
      </c>
      <c r="H52" s="13">
        <f>(1+G52)/(1+MAX(G$2:G52))-1</f>
        <v>-0.37133384733211827</v>
      </c>
      <c r="I52" s="116" t="s">
        <v>74</v>
      </c>
      <c r="J52" s="14">
        <v>-7.0000000000000001E-3</v>
      </c>
      <c r="K52" s="15">
        <f t="shared" si="30"/>
        <v>5.7111078859999997E-2</v>
      </c>
      <c r="L52" s="15">
        <f t="shared" si="5"/>
        <v>2.8484123240018091</v>
      </c>
      <c r="M52" s="13">
        <f>(1+L52)/(1+MAX(L$2:L52))-1</f>
        <v>-7.0000000000000062E-3</v>
      </c>
      <c r="N52" s="117" t="s">
        <v>42</v>
      </c>
      <c r="O52" s="14">
        <v>0.1449</v>
      </c>
      <c r="P52" s="15">
        <f t="shared" si="31"/>
        <v>0.86780414835200004</v>
      </c>
      <c r="Q52" s="15">
        <f t="shared" si="7"/>
        <v>3.7546758264782794</v>
      </c>
      <c r="R52" s="13">
        <f>(1+Q52)/(1+MAX(Q$2:Q52))-1</f>
        <v>0</v>
      </c>
      <c r="S52" s="117" t="s">
        <v>161</v>
      </c>
      <c r="T52" s="14">
        <v>-8.0399999999999999E-2</v>
      </c>
      <c r="U52" s="15">
        <f t="shared" si="32"/>
        <v>0.37164418556000012</v>
      </c>
      <c r="V52" s="15">
        <f t="shared" si="9"/>
        <v>9.1456098744019769</v>
      </c>
      <c r="W52" s="13">
        <f>(1+V52)/(1+MAX(V$2:V52))-1</f>
        <v>-8.0400000000000027E-2</v>
      </c>
      <c r="X52" s="19"/>
      <c r="Y52" s="115">
        <f t="shared" si="23"/>
        <v>1.2200000000000003E-2</v>
      </c>
      <c r="Z52" s="15">
        <f t="shared" si="33"/>
        <v>0.3982841127867498</v>
      </c>
      <c r="AA52" s="15">
        <f t="shared" si="11"/>
        <v>5.493213573919089</v>
      </c>
      <c r="AB52" s="15">
        <f>(1+AA52)/(1+MAX(AA$2:AA52))-1</f>
        <v>0</v>
      </c>
      <c r="AC52" s="58">
        <f t="shared" si="12"/>
        <v>6493.2135739190917</v>
      </c>
      <c r="AD52" s="19"/>
      <c r="AE52" s="59"/>
    </row>
    <row r="53" spans="1:37" s="61" customFormat="1" outlineLevel="1" x14ac:dyDescent="0.3">
      <c r="A53" s="61" t="s">
        <v>664</v>
      </c>
      <c r="B53" s="55" t="str">
        <f t="shared" si="0"/>
        <v>2024-4</v>
      </c>
      <c r="C53" s="11">
        <v>45383</v>
      </c>
      <c r="D53" s="116" t="s">
        <v>75</v>
      </c>
      <c r="E53" s="14">
        <v>-7.9200000000000007E-2</v>
      </c>
      <c r="F53" s="15">
        <f t="shared" si="29"/>
        <v>0.18344356859297095</v>
      </c>
      <c r="G53" s="15">
        <f t="shared" si="3"/>
        <v>0.44012686589886729</v>
      </c>
      <c r="H53" s="13">
        <f>(1+G53)/(1+MAX(G$2:G53))-1</f>
        <v>-0.42112420662341454</v>
      </c>
      <c r="I53" s="116" t="s">
        <v>74</v>
      </c>
      <c r="J53" s="14">
        <v>-0.106</v>
      </c>
      <c r="K53" s="15">
        <f t="shared" si="30"/>
        <v>-5.4942695499159977E-2</v>
      </c>
      <c r="L53" s="15">
        <f t="shared" si="5"/>
        <v>2.4404806176576175</v>
      </c>
      <c r="M53" s="13">
        <f>(1+L53)/(1+MAX(L$2:L53))-1</f>
        <v>-0.11225799999999997</v>
      </c>
      <c r="N53" s="117" t="s">
        <v>42</v>
      </c>
      <c r="O53" s="14">
        <v>-3.5000000000000003E-2</v>
      </c>
      <c r="P53" s="15">
        <f t="shared" si="31"/>
        <v>0.80243100315967997</v>
      </c>
      <c r="Q53" s="15">
        <f t="shared" si="7"/>
        <v>3.5882621725515396</v>
      </c>
      <c r="R53" s="13">
        <f>(1+Q53)/(1+MAX(Q$2:Q53))-1</f>
        <v>-3.5000000000000031E-2</v>
      </c>
      <c r="S53" s="117" t="s">
        <v>161</v>
      </c>
      <c r="T53" s="14">
        <v>-3.6499999999999998E-2</v>
      </c>
      <c r="U53" s="15">
        <f t="shared" si="32"/>
        <v>0.32157917278706005</v>
      </c>
      <c r="V53" s="15">
        <f t="shared" si="9"/>
        <v>8.7752951139863047</v>
      </c>
      <c r="W53" s="13">
        <f>(1+V53)/(1+MAX(V$2:V53))-1</f>
        <v>-0.11396540000000011</v>
      </c>
      <c r="X53" s="19"/>
      <c r="Y53" s="115">
        <f t="shared" si="23"/>
        <v>-6.4174999999999996E-2</v>
      </c>
      <c r="Z53" s="15">
        <f t="shared" si="33"/>
        <v>0.30854922984866007</v>
      </c>
      <c r="AA53" s="15">
        <f t="shared" si="11"/>
        <v>5.0765115928128317</v>
      </c>
      <c r="AB53" s="15">
        <f>(1+AA53)/(1+MAX(AA$2:AA53))-1</f>
        <v>-6.4174999999999982E-2</v>
      </c>
      <c r="AC53" s="58">
        <f t="shared" si="12"/>
        <v>6076.5115928128344</v>
      </c>
      <c r="AD53" s="19"/>
      <c r="AE53" s="59"/>
    </row>
    <row r="54" spans="1:37" s="61" customFormat="1" outlineLevel="1" x14ac:dyDescent="0.3">
      <c r="A54" s="61" t="s">
        <v>664</v>
      </c>
      <c r="B54" s="55" t="str">
        <f t="shared" si="0"/>
        <v>2024-5</v>
      </c>
      <c r="C54" s="11">
        <v>45413</v>
      </c>
      <c r="D54" s="116" t="s">
        <v>75</v>
      </c>
      <c r="E54" s="14">
        <v>6.0400000000000002E-2</v>
      </c>
      <c r="F54" s="15">
        <f t="shared" si="29"/>
        <v>0.25492356013598649</v>
      </c>
      <c r="G54" s="15">
        <f t="shared" si="3"/>
        <v>0.52711052859915886</v>
      </c>
      <c r="H54" s="13">
        <f>(1+G54)/(1+MAX(G$2:G54))-1</f>
        <v>-0.38616010870346884</v>
      </c>
      <c r="I54" s="116" t="s">
        <v>76</v>
      </c>
      <c r="J54" s="14">
        <v>8.9700000000000002E-2</v>
      </c>
      <c r="K54" s="15">
        <f t="shared" si="30"/>
        <v>2.9828944714565431E-2</v>
      </c>
      <c r="L54" s="15">
        <f t="shared" si="5"/>
        <v>2.7490917290615062</v>
      </c>
      <c r="M54" s="13">
        <f>(1+L54)/(1+MAX(L$2:L54))-1</f>
        <v>-3.2627542599999892E-2</v>
      </c>
      <c r="N54" s="117" t="s">
        <v>42</v>
      </c>
      <c r="O54" s="14">
        <v>0.25490000000000002</v>
      </c>
      <c r="P54" s="15">
        <f t="shared" si="31"/>
        <v>1.2618706658650827</v>
      </c>
      <c r="Q54" s="15">
        <f t="shared" si="7"/>
        <v>4.7578102003349274</v>
      </c>
      <c r="R54" s="13">
        <f>(1+Q54)/(1+MAX(Q$2:Q54))-1</f>
        <v>0</v>
      </c>
      <c r="S54" s="117" t="s">
        <v>77</v>
      </c>
      <c r="T54" s="14">
        <v>3.1800000000000002E-2</v>
      </c>
      <c r="U54" s="15">
        <f t="shared" si="32"/>
        <v>0.36360539048168872</v>
      </c>
      <c r="V54" s="15">
        <f t="shared" si="9"/>
        <v>9.0861494986110696</v>
      </c>
      <c r="W54" s="13">
        <f>(1+V54)/(1+MAX(V$2:V54))-1</f>
        <v>-8.5789499720000051E-2</v>
      </c>
      <c r="X54" s="19"/>
      <c r="Y54" s="115">
        <f t="shared" si="23"/>
        <v>0.10920000000000001</v>
      </c>
      <c r="Z54" s="15">
        <f t="shared" si="33"/>
        <v>0.45144280574813367</v>
      </c>
      <c r="AA54" s="15">
        <f t="shared" si="11"/>
        <v>5.7400666587479927</v>
      </c>
      <c r="AB54" s="15">
        <f>(1+AA54)/(1+MAX(AA$2:AA54))-1</f>
        <v>0</v>
      </c>
      <c r="AC54" s="58">
        <f t="shared" si="12"/>
        <v>6740.0666587479955</v>
      </c>
      <c r="AD54" s="19"/>
      <c r="AE54" s="59"/>
      <c r="AH54" s="62"/>
      <c r="AI54" s="62"/>
      <c r="AJ54" s="62"/>
      <c r="AK54" s="62"/>
    </row>
    <row r="55" spans="1:37" s="61" customFormat="1" outlineLevel="1" x14ac:dyDescent="0.3">
      <c r="A55" s="61" t="s">
        <v>664</v>
      </c>
      <c r="B55" s="55" t="str">
        <f t="shared" si="0"/>
        <v>2024-6</v>
      </c>
      <c r="C55" s="11">
        <v>45444</v>
      </c>
      <c r="D55" s="116" t="s">
        <v>75</v>
      </c>
      <c r="E55" s="14">
        <v>0.2361</v>
      </c>
      <c r="F55" s="15">
        <f t="shared" si="29"/>
        <v>0.55121101268409278</v>
      </c>
      <c r="G55" s="15">
        <f t="shared" si="3"/>
        <v>0.8876613244014202</v>
      </c>
      <c r="H55" s="13">
        <f>(1+G55)/(1+MAX(G$2:G55))-1</f>
        <v>-0.2412325103683578</v>
      </c>
      <c r="I55" s="116" t="s">
        <v>76</v>
      </c>
      <c r="J55" s="14">
        <v>-6.8599999999999994E-2</v>
      </c>
      <c r="K55" s="15">
        <f t="shared" si="30"/>
        <v>-4.0817320892853726E-2</v>
      </c>
      <c r="L55" s="15">
        <f t="shared" si="5"/>
        <v>2.4919040364478868</v>
      </c>
      <c r="M55" s="13">
        <f>(1+L55)/(1+MAX(L$2:L55))-1</f>
        <v>-9.8989293177639937E-2</v>
      </c>
      <c r="N55" s="117" t="s">
        <v>42</v>
      </c>
      <c r="O55" s="14">
        <v>0.14030000000000001</v>
      </c>
      <c r="P55" s="15">
        <f t="shared" si="31"/>
        <v>1.579211120285954</v>
      </c>
      <c r="Q55" s="15">
        <f t="shared" si="7"/>
        <v>5.5656309714419185</v>
      </c>
      <c r="R55" s="13">
        <f>(1+Q55)/(1+MAX(Q$2:Q55))-1</f>
        <v>0</v>
      </c>
      <c r="S55" s="117" t="s">
        <v>77</v>
      </c>
      <c r="T55" s="14">
        <v>-9.8699999999999996E-2</v>
      </c>
      <c r="U55" s="15">
        <f t="shared" si="32"/>
        <v>0.22901753844114592</v>
      </c>
      <c r="V55" s="15">
        <f t="shared" si="9"/>
        <v>8.0906465430981562</v>
      </c>
      <c r="W55" s="13">
        <f>(1+V55)/(1+MAX(V$2:V55))-1</f>
        <v>-0.17602207609763609</v>
      </c>
      <c r="X55" s="19"/>
      <c r="Y55" s="115">
        <f t="shared" si="23"/>
        <v>5.2275000000000002E-2</v>
      </c>
      <c r="Z55" s="15">
        <f t="shared" si="33"/>
        <v>0.52731697841861735</v>
      </c>
      <c r="AA55" s="15">
        <f t="shared" si="11"/>
        <v>6.0924036433340447</v>
      </c>
      <c r="AB55" s="15">
        <f>(1+AA55)/(1+MAX(AA$2:AA55))-1</f>
        <v>0</v>
      </c>
      <c r="AC55" s="58">
        <f t="shared" si="12"/>
        <v>7092.403643334047</v>
      </c>
      <c r="AD55" s="19"/>
      <c r="AE55" s="59"/>
      <c r="AH55" s="62"/>
      <c r="AI55" s="62"/>
      <c r="AJ55" s="62"/>
      <c r="AK55" s="62"/>
    </row>
    <row r="56" spans="1:37" s="61" customFormat="1" outlineLevel="1" x14ac:dyDescent="0.3">
      <c r="A56" s="61" t="s">
        <v>664</v>
      </c>
      <c r="B56" s="55" t="str">
        <f t="shared" si="0"/>
        <v>2024-7</v>
      </c>
      <c r="C56" s="11">
        <v>45474</v>
      </c>
      <c r="D56" s="116" t="s">
        <v>92</v>
      </c>
      <c r="E56" s="14">
        <v>-6.6600000000000006E-2</v>
      </c>
      <c r="F56" s="15">
        <f t="shared" si="29"/>
        <v>0.44790035923933225</v>
      </c>
      <c r="G56" s="15">
        <f t="shared" si="3"/>
        <v>0.76194308019628565</v>
      </c>
      <c r="H56" s="13">
        <f>(1+G56)/(1+MAX(G$2:G56))-1</f>
        <v>-0.29176642517782525</v>
      </c>
      <c r="I56" s="116" t="s">
        <v>75</v>
      </c>
      <c r="J56" s="14">
        <v>-0.4007</v>
      </c>
      <c r="K56" s="15">
        <f t="shared" si="30"/>
        <v>-0.4251618204110873</v>
      </c>
      <c r="L56" s="15">
        <f t="shared" si="5"/>
        <v>1.0926980890432185</v>
      </c>
      <c r="M56" s="13">
        <f>(1+L56)/(1+MAX(L$2:L56))-1</f>
        <v>-0.46002428340135959</v>
      </c>
      <c r="N56" s="117" t="s">
        <v>42</v>
      </c>
      <c r="O56" s="14">
        <v>-6.2199999999999998E-2</v>
      </c>
      <c r="P56" s="15">
        <f t="shared" si="31"/>
        <v>1.4187841886041674</v>
      </c>
      <c r="Q56" s="15">
        <f t="shared" si="7"/>
        <v>5.1572487250182313</v>
      </c>
      <c r="R56" s="13">
        <f>(1+Q56)/(1+MAX(Q$2:Q56))-1</f>
        <v>-6.2200000000000033E-2</v>
      </c>
      <c r="S56" s="117" t="s">
        <v>77</v>
      </c>
      <c r="T56" s="14">
        <v>5.91E-2</v>
      </c>
      <c r="U56" s="15">
        <f t="shared" si="32"/>
        <v>0.30165247496301761</v>
      </c>
      <c r="V56" s="15">
        <f t="shared" si="9"/>
        <v>8.6279037537952572</v>
      </c>
      <c r="W56" s="13">
        <f>(1+V56)/(1+MAX(V$2:V56))-1</f>
        <v>-0.12732498079500643</v>
      </c>
      <c r="X56" s="19"/>
      <c r="Y56" s="115">
        <f t="shared" si="23"/>
        <v>-0.1176</v>
      </c>
      <c r="Z56" s="15">
        <f t="shared" si="33"/>
        <v>0.34770450175658785</v>
      </c>
      <c r="AA56" s="15">
        <f t="shared" si="11"/>
        <v>5.2583369748779605</v>
      </c>
      <c r="AB56" s="15">
        <f>(1+AA56)/(1+MAX(AA$2:AA56))-1</f>
        <v>-0.11760000000000004</v>
      </c>
      <c r="AC56" s="58">
        <f t="shared" si="12"/>
        <v>6258.3369748779633</v>
      </c>
      <c r="AD56" s="19"/>
      <c r="AE56" s="59"/>
      <c r="AH56" s="62"/>
      <c r="AI56" s="62"/>
      <c r="AJ56" s="62"/>
      <c r="AK56" s="62"/>
    </row>
    <row r="57" spans="1:37" s="61" customFormat="1" outlineLevel="1" x14ac:dyDescent="0.3">
      <c r="A57" s="61" t="s">
        <v>664</v>
      </c>
      <c r="B57" s="55" t="str">
        <f t="shared" si="0"/>
        <v>2024-8</v>
      </c>
      <c r="C57" s="11">
        <v>45505</v>
      </c>
      <c r="D57" s="116" t="s">
        <v>613</v>
      </c>
      <c r="E57" s="14">
        <v>0.37069999999999997</v>
      </c>
      <c r="F57" s="15">
        <f t="shared" si="29"/>
        <v>0.9846370224093528</v>
      </c>
      <c r="G57" s="15">
        <f t="shared" si="3"/>
        <v>1.4150953800250488</v>
      </c>
      <c r="H57" s="13">
        <f>(1+G57)/(1+MAX(G$2:G57))-1</f>
        <v>-2.9224238991245044E-2</v>
      </c>
      <c r="I57" s="116" t="s">
        <v>75</v>
      </c>
      <c r="J57" s="14">
        <v>0.16689999999999999</v>
      </c>
      <c r="K57" s="15">
        <f t="shared" si="30"/>
        <v>-0.32922132823769779</v>
      </c>
      <c r="L57" s="15">
        <f t="shared" si="5"/>
        <v>1.441969400104532</v>
      </c>
      <c r="M57" s="13">
        <f>(1+L57)/(1+MAX(L$2:L57))-1</f>
        <v>-0.36990233630104641</v>
      </c>
      <c r="N57" s="117" t="s">
        <v>42</v>
      </c>
      <c r="O57" s="14">
        <v>-4.3E-3</v>
      </c>
      <c r="P57" s="15">
        <f t="shared" si="31"/>
        <v>1.4083834165931695</v>
      </c>
      <c r="Q57" s="15">
        <f t="shared" si="7"/>
        <v>5.1307725555006529</v>
      </c>
      <c r="R57" s="13">
        <f>(1+Q57)/(1+MAX(Q$2:Q57))-1</f>
        <v>-6.6232540000000006E-2</v>
      </c>
      <c r="S57" s="117" t="s">
        <v>77</v>
      </c>
      <c r="T57" s="14">
        <v>7.5800000000000006E-2</v>
      </c>
      <c r="U57" s="15">
        <f t="shared" si="32"/>
        <v>0.40031773256521452</v>
      </c>
      <c r="V57" s="15">
        <f t="shared" si="9"/>
        <v>9.3576988583329381</v>
      </c>
      <c r="W57" s="13">
        <f>(1+V57)/(1+MAX(V$2:V57))-1</f>
        <v>-6.1176214339267898E-2</v>
      </c>
      <c r="X57" s="19"/>
      <c r="Y57" s="115">
        <f t="shared" si="23"/>
        <v>0.15227499999999999</v>
      </c>
      <c r="Z57" s="15">
        <f t="shared" si="33"/>
        <v>0.55292620476157217</v>
      </c>
      <c r="AA57" s="15">
        <f t="shared" si="11"/>
        <v>6.2113252377275012</v>
      </c>
      <c r="AB57" s="15">
        <f>(1+AA57)/(1+MAX(AA$2:AA57))-1</f>
        <v>0</v>
      </c>
      <c r="AC57" s="58">
        <f t="shared" si="12"/>
        <v>7211.3252377275048</v>
      </c>
      <c r="AD57" s="19"/>
      <c r="AE57" s="59"/>
      <c r="AH57" s="62"/>
      <c r="AI57" s="62"/>
      <c r="AJ57" s="62"/>
      <c r="AK57" s="62"/>
    </row>
    <row r="58" spans="1:37" s="61" customFormat="1" outlineLevel="1" x14ac:dyDescent="0.3">
      <c r="A58" s="61" t="s">
        <v>664</v>
      </c>
      <c r="B58" s="55" t="str">
        <f t="shared" si="0"/>
        <v>2024-9</v>
      </c>
      <c r="C58" s="11">
        <v>45536</v>
      </c>
      <c r="D58" s="116" t="s">
        <v>613</v>
      </c>
      <c r="E58" s="14">
        <v>-0.1067</v>
      </c>
      <c r="F58" s="15">
        <f t="shared" si="29"/>
        <v>0.77287625211827482</v>
      </c>
      <c r="G58" s="15">
        <f t="shared" si="3"/>
        <v>1.1574047029763759</v>
      </c>
      <c r="H58" s="13">
        <f>(1+G58)/(1+MAX(G$2:G58))-1</f>
        <v>-0.13280601269087922</v>
      </c>
      <c r="I58" s="116" t="s">
        <v>94</v>
      </c>
      <c r="J58" s="14">
        <v>-1.7899999999999999E-2</v>
      </c>
      <c r="K58" s="15">
        <f t="shared" si="30"/>
        <v>-0.34122826646224302</v>
      </c>
      <c r="L58" s="15">
        <f t="shared" si="5"/>
        <v>1.398258147842661</v>
      </c>
      <c r="M58" s="13">
        <f>(1+L58)/(1+MAX(L$2:L58))-1</f>
        <v>-0.38118108448125765</v>
      </c>
      <c r="N58" s="117" t="s">
        <v>42</v>
      </c>
      <c r="O58" s="14">
        <v>9.2999999999999992E-3</v>
      </c>
      <c r="P58" s="15">
        <f t="shared" si="31"/>
        <v>1.4307813823674862</v>
      </c>
      <c r="Q58" s="15">
        <f t="shared" si="7"/>
        <v>5.1877887402668099</v>
      </c>
      <c r="R58" s="13">
        <f>(1+Q58)/(1+MAX(Q$2:Q58))-1</f>
        <v>-5.7548502621999842E-2</v>
      </c>
      <c r="S58" s="117" t="s">
        <v>614</v>
      </c>
      <c r="T58" s="14">
        <v>0.12529999999999999</v>
      </c>
      <c r="U58" s="15">
        <f t="shared" si="32"/>
        <v>0.57577754445563589</v>
      </c>
      <c r="V58" s="15">
        <f t="shared" si="9"/>
        <v>10.655518525282055</v>
      </c>
      <c r="W58" s="13">
        <f>(1+V58)/(1+MAX(V$2:V58))-1</f>
        <v>0</v>
      </c>
      <c r="X58" s="19"/>
      <c r="Y58" s="115">
        <f t="shared" si="23"/>
        <v>2.4999999999999988E-3</v>
      </c>
      <c r="Z58" s="15">
        <f t="shared" si="33"/>
        <v>0.55680852027347605</v>
      </c>
      <c r="AA58" s="15">
        <f t="shared" si="11"/>
        <v>6.2293535508218199</v>
      </c>
      <c r="AB58" s="15">
        <f>(1+AA58)/(1+MAX(AA$2:AA58))-1</f>
        <v>0</v>
      </c>
      <c r="AC58" s="58">
        <f t="shared" si="12"/>
        <v>7229.3535508218229</v>
      </c>
      <c r="AD58" s="19"/>
      <c r="AE58" s="59"/>
      <c r="AH58" s="62"/>
    </row>
    <row r="59" spans="1:37" s="61" customFormat="1" outlineLevel="1" x14ac:dyDescent="0.3">
      <c r="A59" s="61" t="s">
        <v>664</v>
      </c>
      <c r="B59" s="55" t="str">
        <f t="shared" si="0"/>
        <v>2024-10</v>
      </c>
      <c r="C59" s="11">
        <v>45566</v>
      </c>
      <c r="D59" s="116" t="s">
        <v>613</v>
      </c>
      <c r="E59" s="14">
        <v>-6.3399999999999998E-2</v>
      </c>
      <c r="F59" s="15">
        <f t="shared" si="29"/>
        <v>0.66047589773397619</v>
      </c>
      <c r="G59" s="15">
        <f t="shared" si="3"/>
        <v>1.0206252448076736</v>
      </c>
      <c r="H59" s="13">
        <f>(1+G59)/(1+MAX(G$2:G59))-1</f>
        <v>-0.18778611148627755</v>
      </c>
      <c r="I59" s="116" t="s">
        <v>42</v>
      </c>
      <c r="J59" s="14">
        <v>0.1245</v>
      </c>
      <c r="K59" s="15">
        <f t="shared" si="30"/>
        <v>-0.25921118563679224</v>
      </c>
      <c r="L59" s="15">
        <f t="shared" si="5"/>
        <v>1.6968412872490726</v>
      </c>
      <c r="M59" s="13">
        <f>(1+L59)/(1+MAX(L$2:L59))-1</f>
        <v>-0.30413812949917418</v>
      </c>
      <c r="N59" s="117" t="s">
        <v>161</v>
      </c>
      <c r="O59" s="14">
        <v>0.1492</v>
      </c>
      <c r="P59" s="15">
        <f t="shared" si="31"/>
        <v>1.7934539646167154</v>
      </c>
      <c r="Q59" s="15">
        <f t="shared" si="7"/>
        <v>6.1110068203146177</v>
      </c>
      <c r="R59" s="13">
        <f>(1+Q59)/(1+MAX(Q$2:Q59))-1</f>
        <v>0</v>
      </c>
      <c r="S59" s="117" t="s">
        <v>614</v>
      </c>
      <c r="T59" s="14">
        <v>-0.16089999999999999</v>
      </c>
      <c r="U59" s="15">
        <f t="shared" si="32"/>
        <v>0.32223493755272403</v>
      </c>
      <c r="V59" s="15">
        <f t="shared" si="9"/>
        <v>8.7801455945641713</v>
      </c>
      <c r="W59" s="13">
        <f>(1+V59)/(1+MAX(V$2:V59))-1</f>
        <v>-0.16090000000000004</v>
      </c>
      <c r="X59" s="21"/>
      <c r="Y59" s="115">
        <f t="shared" si="23"/>
        <v>1.235E-2</v>
      </c>
      <c r="Z59" s="15">
        <f t="shared" si="33"/>
        <v>0.57603510549885351</v>
      </c>
      <c r="AA59" s="15">
        <f t="shared" si="11"/>
        <v>6.3186360671744701</v>
      </c>
      <c r="AB59" s="15">
        <f>(1+AA59)/(1+MAX(AA$2:AA59))-1</f>
        <v>0</v>
      </c>
      <c r="AC59" s="58">
        <f t="shared" si="12"/>
        <v>7318.6360671744733</v>
      </c>
      <c r="AD59" s="21"/>
      <c r="AE59" s="59"/>
    </row>
    <row r="60" spans="1:37" s="61" customFormat="1" outlineLevel="1" x14ac:dyDescent="0.3">
      <c r="A60" s="61" t="s">
        <v>664</v>
      </c>
      <c r="B60" s="55" t="str">
        <f t="shared" si="0"/>
        <v>2024-11</v>
      </c>
      <c r="C60" s="11">
        <v>45597</v>
      </c>
      <c r="D60" s="116" t="s">
        <v>613</v>
      </c>
      <c r="E60" s="14">
        <v>2.8000000000000001E-2</v>
      </c>
      <c r="F60" s="15">
        <f t="shared" si="29"/>
        <v>0.70696922287052755</v>
      </c>
      <c r="G60" s="15">
        <f t="shared" si="3"/>
        <v>1.0772027516622886</v>
      </c>
      <c r="H60" s="13">
        <f>(1+G60)/(1+MAX(G$2:G60))-1</f>
        <v>-0.16504412260789325</v>
      </c>
      <c r="I60" s="116" t="s">
        <v>42</v>
      </c>
      <c r="J60" s="14">
        <v>7.0599999999999996E-2</v>
      </c>
      <c r="K60" s="15">
        <f t="shared" si="30"/>
        <v>-0.20691149534274977</v>
      </c>
      <c r="L60" s="15">
        <f t="shared" si="5"/>
        <v>1.8872382821288571</v>
      </c>
      <c r="M60" s="13">
        <f>(1+L60)/(1+MAX(L$2:L60))-1</f>
        <v>-0.25501028144181592</v>
      </c>
      <c r="N60" s="117" t="s">
        <v>611</v>
      </c>
      <c r="O60" s="14">
        <v>0.24390000000000001</v>
      </c>
      <c r="P60" s="15">
        <f t="shared" si="31"/>
        <v>2.4747773865867324</v>
      </c>
      <c r="Q60" s="15">
        <f t="shared" si="7"/>
        <v>7.8453813837893538</v>
      </c>
      <c r="R60" s="13">
        <f>(1+Q60)/(1+MAX(Q$2:Q60))-1</f>
        <v>0</v>
      </c>
      <c r="S60" s="117" t="s">
        <v>614</v>
      </c>
      <c r="T60" s="14">
        <v>0.26019999999999999</v>
      </c>
      <c r="U60" s="15">
        <f t="shared" si="32"/>
        <v>0.66628046830394272</v>
      </c>
      <c r="V60" s="15">
        <f t="shared" si="9"/>
        <v>11.324939478269769</v>
      </c>
      <c r="W60" s="13">
        <f>(1+V60)/(1+MAX(V$2:V60))-1</f>
        <v>0</v>
      </c>
      <c r="X60" s="21"/>
      <c r="Y60" s="115">
        <f t="shared" si="23"/>
        <v>0.150675</v>
      </c>
      <c r="Z60" s="15">
        <f t="shared" si="33"/>
        <v>0.81350419501989335</v>
      </c>
      <c r="AA60" s="15">
        <f t="shared" si="11"/>
        <v>7.4213715565959841</v>
      </c>
      <c r="AB60" s="15">
        <f>(1+AA60)/(1+MAX(AA$2:AA60))-1</f>
        <v>0</v>
      </c>
      <c r="AC60" s="58">
        <f t="shared" si="12"/>
        <v>8421.3715565959883</v>
      </c>
      <c r="AD60" s="21"/>
      <c r="AE60" s="59"/>
    </row>
    <row r="61" spans="1:37" s="27" customFormat="1" ht="15" thickBot="1" x14ac:dyDescent="0.35">
      <c r="A61" s="27" t="s">
        <v>664</v>
      </c>
      <c r="B61" s="63" t="str">
        <f t="shared" si="0"/>
        <v>2024-12</v>
      </c>
      <c r="C61" s="22">
        <v>45627</v>
      </c>
      <c r="D61" s="23" t="s">
        <v>613</v>
      </c>
      <c r="E61" s="24">
        <v>-0.10050000000000001</v>
      </c>
      <c r="F61" s="25">
        <f t="shared" si="29"/>
        <v>0.53541881597203944</v>
      </c>
      <c r="G61" s="25">
        <f t="shared" si="3"/>
        <v>0.86844387512022858</v>
      </c>
      <c r="H61" s="26">
        <f>(1+G61)/(1+MAX(G$2:G61))-1</f>
        <v>-0.24895718828579994</v>
      </c>
      <c r="I61" s="23" t="s">
        <v>42</v>
      </c>
      <c r="J61" s="24">
        <v>-1.3899999999999999E-2</v>
      </c>
      <c r="K61" s="25">
        <f t="shared" si="30"/>
        <v>-0.21793542555748557</v>
      </c>
      <c r="L61" s="25">
        <f t="shared" si="5"/>
        <v>1.8471056700072661</v>
      </c>
      <c r="M61" s="26">
        <f>(1+L61)/(1+MAX(L$2:L61))-1</f>
        <v>-0.26536563852977457</v>
      </c>
      <c r="N61" s="29" t="s">
        <v>161</v>
      </c>
      <c r="O61" s="24">
        <v>0.14449999999999999</v>
      </c>
      <c r="P61" s="25">
        <f t="shared" si="31"/>
        <v>2.9768827189485156</v>
      </c>
      <c r="Q61" s="25">
        <f t="shared" si="7"/>
        <v>9.1235389937469158</v>
      </c>
      <c r="R61" s="26">
        <f>(1+Q61)/(1+MAX(Q$2:Q61))-1</f>
        <v>0</v>
      </c>
      <c r="S61" s="29" t="s">
        <v>614</v>
      </c>
      <c r="T61" s="24">
        <v>1.3641000000000001</v>
      </c>
      <c r="U61" s="25">
        <f t="shared" si="32"/>
        <v>2.9392536551173509</v>
      </c>
      <c r="V61" s="25">
        <f t="shared" si="9"/>
        <v>28.137389420577563</v>
      </c>
      <c r="W61" s="26">
        <f>(1+V61)/(1+MAX(V$2:V61))-1</f>
        <v>0</v>
      </c>
      <c r="X61" s="31"/>
      <c r="Y61" s="32">
        <f t="shared" si="23"/>
        <v>0.34855000000000003</v>
      </c>
      <c r="Z61" s="25">
        <f t="shared" si="33"/>
        <v>1.4456010821940772</v>
      </c>
      <c r="AA61" s="25">
        <f t="shared" si="11"/>
        <v>10.356640612647514</v>
      </c>
      <c r="AB61" s="25">
        <f>(1+AA61)/(1+MAX(AA$2:AA61))-1</f>
        <v>0</v>
      </c>
      <c r="AC61" s="66">
        <f t="shared" si="12"/>
        <v>11356.640612647519</v>
      </c>
      <c r="AD61" s="31"/>
      <c r="AE61" s="22"/>
    </row>
    <row r="62" spans="1:37" s="61" customFormat="1" outlineLevel="1" x14ac:dyDescent="0.3">
      <c r="A62" s="61" t="s">
        <v>664</v>
      </c>
      <c r="B62" s="55" t="str">
        <f t="shared" si="0"/>
        <v>2025-1</v>
      </c>
      <c r="C62" s="11">
        <v>45658</v>
      </c>
      <c r="D62" s="116" t="s">
        <v>161</v>
      </c>
      <c r="E62" s="14">
        <v>9.1600000000000001E-2</v>
      </c>
      <c r="F62" s="15">
        <f>+E62</f>
        <v>9.1600000000000001E-2</v>
      </c>
      <c r="G62" s="15">
        <f t="shared" si="3"/>
        <v>1.0395933340812413</v>
      </c>
      <c r="H62" s="13">
        <f>(1+G62)/(1+MAX(G$2:G62))-1</f>
        <v>-0.18016166673277934</v>
      </c>
      <c r="I62" s="116" t="s">
        <v>613</v>
      </c>
      <c r="J62" s="14">
        <v>-3.9899999999999998E-2</v>
      </c>
      <c r="K62" s="15">
        <f>+J62</f>
        <v>-3.9899999999999998E-2</v>
      </c>
      <c r="L62" s="15">
        <f t="shared" si="5"/>
        <v>1.733506153773976</v>
      </c>
      <c r="M62" s="13">
        <f>(1+L62)/(1+MAX(L$2:L62))-1</f>
        <v>-0.29467754955243664</v>
      </c>
      <c r="N62" s="117" t="s">
        <v>97</v>
      </c>
      <c r="O62" s="14">
        <v>-5.3800000000000001E-2</v>
      </c>
      <c r="P62" s="15">
        <f>+O62</f>
        <v>-5.3800000000000001E-2</v>
      </c>
      <c r="Q62" s="15">
        <f t="shared" si="7"/>
        <v>8.5788925958833318</v>
      </c>
      <c r="R62" s="13">
        <f>(1+Q62)/(1+MAX(Q$2:Q62))-1</f>
        <v>-5.3799999999999959E-2</v>
      </c>
      <c r="S62" s="117" t="s">
        <v>614</v>
      </c>
      <c r="T62" s="14">
        <v>-2.7400000000000001E-2</v>
      </c>
      <c r="U62" s="15">
        <f>+T62</f>
        <v>-2.7400000000000001E-2</v>
      </c>
      <c r="V62" s="15">
        <f t="shared" si="9"/>
        <v>27.339024950453737</v>
      </c>
      <c r="W62" s="13">
        <f>(1+V62)/(1+MAX(V$2:V62))-1</f>
        <v>-2.739999999999998E-2</v>
      </c>
      <c r="X62" s="19"/>
      <c r="Y62" s="115">
        <f t="shared" si="23"/>
        <v>-7.3749999999999996E-3</v>
      </c>
      <c r="Z62" s="15">
        <f>+Y62</f>
        <v>-7.3749999999999996E-3</v>
      </c>
      <c r="AA62" s="15">
        <f t="shared" si="11"/>
        <v>10.272885388129238</v>
      </c>
      <c r="AB62" s="15">
        <f>(1+AA62)/(1+MAX(AA$2:AA62))-1</f>
        <v>-7.3750000000000204E-3</v>
      </c>
      <c r="AC62" s="58">
        <f t="shared" si="12"/>
        <v>11272.885388129243</v>
      </c>
      <c r="AD62" s="19"/>
      <c r="AE62" s="59"/>
      <c r="AH62" s="62"/>
      <c r="AI62" s="62"/>
      <c r="AJ62" s="62"/>
      <c r="AK62" s="62"/>
    </row>
    <row r="63" spans="1:37" s="61" customFormat="1" outlineLevel="1" x14ac:dyDescent="0.3">
      <c r="A63" s="61" t="s">
        <v>664</v>
      </c>
      <c r="B63" s="55" t="str">
        <f t="shared" si="0"/>
        <v>2025-2</v>
      </c>
      <c r="C63" s="11">
        <v>45689</v>
      </c>
      <c r="D63" s="116" t="s">
        <v>161</v>
      </c>
      <c r="E63" s="14">
        <v>2.9700000000000001E-2</v>
      </c>
      <c r="F63" s="15">
        <f t="shared" ref="F63:F73" si="34">+(1+E63)*(1+F62)-1</f>
        <v>0.12402051999999997</v>
      </c>
      <c r="G63" s="15">
        <f t="shared" si="3"/>
        <v>1.1001692561034542</v>
      </c>
      <c r="H63" s="13">
        <f>(1+G63)/(1+MAX(G$2:G63))-1</f>
        <v>-0.15581246823474282</v>
      </c>
      <c r="I63" s="116" t="s">
        <v>613</v>
      </c>
      <c r="J63" s="14">
        <v>0.3397</v>
      </c>
      <c r="K63" s="15">
        <f t="shared" ref="K63:K73" si="35">+(1+J63)*(1+K62)-1</f>
        <v>0.28624596999999996</v>
      </c>
      <c r="L63" s="15">
        <f t="shared" si="5"/>
        <v>2.6620781942109959</v>
      </c>
      <c r="M63" s="13">
        <f>(1+L63)/(1+MAX(L$2:L63))-1</f>
        <v>-5.5079513135399272E-2</v>
      </c>
      <c r="N63" s="117" t="s">
        <v>259</v>
      </c>
      <c r="O63" s="14">
        <v>-0.35749999999999998</v>
      </c>
      <c r="P63" s="15">
        <f t="shared" ref="P63:P73" si="36">+(1+O63)*(1+P62)-1</f>
        <v>-0.39206649999999987</v>
      </c>
      <c r="Q63" s="15">
        <f t="shared" si="7"/>
        <v>5.1544384928550411</v>
      </c>
      <c r="R63" s="13">
        <f>(1+Q63)/(1+MAX(Q$2:Q63))-1</f>
        <v>-0.39206649999999998</v>
      </c>
      <c r="S63" s="117" t="s">
        <v>614</v>
      </c>
      <c r="T63" s="14">
        <v>-0.19750000000000001</v>
      </c>
      <c r="U63" s="15">
        <f t="shared" ref="U63:U73" si="37">+(1+T63)*(1+U62)-1</f>
        <v>-0.21948849999999998</v>
      </c>
      <c r="V63" s="15">
        <f t="shared" si="9"/>
        <v>21.742067522739124</v>
      </c>
      <c r="W63" s="13">
        <f>(1+V63)/(1+MAX(V$2:V63))-1</f>
        <v>-0.21948849999999998</v>
      </c>
      <c r="X63" s="19"/>
      <c r="Y63" s="115">
        <f t="shared" si="23"/>
        <v>-4.6399999999999997E-2</v>
      </c>
      <c r="Z63" s="15">
        <f t="shared" ref="Z63:Z71" si="38">+(1+Y63)*(1+Z62)-1</f>
        <v>-5.3432800000000058E-2</v>
      </c>
      <c r="AA63" s="15">
        <f t="shared" si="11"/>
        <v>9.7498235061200411</v>
      </c>
      <c r="AB63" s="15">
        <f>(1+AA63)/(1+MAX(AA$2:AA63))-1</f>
        <v>-5.3432800000000058E-2</v>
      </c>
      <c r="AC63" s="58">
        <f t="shared" si="12"/>
        <v>10749.823506120047</v>
      </c>
      <c r="AD63" s="19"/>
      <c r="AE63" s="59"/>
      <c r="AH63" s="62"/>
      <c r="AI63" s="62"/>
      <c r="AJ63" s="62"/>
      <c r="AK63" s="62"/>
    </row>
    <row r="64" spans="1:37" s="61" customFormat="1" outlineLevel="1" x14ac:dyDescent="0.3">
      <c r="A64" s="61" t="s">
        <v>664</v>
      </c>
      <c r="B64" s="55" t="str">
        <f t="shared" si="0"/>
        <v>2025-3</v>
      </c>
      <c r="C64" s="11">
        <v>45717</v>
      </c>
      <c r="D64" s="116" t="s">
        <v>161</v>
      </c>
      <c r="E64" s="14">
        <v>-4.5499999999999999E-2</v>
      </c>
      <c r="F64" s="15">
        <f t="shared" si="34"/>
        <v>7.2877586339999967E-2</v>
      </c>
      <c r="G64" s="15">
        <f t="shared" si="3"/>
        <v>1.0046115549507468</v>
      </c>
      <c r="H64" s="13">
        <f>(1+G64)/(1+MAX(G$2:G64))-1</f>
        <v>-0.19422300093006217</v>
      </c>
      <c r="I64" s="116" t="s">
        <v>613</v>
      </c>
      <c r="J64" s="14">
        <v>-0.19439999999999999</v>
      </c>
      <c r="K64" s="15">
        <f t="shared" si="35"/>
        <v>3.6199753431999993E-2</v>
      </c>
      <c r="L64" s="15">
        <f t="shared" si="5"/>
        <v>1.9501701932563784</v>
      </c>
      <c r="M64" s="13">
        <f>(1+L64)/(1+MAX(L$2:L64))-1</f>
        <v>-0.23877205578187766</v>
      </c>
      <c r="N64" s="117" t="s">
        <v>259</v>
      </c>
      <c r="O64" s="14">
        <v>-0.1009</v>
      </c>
      <c r="P64" s="15">
        <f t="shared" si="36"/>
        <v>-0.45340699014999986</v>
      </c>
      <c r="Q64" s="15">
        <f t="shared" si="7"/>
        <v>4.5334556489259672</v>
      </c>
      <c r="R64" s="13">
        <f>(1+Q64)/(1+MAX(Q$2:Q64))-1</f>
        <v>-0.45340699014999997</v>
      </c>
      <c r="S64" s="117" t="s">
        <v>614</v>
      </c>
      <c r="T64" s="14">
        <v>0.53100000000000003</v>
      </c>
      <c r="U64" s="15">
        <f t="shared" si="37"/>
        <v>0.19496310650000015</v>
      </c>
      <c r="V64" s="15">
        <f t="shared" si="9"/>
        <v>33.8181053773136</v>
      </c>
      <c r="W64" s="13">
        <f>(1+V64)/(1+MAX(V$2:V64))-1</f>
        <v>0</v>
      </c>
      <c r="X64" s="19"/>
      <c r="Y64" s="115">
        <f t="shared" si="23"/>
        <v>4.7550000000000009E-2</v>
      </c>
      <c r="Z64" s="15">
        <f t="shared" si="38"/>
        <v>-8.4235296400000381E-3</v>
      </c>
      <c r="AA64" s="15">
        <f t="shared" si="11"/>
        <v>10.260977613836049</v>
      </c>
      <c r="AB64" s="15">
        <f>(1+AA64)/(1+MAX(AA$2:AA64))-1</f>
        <v>-8.4235296400000381E-3</v>
      </c>
      <c r="AC64" s="58">
        <f t="shared" si="12"/>
        <v>11260.977613836054</v>
      </c>
      <c r="AD64" s="19"/>
      <c r="AE64" s="59"/>
      <c r="AH64" s="62"/>
      <c r="AI64" s="62"/>
      <c r="AJ64" s="62"/>
      <c r="AK64" s="62"/>
    </row>
    <row r="65" spans="1:37" s="61" customFormat="1" outlineLevel="1" x14ac:dyDescent="0.3">
      <c r="A65" s="61" t="s">
        <v>664</v>
      </c>
      <c r="B65" s="55" t="str">
        <f t="shared" si="0"/>
        <v>2025-4</v>
      </c>
      <c r="C65" s="11">
        <v>45748</v>
      </c>
      <c r="D65" s="116" t="s">
        <v>161</v>
      </c>
      <c r="E65" s="14">
        <v>0.3337</v>
      </c>
      <c r="F65" s="15">
        <f t="shared" si="34"/>
        <v>0.43089683690165792</v>
      </c>
      <c r="G65" s="15">
        <f t="shared" si="3"/>
        <v>1.6735504308378109</v>
      </c>
      <c r="H65" s="13">
        <f>(1+G65)/(1+MAX(G$2:G65))-1</f>
        <v>0</v>
      </c>
      <c r="I65" s="116" t="s">
        <v>162</v>
      </c>
      <c r="J65" s="14">
        <v>-0.13589999999999999</v>
      </c>
      <c r="K65" s="15">
        <f t="shared" si="35"/>
        <v>-0.10461979305940883</v>
      </c>
      <c r="L65" s="15">
        <f t="shared" si="5"/>
        <v>1.5492420639928364</v>
      </c>
      <c r="M65" s="13">
        <f>(1+L65)/(1+MAX(L$2:L65))-1</f>
        <v>-0.34222293340112053</v>
      </c>
      <c r="N65" s="117" t="s">
        <v>259</v>
      </c>
      <c r="O65" s="14">
        <v>6.4399999999999999E-2</v>
      </c>
      <c r="P65" s="15">
        <f t="shared" si="36"/>
        <v>-0.41820640031565981</v>
      </c>
      <c r="Q65" s="15">
        <f t="shared" si="7"/>
        <v>4.8898101927167996</v>
      </c>
      <c r="R65" s="13">
        <f>(1+Q65)/(1+MAX(Q$2:Q65))-1</f>
        <v>-0.41820640031565992</v>
      </c>
      <c r="S65" s="117" t="s">
        <v>614</v>
      </c>
      <c r="T65" s="14">
        <v>0.38669999999999999</v>
      </c>
      <c r="U65" s="15">
        <f t="shared" si="37"/>
        <v>0.65705533978355035</v>
      </c>
      <c r="V65" s="15">
        <f t="shared" si="9"/>
        <v>47.282266726720771</v>
      </c>
      <c r="W65" s="13">
        <f>(1+V65)/(1+MAX(V$2:V65))-1</f>
        <v>0</v>
      </c>
      <c r="X65" s="19"/>
      <c r="Y65" s="115">
        <f t="shared" si="23"/>
        <v>0.16222500000000001</v>
      </c>
      <c r="Z65" s="15">
        <f t="shared" si="38"/>
        <v>0.15243496326415107</v>
      </c>
      <c r="AA65" s="15">
        <f t="shared" si="11"/>
        <v>12.087789707240603</v>
      </c>
      <c r="AB65" s="15">
        <f>(1+AA65)/(1+MAX(AA$2:AA65))-1</f>
        <v>0</v>
      </c>
      <c r="AC65" s="58">
        <f t="shared" si="12"/>
        <v>13087.789707240609</v>
      </c>
      <c r="AD65" s="19"/>
      <c r="AE65" s="59"/>
      <c r="AH65" s="62"/>
      <c r="AI65" s="62"/>
      <c r="AJ65" s="62"/>
      <c r="AK65" s="62"/>
    </row>
    <row r="66" spans="1:37" s="61" customFormat="1" outlineLevel="1" x14ac:dyDescent="0.3">
      <c r="A66" s="61" t="s">
        <v>664</v>
      </c>
      <c r="B66" s="55" t="str">
        <f t="shared" ref="B66:B85" si="39">YEAR(C66)&amp;"-"&amp;MONTH(C66)</f>
        <v>2025-5</v>
      </c>
      <c r="C66" s="11">
        <v>45778</v>
      </c>
      <c r="D66" s="116" t="s">
        <v>161</v>
      </c>
      <c r="E66" s="14">
        <v>0.1137</v>
      </c>
      <c r="F66" s="15">
        <f t="shared" si="34"/>
        <v>0.5935898072573762</v>
      </c>
      <c r="G66" s="15">
        <f t="shared" si="3"/>
        <v>1.9775331148240696</v>
      </c>
      <c r="H66" s="13">
        <f>(1+G66)/(1+MAX(G$2:G66))-1</f>
        <v>0</v>
      </c>
      <c r="I66" s="116" t="s">
        <v>162</v>
      </c>
      <c r="J66" s="14">
        <v>1.3654999999999999</v>
      </c>
      <c r="K66" s="15">
        <f t="shared" si="35"/>
        <v>1.1180218795179684</v>
      </c>
      <c r="L66" s="15">
        <f t="shared" si="5"/>
        <v>5.030232102375054</v>
      </c>
      <c r="M66" s="13">
        <f>(1+L66)/(1+MAX(L$2:L66))-1</f>
        <v>0</v>
      </c>
      <c r="N66" s="117" t="s">
        <v>259</v>
      </c>
      <c r="O66" s="14">
        <v>0.36659999999999998</v>
      </c>
      <c r="P66" s="15">
        <f t="shared" si="36"/>
        <v>-0.20492086667138065</v>
      </c>
      <c r="Q66" s="15">
        <f t="shared" si="7"/>
        <v>7.0490146093667789</v>
      </c>
      <c r="R66" s="13">
        <f>(1+Q66)/(1+MAX(Q$2:Q66))-1</f>
        <v>-0.20492086667138087</v>
      </c>
      <c r="S66" s="117" t="s">
        <v>614</v>
      </c>
      <c r="T66" s="14">
        <v>-0.24540000000000001</v>
      </c>
      <c r="U66" s="15">
        <f t="shared" si="37"/>
        <v>0.25041395940066691</v>
      </c>
      <c r="V66" s="15">
        <f t="shared" si="9"/>
        <v>35.433798471983494</v>
      </c>
      <c r="W66" s="13">
        <f>(1+V66)/(1+MAX(V$2:V66))-1</f>
        <v>-0.24539999999999995</v>
      </c>
      <c r="X66" s="19"/>
      <c r="Y66" s="115">
        <f t="shared" ref="Y66:Y82" si="40">AVERAGE(E66,J66,O66,T66)</f>
        <v>0.40009999999999996</v>
      </c>
      <c r="Z66" s="15">
        <f t="shared" si="38"/>
        <v>0.61352419206613784</v>
      </c>
      <c r="AA66" s="15">
        <f t="shared" si="11"/>
        <v>17.324214369107565</v>
      </c>
      <c r="AB66" s="15">
        <f>(1+AA66)/(1+MAX(AA$2:AA66))-1</f>
        <v>0</v>
      </c>
      <c r="AC66" s="58">
        <f t="shared" si="12"/>
        <v>18324.214369107576</v>
      </c>
      <c r="AD66" s="19"/>
      <c r="AE66" s="59"/>
      <c r="AH66" s="62"/>
      <c r="AI66" s="62"/>
      <c r="AJ66" s="62"/>
      <c r="AK66" s="62"/>
    </row>
    <row r="67" spans="1:37" s="61" customFormat="1" outlineLevel="1" x14ac:dyDescent="0.3">
      <c r="A67" s="61" t="s">
        <v>664</v>
      </c>
      <c r="B67" s="55" t="str">
        <f t="shared" si="39"/>
        <v>2025-6</v>
      </c>
      <c r="C67" s="11">
        <v>45809</v>
      </c>
      <c r="D67" s="116" t="s">
        <v>161</v>
      </c>
      <c r="E67" s="14">
        <v>3.7000000000000002E-3</v>
      </c>
      <c r="F67" s="15">
        <f t="shared" si="34"/>
        <v>0.59948608954422866</v>
      </c>
      <c r="G67" s="15">
        <f t="shared" ref="G67:G76" si="41">+(1+E67)*(1+G66)-1</f>
        <v>1.9885499873489185</v>
      </c>
      <c r="H67" s="13">
        <f>(1+G67)/(1+MAX(G$2:G67))-1</f>
        <v>0</v>
      </c>
      <c r="I67" s="116" t="s">
        <v>162</v>
      </c>
      <c r="J67" s="14">
        <v>-0.13020000000000001</v>
      </c>
      <c r="K67" s="15">
        <f t="shared" si="35"/>
        <v>0.84225543080472898</v>
      </c>
      <c r="L67" s="15">
        <f t="shared" ref="L67:L76" si="42">+(1+J67)*(1+L66)-1</f>
        <v>4.2450958826458223</v>
      </c>
      <c r="M67" s="13">
        <f>(1+L67)/(1+MAX(L$2:L67))-1</f>
        <v>-0.13019999999999998</v>
      </c>
      <c r="N67" s="117" t="s">
        <v>259</v>
      </c>
      <c r="O67" s="14">
        <v>-4.9799999999999997E-2</v>
      </c>
      <c r="P67" s="15">
        <f t="shared" si="36"/>
        <v>-0.24451580751114588</v>
      </c>
      <c r="Q67" s="15">
        <f t="shared" ref="Q67:Q76" si="43">+(1+O67)*(1+Q66)-1</f>
        <v>6.6481736818203139</v>
      </c>
      <c r="R67" s="13">
        <f>(1+Q67)/(1+MAX(Q$2:Q67))-1</f>
        <v>-0.24451580751114599</v>
      </c>
      <c r="S67" s="117" t="s">
        <v>614</v>
      </c>
      <c r="T67" s="14">
        <v>-0.126</v>
      </c>
      <c r="U67" s="15">
        <f t="shared" si="37"/>
        <v>9.286180051618298E-2</v>
      </c>
      <c r="V67" s="15">
        <f t="shared" ref="V67:V76" si="44">+(1+T67)*(1+V66)-1</f>
        <v>30.843139864513574</v>
      </c>
      <c r="W67" s="13">
        <f>(1+V67)/(1+MAX(V$2:V67))-1</f>
        <v>-0.34047959999999999</v>
      </c>
      <c r="X67" s="19"/>
      <c r="Y67" s="115">
        <f t="shared" si="40"/>
        <v>-7.5575000000000003E-2</v>
      </c>
      <c r="Z67" s="15">
        <f t="shared" si="38"/>
        <v>0.49158210125073953</v>
      </c>
      <c r="AA67" s="15">
        <f t="shared" ref="AA67:AA77" si="45">+(1+Y67)*(1+AA66)-1</f>
        <v>15.939361868162262</v>
      </c>
      <c r="AB67" s="15">
        <f>(1+AA67)/(1+MAX(AA$2:AA67))-1</f>
        <v>-7.5574999999999948E-2</v>
      </c>
      <c r="AC67" s="58">
        <f t="shared" si="12"/>
        <v>16939.361868162272</v>
      </c>
      <c r="AD67" s="19"/>
      <c r="AE67" s="59"/>
      <c r="AH67" s="62"/>
      <c r="AI67" s="62"/>
      <c r="AJ67" s="62"/>
      <c r="AK67" s="62"/>
    </row>
    <row r="68" spans="1:37" s="61" customFormat="1" outlineLevel="1" x14ac:dyDescent="0.3">
      <c r="A68" s="61" t="s">
        <v>664</v>
      </c>
      <c r="B68" s="55" t="str">
        <f t="shared" si="39"/>
        <v>2025-7</v>
      </c>
      <c r="C68" s="11">
        <v>45839</v>
      </c>
      <c r="D68" s="116" t="s">
        <v>161</v>
      </c>
      <c r="E68" s="14">
        <v>0.19189999999999999</v>
      </c>
      <c r="F68" s="15">
        <f t="shared" si="34"/>
        <v>0.90642747012776614</v>
      </c>
      <c r="G68" s="15">
        <f t="shared" si="41"/>
        <v>2.5620527299211759</v>
      </c>
      <c r="H68" s="13">
        <f>(1+G68)/(1+MAX(G$2:G68))-1</f>
        <v>0</v>
      </c>
      <c r="I68" s="116" t="s">
        <v>162</v>
      </c>
      <c r="J68" s="14">
        <v>0.20480000000000001</v>
      </c>
      <c r="K68" s="15">
        <f t="shared" si="35"/>
        <v>1.2195493430335378</v>
      </c>
      <c r="L68" s="15">
        <f t="shared" si="42"/>
        <v>5.3192915194116868</v>
      </c>
      <c r="M68" s="13">
        <f>(1+L68)/(1+MAX(L$2:L68))-1</f>
        <v>0</v>
      </c>
      <c r="N68" s="117" t="s">
        <v>259</v>
      </c>
      <c r="O68" s="14">
        <v>0.2545</v>
      </c>
      <c r="P68" s="15">
        <f t="shared" si="36"/>
        <v>-5.2245080522732579E-2</v>
      </c>
      <c r="Q68" s="15">
        <f t="shared" si="43"/>
        <v>8.5946338838435832</v>
      </c>
      <c r="R68" s="13">
        <f>(1+Q68)/(1+MAX(Q$2:Q68))-1</f>
        <v>-5.2245080522732801E-2</v>
      </c>
      <c r="S68" s="117" t="s">
        <v>614</v>
      </c>
      <c r="T68" s="14">
        <v>0.44030000000000002</v>
      </c>
      <c r="U68" s="15">
        <f t="shared" si="37"/>
        <v>0.57404885128345851</v>
      </c>
      <c r="V68" s="15">
        <f t="shared" si="44"/>
        <v>44.863674346858907</v>
      </c>
      <c r="W68" s="13">
        <f>(1+V68)/(1+MAX(V$2:V68))-1</f>
        <v>-5.0092767879999833E-2</v>
      </c>
      <c r="X68" s="19"/>
      <c r="Y68" s="115">
        <f t="shared" si="40"/>
        <v>0.27287499999999998</v>
      </c>
      <c r="Z68" s="15">
        <f t="shared" si="38"/>
        <v>0.89859756712953498</v>
      </c>
      <c r="AA68" s="15">
        <f t="shared" si="45"/>
        <v>20.561690237937039</v>
      </c>
      <c r="AB68" s="15">
        <f>(1+AA68)/(1+MAX(AA$2:AA68))-1</f>
        <v>0</v>
      </c>
      <c r="AC68" s="58">
        <f t="shared" ref="AC68:AC77" si="46">AC67*(1+Y68)</f>
        <v>21561.690237937051</v>
      </c>
      <c r="AD68" s="19"/>
      <c r="AE68" s="59"/>
      <c r="AH68" s="62"/>
      <c r="AI68" s="62"/>
      <c r="AJ68" s="62"/>
      <c r="AK68" s="62"/>
    </row>
    <row r="69" spans="1:37" s="61" customFormat="1" outlineLevel="1" x14ac:dyDescent="0.3">
      <c r="A69" s="61" t="s">
        <v>664</v>
      </c>
      <c r="B69" s="55" t="str">
        <f t="shared" si="39"/>
        <v>2025-8</v>
      </c>
      <c r="C69" s="11">
        <v>45870</v>
      </c>
      <c r="D69" s="116" t="s">
        <v>161</v>
      </c>
      <c r="E69" s="14">
        <v>-3.1699999999999999E-2</v>
      </c>
      <c r="F69" s="15">
        <f t="shared" si="34"/>
        <v>0.84599371932471601</v>
      </c>
      <c r="G69" s="15">
        <f t="shared" si="41"/>
        <v>2.4491356583826747</v>
      </c>
      <c r="H69" s="13">
        <f>(1+G69)/(1+MAX(G$2:G69))-1</f>
        <v>-3.169999999999995E-2</v>
      </c>
      <c r="I69" s="116" t="s">
        <v>162</v>
      </c>
      <c r="J69" s="14">
        <v>-0.111</v>
      </c>
      <c r="K69" s="15">
        <f t="shared" si="35"/>
        <v>0.97317936595681509</v>
      </c>
      <c r="L69" s="15">
        <f t="shared" si="42"/>
        <v>4.6178501607569897</v>
      </c>
      <c r="M69" s="13">
        <f>(1+L69)/(1+MAX(L$2:L69))-1</f>
        <v>-0.11099999999999999</v>
      </c>
      <c r="N69" s="117" t="s">
        <v>259</v>
      </c>
      <c r="O69" s="14">
        <v>9.5100000000000004E-2</v>
      </c>
      <c r="P69" s="15">
        <f t="shared" si="36"/>
        <v>3.7886412319555474E-2</v>
      </c>
      <c r="Q69" s="15">
        <f t="shared" si="43"/>
        <v>9.5070835661971067</v>
      </c>
      <c r="R69" s="13">
        <f>(1+Q69)/(1+MAX(Q$2:Q69))-1</f>
        <v>0</v>
      </c>
      <c r="S69" s="117" t="s">
        <v>614</v>
      </c>
      <c r="T69" s="14">
        <v>0.45479999999999998</v>
      </c>
      <c r="U69" s="15">
        <f t="shared" si="37"/>
        <v>1.2899262688471755</v>
      </c>
      <c r="V69" s="15">
        <f t="shared" si="44"/>
        <v>65.722473439810344</v>
      </c>
      <c r="W69" s="13">
        <f>(1+V69)/(1+MAX(V$2:V69))-1</f>
        <v>0</v>
      </c>
      <c r="X69" s="19"/>
      <c r="Y69" s="115">
        <f t="shared" si="40"/>
        <v>0.1018</v>
      </c>
      <c r="Z69" s="15">
        <f t="shared" si="38"/>
        <v>1.0918747994633216</v>
      </c>
      <c r="AA69" s="15">
        <f t="shared" si="45"/>
        <v>22.756670304159027</v>
      </c>
      <c r="AB69" s="15">
        <f>(1+AA69)/(1+MAX(AA$2:AA69))-1</f>
        <v>0</v>
      </c>
      <c r="AC69" s="58">
        <f t="shared" si="46"/>
        <v>23756.670304159041</v>
      </c>
      <c r="AD69" s="19"/>
      <c r="AE69" s="59"/>
      <c r="AH69" s="62"/>
      <c r="AI69" s="62"/>
      <c r="AJ69" s="62"/>
      <c r="AK69" s="62"/>
    </row>
    <row r="70" spans="1:37" s="61" customFormat="1" outlineLevel="1" x14ac:dyDescent="0.3">
      <c r="A70" s="61" t="s">
        <v>664</v>
      </c>
      <c r="B70" s="55" t="str">
        <f t="shared" si="39"/>
        <v>2025-9</v>
      </c>
      <c r="C70" s="11">
        <v>45901</v>
      </c>
      <c r="D70" s="116" t="s">
        <v>161</v>
      </c>
      <c r="E70" s="14">
        <v>0.15909999999999999</v>
      </c>
      <c r="F70" s="15">
        <f t="shared" si="34"/>
        <v>1.1396913200692782</v>
      </c>
      <c r="G70" s="15">
        <f t="shared" si="41"/>
        <v>2.9978931416313581</v>
      </c>
      <c r="H70" s="13">
        <f>(1+G70)/(1+MAX(G$2:G70))-1</f>
        <v>0</v>
      </c>
      <c r="I70" s="116" t="s">
        <v>162</v>
      </c>
      <c r="J70" s="14">
        <v>0.57520000000000004</v>
      </c>
      <c r="K70" s="15">
        <f t="shared" si="35"/>
        <v>2.1081521372551753</v>
      </c>
      <c r="L70" s="15">
        <f t="shared" si="42"/>
        <v>7.8492375732244106</v>
      </c>
      <c r="M70" s="13">
        <f>(1+L70)/(1+MAX(L$2:L70))-1</f>
        <v>0</v>
      </c>
      <c r="N70" s="117" t="s">
        <v>259</v>
      </c>
      <c r="O70" s="14">
        <v>0.82769999999999999</v>
      </c>
      <c r="P70" s="15">
        <f t="shared" si="36"/>
        <v>0.89694499579645171</v>
      </c>
      <c r="Q70" s="15">
        <f t="shared" si="43"/>
        <v>18.203796633938452</v>
      </c>
      <c r="R70" s="13">
        <f>(1+Q70)/(1+MAX(Q$2:Q70))-1</f>
        <v>0</v>
      </c>
      <c r="S70" s="117" t="s">
        <v>614</v>
      </c>
      <c r="T70" s="14">
        <v>0.35680000000000001</v>
      </c>
      <c r="U70" s="15">
        <f t="shared" si="37"/>
        <v>2.1069719615718476</v>
      </c>
      <c r="V70" s="15">
        <f t="shared" si="44"/>
        <v>89.529051963134677</v>
      </c>
      <c r="W70" s="13">
        <f>(1+V70)/(1+MAX(V$2:V70))-1</f>
        <v>0</v>
      </c>
      <c r="X70" s="19"/>
      <c r="Y70" s="115">
        <f t="shared" si="40"/>
        <v>0.47970000000000002</v>
      </c>
      <c r="Z70" s="15">
        <f t="shared" si="38"/>
        <v>2.095347140765877</v>
      </c>
      <c r="AA70" s="15">
        <f t="shared" si="45"/>
        <v>34.152745049064109</v>
      </c>
      <c r="AB70" s="15">
        <f>(1+AA70)/(1+MAX(AA$2:AA70))-1</f>
        <v>0</v>
      </c>
      <c r="AC70" s="58">
        <f t="shared" si="46"/>
        <v>35152.745049064135</v>
      </c>
      <c r="AD70" s="19"/>
      <c r="AE70" s="59"/>
      <c r="AH70" s="62"/>
    </row>
    <row r="71" spans="1:37" s="61" customFormat="1" outlineLevel="1" x14ac:dyDescent="0.3">
      <c r="A71" s="61" t="s">
        <v>664</v>
      </c>
      <c r="B71" s="55" t="str">
        <f t="shared" si="39"/>
        <v>2025-10</v>
      </c>
      <c r="C71" s="11">
        <v>45931</v>
      </c>
      <c r="D71" s="116" t="s">
        <v>161</v>
      </c>
      <c r="E71" s="14">
        <v>0.114</v>
      </c>
      <c r="F71" s="15">
        <f t="shared" si="34"/>
        <v>1.3836161305571761</v>
      </c>
      <c r="G71" s="15">
        <f t="shared" si="41"/>
        <v>3.4536529597773331</v>
      </c>
      <c r="H71" s="13">
        <f>(1+G71)/(1+MAX(G$2:G71))-1</f>
        <v>0</v>
      </c>
      <c r="I71" s="116" t="s">
        <v>162</v>
      </c>
      <c r="J71" s="14">
        <v>0.52039999999999997</v>
      </c>
      <c r="K71" s="15">
        <f t="shared" si="35"/>
        <v>3.7256345094827683</v>
      </c>
      <c r="L71" s="15">
        <f t="shared" si="42"/>
        <v>12.454380806330393</v>
      </c>
      <c r="M71" s="13">
        <f>(1+L71)/(1+MAX(L$2:L71))-1</f>
        <v>0</v>
      </c>
      <c r="N71" s="117" t="s">
        <v>259</v>
      </c>
      <c r="O71" s="14">
        <v>0.50649999999999995</v>
      </c>
      <c r="P71" s="15">
        <f t="shared" si="36"/>
        <v>1.8577476361673546</v>
      </c>
      <c r="Q71" s="15">
        <f t="shared" si="43"/>
        <v>27.930519629028279</v>
      </c>
      <c r="R71" s="13">
        <f>(1+Q71)/(1+MAX(Q$2:Q71))-1</f>
        <v>0</v>
      </c>
      <c r="S71" s="117" t="s">
        <v>614</v>
      </c>
      <c r="T71" s="14">
        <v>0.31950000000000001</v>
      </c>
      <c r="U71" s="15">
        <f t="shared" si="37"/>
        <v>3.099649503294053</v>
      </c>
      <c r="V71" s="15">
        <f t="shared" si="44"/>
        <v>118.45308406535622</v>
      </c>
      <c r="W71" s="13">
        <f>(1+V71)/(1+MAX(V$2:V71))-1</f>
        <v>0</v>
      </c>
      <c r="X71" s="21"/>
      <c r="Y71" s="115">
        <f t="shared" si="40"/>
        <v>0.36509999999999998</v>
      </c>
      <c r="Z71" s="15">
        <f t="shared" si="38"/>
        <v>3.2254583818594984</v>
      </c>
      <c r="AA71" s="15">
        <f t="shared" si="45"/>
        <v>46.987012266477414</v>
      </c>
      <c r="AB71" s="15">
        <f>(1+AA71)/(1+MAX(AA$2:AA71))-1</f>
        <v>0</v>
      </c>
      <c r="AC71" s="58">
        <f t="shared" si="46"/>
        <v>47987.012266477454</v>
      </c>
      <c r="AD71" s="21"/>
      <c r="AE71" s="59"/>
    </row>
    <row r="72" spans="1:37" s="61" customFormat="1" outlineLevel="1" x14ac:dyDescent="0.3">
      <c r="A72" s="61" t="s">
        <v>664</v>
      </c>
      <c r="B72" s="55" t="str">
        <f t="shared" si="39"/>
        <v>2025-11</v>
      </c>
      <c r="C72" s="11">
        <v>45962</v>
      </c>
      <c r="D72" s="116" t="s">
        <v>208</v>
      </c>
      <c r="E72" s="14">
        <v>-0.27960000000000002</v>
      </c>
      <c r="F72" s="15">
        <f t="shared" si="34"/>
        <v>0.71715706045338945</v>
      </c>
      <c r="G72" s="15">
        <f t="shared" si="41"/>
        <v>2.2084115922235905</v>
      </c>
      <c r="H72" s="13">
        <f>(1+G72)/(1+MAX(G$2:G72))-1</f>
        <v>-0.27960000000000007</v>
      </c>
      <c r="I72" s="116" t="s">
        <v>162</v>
      </c>
      <c r="J72" s="14">
        <v>-0.38969999999999999</v>
      </c>
      <c r="K72" s="15">
        <f t="shared" si="35"/>
        <v>1.8840547411373336</v>
      </c>
      <c r="L72" s="15">
        <f t="shared" si="42"/>
        <v>7.2112086061034404</v>
      </c>
      <c r="M72" s="13">
        <f>(1+L72)/(1+MAX(L$2:L72))-1</f>
        <v>-0.38969999999999994</v>
      </c>
      <c r="N72" s="117" t="s">
        <v>259</v>
      </c>
      <c r="O72" s="14">
        <v>-0.42380000000000001</v>
      </c>
      <c r="P72" s="15">
        <f t="shared" si="36"/>
        <v>0.64663418795962979</v>
      </c>
      <c r="Q72" s="15">
        <f t="shared" si="43"/>
        <v>15.669765410246097</v>
      </c>
      <c r="R72" s="13">
        <f>(1+Q72)/(1+MAX(Q$2:Q72))-1</f>
        <v>-0.42379999999999995</v>
      </c>
      <c r="S72" s="117" t="s">
        <v>614</v>
      </c>
      <c r="T72" s="14">
        <v>-0.2447</v>
      </c>
      <c r="U72" s="15">
        <f t="shared" si="37"/>
        <v>2.096465269837998</v>
      </c>
      <c r="V72" s="15">
        <f t="shared" si="44"/>
        <v>89.222914394563546</v>
      </c>
      <c r="W72" s="13">
        <f>(1+V72)/(1+MAX(V$2:V72))-1</f>
        <v>-0.24470000000000003</v>
      </c>
      <c r="X72" s="21"/>
      <c r="Y72" s="115">
        <f t="shared" si="40"/>
        <v>-0.33444999999999997</v>
      </c>
      <c r="Z72" s="15">
        <f>+(1+Y72)*(1+Z71)-1</f>
        <v>1.8122538260465895</v>
      </c>
      <c r="AA72" s="15">
        <f t="shared" si="45"/>
        <v>30.937756013954047</v>
      </c>
      <c r="AB72" s="15">
        <f>(1+AA72)/(1+MAX(AA$2:AA72))-1</f>
        <v>-0.33444999999999991</v>
      </c>
      <c r="AC72" s="58">
        <f t="shared" si="46"/>
        <v>31937.756013954073</v>
      </c>
      <c r="AD72" s="21"/>
      <c r="AE72" s="59"/>
    </row>
    <row r="73" spans="1:37" s="27" customFormat="1" ht="15" thickBot="1" x14ac:dyDescent="0.35">
      <c r="A73" s="27" t="s">
        <v>664</v>
      </c>
      <c r="B73" s="63" t="str">
        <f t="shared" si="39"/>
        <v>2025-12</v>
      </c>
      <c r="C73" s="22">
        <v>45992</v>
      </c>
      <c r="D73" s="23" t="s">
        <v>208</v>
      </c>
      <c r="E73" s="24">
        <v>-0.1191</v>
      </c>
      <c r="F73" s="25">
        <f t="shared" si="34"/>
        <v>0.51264365455339078</v>
      </c>
      <c r="G73" s="25">
        <f t="shared" si="41"/>
        <v>1.826289771589761</v>
      </c>
      <c r="H73" s="26">
        <f>(1+G73)/(1+MAX(G$2:G73))-1</f>
        <v>-0.36539964000000003</v>
      </c>
      <c r="I73" s="23" t="s">
        <v>162</v>
      </c>
      <c r="J73" s="24">
        <v>0.13900000000000001</v>
      </c>
      <c r="K73" s="25">
        <f t="shared" si="35"/>
        <v>2.2849383501554232</v>
      </c>
      <c r="L73" s="25">
        <f t="shared" si="42"/>
        <v>8.3525666023518195</v>
      </c>
      <c r="M73" s="26">
        <f>(1+L73)/(1+MAX(L$2:L73))-1</f>
        <v>-0.30486829999999976</v>
      </c>
      <c r="N73" s="29" t="s">
        <v>259</v>
      </c>
      <c r="O73" s="24">
        <v>-0.14460000000000001</v>
      </c>
      <c r="P73" s="25">
        <f t="shared" si="36"/>
        <v>0.4085308843806672</v>
      </c>
      <c r="Q73" s="25">
        <f t="shared" si="43"/>
        <v>13.25931733192451</v>
      </c>
      <c r="R73" s="26">
        <f>(1+Q73)/(1+MAX(Q$2:Q73))-1</f>
        <v>-0.50711851999999991</v>
      </c>
      <c r="S73" s="29" t="s">
        <v>614</v>
      </c>
      <c r="T73" s="24">
        <v>-0.18870000000000001</v>
      </c>
      <c r="U73" s="25">
        <f t="shared" si="37"/>
        <v>1.5121622734195679</v>
      </c>
      <c r="V73" s="25">
        <f t="shared" si="44"/>
        <v>72.19785044830941</v>
      </c>
      <c r="W73" s="26">
        <f>(1+V73)/(1+MAX(V$2:V73))-1</f>
        <v>-0.38722511000000004</v>
      </c>
      <c r="X73" s="31"/>
      <c r="Y73" s="32">
        <f t="shared" si="40"/>
        <v>-7.8350000000000003E-2</v>
      </c>
      <c r="Z73" s="25">
        <f>+(1+Y73)*(1+Z72)-1</f>
        <v>1.5919137387758391</v>
      </c>
      <c r="AA73" s="25">
        <f t="shared" si="45"/>
        <v>28.435432830260748</v>
      </c>
      <c r="AB73" s="25">
        <f>(1+AA73)/(1+MAX(AA$2:AA73))-1</f>
        <v>-0.3865958424999999</v>
      </c>
      <c r="AC73" s="66">
        <f t="shared" si="46"/>
        <v>29435.432830260772</v>
      </c>
      <c r="AD73" s="31"/>
      <c r="AE73" s="22"/>
    </row>
    <row r="74" spans="1:37" s="54" customFormat="1" outlineLevel="1" x14ac:dyDescent="0.3">
      <c r="A74" s="54" t="s">
        <v>664</v>
      </c>
      <c r="B74" s="48" t="str">
        <f t="shared" si="39"/>
        <v>2026-1</v>
      </c>
      <c r="C74" s="1">
        <v>46023</v>
      </c>
      <c r="D74" s="113" t="s">
        <v>208</v>
      </c>
      <c r="E74" s="4">
        <v>0.25090000000000001</v>
      </c>
      <c r="F74" s="5">
        <f>+E74</f>
        <v>0.25090000000000001</v>
      </c>
      <c r="G74" s="5">
        <f t="shared" si="41"/>
        <v>2.5354058752816324</v>
      </c>
      <c r="H74" s="3">
        <f>(1+G74)/(1+MAX(G$2:G74))-1</f>
        <v>-0.20617840967599999</v>
      </c>
      <c r="I74" s="113" t="s">
        <v>162</v>
      </c>
      <c r="J74" s="4">
        <v>-0.20330000000000001</v>
      </c>
      <c r="K74" s="5">
        <f>+J74</f>
        <v>-0.20330000000000001</v>
      </c>
      <c r="L74" s="5">
        <f t="shared" si="42"/>
        <v>6.4511898120936939</v>
      </c>
      <c r="M74" s="3">
        <f>(1+L74)/(1+MAX(L$2:L74))-1</f>
        <v>-0.44618857460999994</v>
      </c>
      <c r="N74" s="114" t="s">
        <v>259</v>
      </c>
      <c r="O74" s="4">
        <v>-0.19470000000000001</v>
      </c>
      <c r="P74" s="5">
        <f>+O74</f>
        <v>-0.19470000000000001</v>
      </c>
      <c r="Q74" s="5">
        <f t="shared" si="43"/>
        <v>10.483028247398808</v>
      </c>
      <c r="R74" s="3">
        <f>(1+Q74)/(1+MAX(Q$2:Q74))-1</f>
        <v>-0.60308254415599993</v>
      </c>
      <c r="S74" s="114" t="s">
        <v>614</v>
      </c>
      <c r="T74" s="4">
        <v>0.4335</v>
      </c>
      <c r="U74" s="5">
        <f>+T74</f>
        <v>0.4335</v>
      </c>
      <c r="V74" s="5">
        <f t="shared" si="44"/>
        <v>103.92911861765154</v>
      </c>
      <c r="W74" s="3">
        <f>(1+V74)/(1+MAX(V$2:V74))-1</f>
        <v>-0.12158719518500005</v>
      </c>
      <c r="X74" s="9"/>
      <c r="Y74" s="115">
        <f t="shared" si="40"/>
        <v>7.1599999999999997E-2</v>
      </c>
      <c r="Z74" s="5">
        <f>+Y74</f>
        <v>7.1599999999999997E-2</v>
      </c>
      <c r="AA74" s="5">
        <f t="shared" si="45"/>
        <v>30.543009820907422</v>
      </c>
      <c r="AB74" s="5">
        <f>(1+AA74)/(1+MAX(AA$2:AA74))-1</f>
        <v>-0.34267610482299982</v>
      </c>
      <c r="AC74" s="51">
        <f t="shared" si="46"/>
        <v>31543.009820907446</v>
      </c>
      <c r="AD74" s="9"/>
      <c r="AE74" s="52"/>
    </row>
    <row r="75" spans="1:37" s="61" customFormat="1" outlineLevel="1" x14ac:dyDescent="0.3">
      <c r="A75" s="61" t="s">
        <v>664</v>
      </c>
      <c r="B75" s="55" t="str">
        <f t="shared" si="39"/>
        <v>2026-2</v>
      </c>
      <c r="C75" s="11">
        <v>46054</v>
      </c>
      <c r="D75" s="116" t="s">
        <v>208</v>
      </c>
      <c r="E75" s="14">
        <v>-3.7499999999999999E-2</v>
      </c>
      <c r="F75" s="15">
        <f t="shared" ref="F75:F80" si="47">+(1+E75)*(1+F74)-1</f>
        <v>0.20399125000000007</v>
      </c>
      <c r="G75" s="15">
        <f t="shared" si="41"/>
        <v>2.4028281549585713</v>
      </c>
      <c r="H75" s="13">
        <f>(1+G75)/(1+MAX(G$2:G75))-1</f>
        <v>-0.23594671931314992</v>
      </c>
      <c r="I75" s="116" t="s">
        <v>613</v>
      </c>
      <c r="J75" s="14">
        <v>-0.27810000000000001</v>
      </c>
      <c r="K75" s="15">
        <f t="shared" ref="K75:K80" si="48">+(1+J75)*(1+K74)-1</f>
        <v>-0.42486226999999999</v>
      </c>
      <c r="L75" s="15">
        <f t="shared" si="42"/>
        <v>4.3790139253504377</v>
      </c>
      <c r="M75" s="13">
        <f>(1+L75)/(1+MAX(L$2:L75))-1</f>
        <v>-0.60020353201095888</v>
      </c>
      <c r="N75" s="117" t="s">
        <v>162</v>
      </c>
      <c r="O75" s="14">
        <v>-0.1028</v>
      </c>
      <c r="P75" s="15">
        <f t="shared" ref="P75:P80" si="49">+(1+O75)*(1+P74)-1</f>
        <v>-0.27748483999999995</v>
      </c>
      <c r="Q75" s="15">
        <f t="shared" si="43"/>
        <v>9.3025729435662114</v>
      </c>
      <c r="R75" s="13">
        <f>(1+Q75)/(1+MAX(Q$2:Q75))-1</f>
        <v>-0.64388565861676317</v>
      </c>
      <c r="S75" s="117" t="s">
        <v>614</v>
      </c>
      <c r="T75" s="14">
        <v>0.23649999999999999</v>
      </c>
      <c r="U75" s="15">
        <f t="shared" ref="U75:U79" si="50">+(1+T75)*(1+U74)-1</f>
        <v>0.77252274999999981</v>
      </c>
      <c r="V75" s="15">
        <f t="shared" si="44"/>
        <v>128.74485517072611</v>
      </c>
      <c r="W75" s="13">
        <f>(1+V75)/(1+MAX(V$2:V75))-1</f>
        <v>0</v>
      </c>
      <c r="X75" s="19"/>
      <c r="Y75" s="115">
        <f t="shared" si="40"/>
        <v>-4.5475000000000002E-2</v>
      </c>
      <c r="Z75" s="15">
        <f t="shared" ref="Z75:Z80" si="51">+(1+Y75)*(1+Z74)-1</f>
        <v>2.2868990000000089E-2</v>
      </c>
      <c r="AA75" s="15">
        <f t="shared" si="45"/>
        <v>29.108591449301656</v>
      </c>
      <c r="AB75" s="15">
        <f>(1+AA75)/(1+MAX(AA$2:AA75))-1</f>
        <v>-0.37256790895617387</v>
      </c>
      <c r="AC75" s="58">
        <f t="shared" si="46"/>
        <v>30108.591449301679</v>
      </c>
      <c r="AD75" s="19"/>
      <c r="AE75" s="59"/>
    </row>
    <row r="76" spans="1:37" s="61" customFormat="1" outlineLevel="1" x14ac:dyDescent="0.3">
      <c r="A76" s="61" t="s">
        <v>664</v>
      </c>
      <c r="B76" s="55" t="str">
        <f t="shared" si="39"/>
        <v>2026-3</v>
      </c>
      <c r="C76" s="11">
        <v>46082</v>
      </c>
      <c r="D76" s="116" t="s">
        <v>208</v>
      </c>
      <c r="E76" s="14">
        <v>-0.16919999999999999</v>
      </c>
      <c r="F76" s="15">
        <f t="shared" si="47"/>
        <v>2.7593049999996566E-4</v>
      </c>
      <c r="G76" s="15">
        <f t="shared" si="41"/>
        <v>1.8270696311395809</v>
      </c>
      <c r="H76" s="13">
        <f>(1+G76)/(1+MAX(G$2:G76))-1</f>
        <v>-0.36522453440536495</v>
      </c>
      <c r="I76" s="116" t="s">
        <v>642</v>
      </c>
      <c r="J76" s="14">
        <v>-1.35E-2</v>
      </c>
      <c r="K76" s="15">
        <f t="shared" si="48"/>
        <v>-0.43262662935499996</v>
      </c>
      <c r="L76" s="15">
        <f t="shared" si="42"/>
        <v>4.3063972373582073</v>
      </c>
      <c r="M76" s="13">
        <f>(1+L76)/(1+MAX(L$2:L76))-1</f>
        <v>-0.60560078432881093</v>
      </c>
      <c r="N76" s="117" t="s">
        <v>95</v>
      </c>
      <c r="O76" s="14">
        <v>-4.5900000000000003E-2</v>
      </c>
      <c r="P76" s="15">
        <f t="shared" si="49"/>
        <v>-0.31064828584399995</v>
      </c>
      <c r="Q76" s="15">
        <f t="shared" si="43"/>
        <v>8.8296848454565211</v>
      </c>
      <c r="R76" s="13">
        <f>(1+Q76)/(1+MAX(Q$2:Q76))-1</f>
        <v>-0.66023130688625375</v>
      </c>
      <c r="S76" s="117" t="s">
        <v>614</v>
      </c>
      <c r="T76" s="14">
        <v>5.7000000000000002E-3</v>
      </c>
      <c r="U76" s="15">
        <f t="shared" si="50"/>
        <v>0.78262612967499989</v>
      </c>
      <c r="V76" s="15">
        <f t="shared" si="44"/>
        <v>129.48440084519925</v>
      </c>
      <c r="W76" s="13">
        <f>(1+V76)/(1+MAX(V$2:V76))-1</f>
        <v>0</v>
      </c>
      <c r="X76" s="19"/>
      <c r="Y76" s="115">
        <f t="shared" si="40"/>
        <v>-5.5724999999999997E-2</v>
      </c>
      <c r="Z76" s="15">
        <f t="shared" si="51"/>
        <v>-3.4130384467749963E-2</v>
      </c>
      <c r="AA76" s="15">
        <f t="shared" si="45"/>
        <v>27.43079019078932</v>
      </c>
      <c r="AB76" s="15">
        <f>(1+AA76)/(1+MAX(AA$2:AA76))-1</f>
        <v>-0.40753156222959119</v>
      </c>
      <c r="AC76" s="58">
        <f t="shared" si="46"/>
        <v>28430.790190789343</v>
      </c>
      <c r="AD76" s="19"/>
      <c r="AE76" s="59"/>
    </row>
    <row r="77" spans="1:37" s="61" customFormat="1" outlineLevel="1" x14ac:dyDescent="0.3">
      <c r="A77" s="61" t="s">
        <v>664</v>
      </c>
      <c r="B77" s="55" t="str">
        <f t="shared" si="39"/>
        <v>2026-4</v>
      </c>
      <c r="C77" s="11">
        <v>46113</v>
      </c>
      <c r="D77" s="116" t="s">
        <v>96</v>
      </c>
      <c r="E77" s="14">
        <v>0.3745</v>
      </c>
      <c r="F77" s="15">
        <f t="shared" si="47"/>
        <v>0.37487926647225001</v>
      </c>
      <c r="G77" s="15">
        <f t="shared" ref="G77:G82" si="52">+(1+E77)*(1+G76)-1</f>
        <v>2.8858072080013542</v>
      </c>
      <c r="H77" s="13">
        <f>(1+G77)/(1+MAX(G$2:G77))-1</f>
        <v>-0.12750112254017409</v>
      </c>
      <c r="I77" s="116" t="s">
        <v>642</v>
      </c>
      <c r="J77" s="14">
        <v>0.17580000000000001</v>
      </c>
      <c r="K77" s="15">
        <f t="shared" si="48"/>
        <v>-0.332882390795609</v>
      </c>
      <c r="L77" s="15">
        <f t="shared" ref="L77:L82" si="53">+(1+J77)*(1+L76)-1</f>
        <v>5.2392618716857804</v>
      </c>
      <c r="M77" s="13">
        <f>(1+L77)/(1+MAX(L$2:L77))-1</f>
        <v>-0.5362654022138158</v>
      </c>
      <c r="N77" s="117" t="s">
        <v>95</v>
      </c>
      <c r="O77" s="14">
        <v>0.1363</v>
      </c>
      <c r="P77" s="15">
        <f t="shared" si="49"/>
        <v>-0.21668964720453709</v>
      </c>
      <c r="Q77" s="15">
        <f t="shared" ref="Q77:Q82" si="54">+(1+O77)*(1+Q76)-1</f>
        <v>10.169470889892246</v>
      </c>
      <c r="R77" s="13">
        <f>(1+Q77)/(1+MAX(Q$2:Q77))-1</f>
        <v>-0.61392083401485009</v>
      </c>
      <c r="S77" s="117" t="s">
        <v>614</v>
      </c>
      <c r="T77" s="14">
        <v>0.3493</v>
      </c>
      <c r="U77" s="15">
        <f t="shared" si="50"/>
        <v>1.4052974367704771</v>
      </c>
      <c r="V77" s="15">
        <f t="shared" ref="V77:V82" si="55">+(1+T77)*(1+V76)-1</f>
        <v>175.06260206042734</v>
      </c>
      <c r="W77" s="13">
        <f>(1+V77)/(1+MAX(V$2:V77))-1</f>
        <v>0</v>
      </c>
      <c r="X77" s="19"/>
      <c r="Y77" s="115">
        <f t="shared" si="40"/>
        <v>0.25897500000000001</v>
      </c>
      <c r="Z77" s="15">
        <f t="shared" si="51"/>
        <v>0.21600569921471435</v>
      </c>
      <c r="AA77" s="15">
        <f t="shared" si="45"/>
        <v>34.793654080448981</v>
      </c>
      <c r="AB77" s="15">
        <f>(1+AA77)/(1+MAX(AA$2:AA77))-1</f>
        <v>-0.25409704855799964</v>
      </c>
      <c r="AC77" s="58">
        <f t="shared" si="46"/>
        <v>35793.654080449014</v>
      </c>
      <c r="AD77" s="19"/>
      <c r="AE77" s="59"/>
    </row>
    <row r="78" spans="1:37" s="61" customFormat="1" outlineLevel="1" x14ac:dyDescent="0.3">
      <c r="A78" s="61" t="s">
        <v>664</v>
      </c>
      <c r="B78" s="55" t="str">
        <f t="shared" si="39"/>
        <v>2026-5</v>
      </c>
      <c r="C78" s="11">
        <v>46143</v>
      </c>
      <c r="D78" s="116" t="s">
        <v>96</v>
      </c>
      <c r="E78" s="14">
        <v>-8.09E-2</v>
      </c>
      <c r="F78" s="15">
        <f t="shared" si="47"/>
        <v>0.26365153381464501</v>
      </c>
      <c r="G78" s="15">
        <f t="shared" si="52"/>
        <v>2.5714454048740447</v>
      </c>
      <c r="H78" s="13">
        <f>(1+G78)/(1+MAX(G$2:G78))-1</f>
        <v>-0.19808628172667397</v>
      </c>
      <c r="I78" s="116" t="s">
        <v>642</v>
      </c>
      <c r="J78" s="14">
        <v>7.3099999999999998E-2</v>
      </c>
      <c r="K78" s="15">
        <f t="shared" si="48"/>
        <v>-0.28411609356276801</v>
      </c>
      <c r="L78" s="15">
        <f t="shared" si="53"/>
        <v>5.695351914506011</v>
      </c>
      <c r="M78" s="13">
        <f>(1+L78)/(1+MAX(L$2:L78))-1</f>
        <v>-0.50236640311564584</v>
      </c>
      <c r="N78" s="117" t="s">
        <v>95</v>
      </c>
      <c r="O78" s="14">
        <v>9.3200000000000005E-2</v>
      </c>
      <c r="P78" s="15">
        <f t="shared" si="49"/>
        <v>-0.14368512232399999</v>
      </c>
      <c r="Q78" s="15">
        <f t="shared" si="54"/>
        <v>11.210465576830202</v>
      </c>
      <c r="R78" s="13">
        <f>(1+Q78)/(1+MAX(Q$2:Q78))-1</f>
        <v>-0.5779382557450341</v>
      </c>
      <c r="S78" s="117" t="s">
        <v>614</v>
      </c>
      <c r="T78" s="14">
        <v>-0.25019999999999998</v>
      </c>
      <c r="U78" s="15">
        <f t="shared" si="50"/>
        <v>0.80349201809050386</v>
      </c>
      <c r="V78" s="15">
        <f t="shared" si="55"/>
        <v>131.01173902490842</v>
      </c>
      <c r="W78" s="13">
        <f>(1+V78)/(1+MAX(V$2:V78))-1</f>
        <v>-0.25019999999999998</v>
      </c>
      <c r="X78" s="19"/>
      <c r="Y78" s="115">
        <f t="shared" si="40"/>
        <v>-4.1199999999999994E-2</v>
      </c>
      <c r="Z78" s="15">
        <f t="shared" si="51"/>
        <v>0.16590626440706813</v>
      </c>
      <c r="AA78" s="15">
        <f>+(1+Y78)*(1+AA77)-1</f>
        <v>33.318955532334485</v>
      </c>
      <c r="AB78" s="15">
        <f>(1+AA78)/(1+MAX(AA$2:AA78))-1</f>
        <v>-0.28482825015740998</v>
      </c>
      <c r="AC78" s="58">
        <f>AC77*(1+Y78)</f>
        <v>34318.955532334512</v>
      </c>
      <c r="AD78" s="19"/>
      <c r="AE78" s="59"/>
      <c r="AH78" s="62"/>
      <c r="AI78" s="62"/>
      <c r="AJ78" s="62"/>
      <c r="AK78" s="62"/>
    </row>
    <row r="79" spans="1:37" s="61" customFormat="1" outlineLevel="1" x14ac:dyDescent="0.3">
      <c r="A79" s="61" t="s">
        <v>664</v>
      </c>
      <c r="B79" s="55" t="str">
        <f t="shared" si="39"/>
        <v>2026-6</v>
      </c>
      <c r="C79" s="11">
        <v>46174</v>
      </c>
      <c r="D79" s="116" t="s">
        <v>96</v>
      </c>
      <c r="E79" s="14">
        <v>0.30959999999999999</v>
      </c>
      <c r="F79" s="15">
        <f t="shared" si="47"/>
        <v>0.65487804868365918</v>
      </c>
      <c r="G79" s="15">
        <f t="shared" si="52"/>
        <v>3.6771649022230495</v>
      </c>
      <c r="H79" s="13">
        <f>(1+G79)/(1+MAX(G$2:G79))-1</f>
        <v>0</v>
      </c>
      <c r="I79" s="116" t="s">
        <v>642</v>
      </c>
      <c r="J79" s="14">
        <v>-0.22289999999999999</v>
      </c>
      <c r="K79" s="15">
        <f t="shared" si="48"/>
        <v>-0.44368661630762707</v>
      </c>
      <c r="L79" s="15">
        <f t="shared" si="53"/>
        <v>4.2029579727626212</v>
      </c>
      <c r="M79" s="13">
        <f>(1+L79)/(1+MAX(L$2:L79))-1</f>
        <v>-0.61328893186116828</v>
      </c>
      <c r="N79" s="117" t="s">
        <v>95</v>
      </c>
      <c r="O79" s="14">
        <v>0.31869999999999998</v>
      </c>
      <c r="P79" s="15">
        <f t="shared" si="49"/>
        <v>0.1292224291913413</v>
      </c>
      <c r="Q79" s="15">
        <f t="shared" si="54"/>
        <v>15.101940956165986</v>
      </c>
      <c r="R79" s="13">
        <f>(1+Q79)/(1+MAX(Q$2:Q79))-1</f>
        <v>-0.44342717785097663</v>
      </c>
      <c r="S79" s="117" t="s">
        <v>659</v>
      </c>
      <c r="T79" s="14">
        <v>0.2422</v>
      </c>
      <c r="U79" s="15">
        <f t="shared" si="50"/>
        <v>1.2402977848720238</v>
      </c>
      <c r="V79" s="15">
        <f t="shared" si="55"/>
        <v>162.98498221674123</v>
      </c>
      <c r="W79" s="13">
        <f>(1+V79)/(1+MAX(V$2:V79))-1</f>
        <v>-6.8598440000000038E-2</v>
      </c>
      <c r="X79" s="19"/>
      <c r="Y79" s="115">
        <f t="shared" si="40"/>
        <v>0.16189999999999999</v>
      </c>
      <c r="Z79" s="15">
        <f t="shared" si="51"/>
        <v>0.35466648861457228</v>
      </c>
      <c r="AA79" s="15">
        <f>+(1+Y79)*(1+AA78)-1</f>
        <v>38.875194433019438</v>
      </c>
      <c r="AB79" s="15">
        <f>(1+AA79)/(1+MAX(AA$2:AA79))-1</f>
        <v>-0.16904194385789462</v>
      </c>
      <c r="AC79" s="58">
        <f>AC78*(1+Y79)</f>
        <v>39875.194433019467</v>
      </c>
      <c r="AD79" s="19"/>
      <c r="AE79" s="59"/>
      <c r="AH79" s="62"/>
      <c r="AI79" s="62"/>
      <c r="AJ79" s="62"/>
      <c r="AK79" s="62"/>
    </row>
    <row r="80" spans="1:37" s="61" customFormat="1" outlineLevel="1" x14ac:dyDescent="0.3">
      <c r="A80" s="61" t="s">
        <v>664</v>
      </c>
      <c r="B80" s="55" t="str">
        <f t="shared" si="39"/>
        <v>2026-7</v>
      </c>
      <c r="C80" s="11">
        <v>46204</v>
      </c>
      <c r="D80" s="116" t="s">
        <v>96</v>
      </c>
      <c r="E80" s="14">
        <v>-0.34179999999999999</v>
      </c>
      <c r="F80" s="15">
        <f t="shared" si="47"/>
        <v>8.9240731643584592E-2</v>
      </c>
      <c r="G80" s="15">
        <f t="shared" si="52"/>
        <v>2.0785099386432111</v>
      </c>
      <c r="H80" s="13">
        <f>(1+G80)/(1+MAX(G$2:G80))-1</f>
        <v>-0.34179999999999999</v>
      </c>
      <c r="I80" s="116" t="s">
        <v>149</v>
      </c>
      <c r="J80" s="14">
        <v>-0.32969999999999999</v>
      </c>
      <c r="K80" s="15">
        <f t="shared" si="48"/>
        <v>-0.62710313891100244</v>
      </c>
      <c r="L80" s="15">
        <f t="shared" si="53"/>
        <v>2.4875427291427852</v>
      </c>
      <c r="M80" s="13">
        <f>(1+L80)/(1+MAX(L$2:L80))-1</f>
        <v>-0.74078757102654114</v>
      </c>
      <c r="N80" s="117" t="s">
        <v>95</v>
      </c>
      <c r="O80" s="14">
        <v>-0.24679999999999999</v>
      </c>
      <c r="P80" s="15">
        <f t="shared" si="49"/>
        <v>-0.14946966633308179</v>
      </c>
      <c r="Q80" s="15">
        <f t="shared" si="54"/>
        <v>11.127981928184221</v>
      </c>
      <c r="R80" s="13">
        <f>(1+Q80)/(1+MAX(Q$2:Q80))-1</f>
        <v>-0.58078935035735557</v>
      </c>
      <c r="S80" s="117" t="s">
        <v>659</v>
      </c>
      <c r="T80" s="14">
        <v>-0.35970000000000002</v>
      </c>
      <c r="U80" s="15">
        <f t="shared" ref="U80:U81" si="56">+(1+T80)*(1+U79)-1</f>
        <v>0.4344626716535569</v>
      </c>
      <c r="V80" s="15">
        <f t="shared" si="55"/>
        <v>103.99958411337941</v>
      </c>
      <c r="W80" s="13">
        <f>(1+V80)/(1+MAX(V$2:V80))-1</f>
        <v>-0.40362358113200003</v>
      </c>
      <c r="X80" s="19"/>
      <c r="Y80" s="115">
        <f t="shared" si="40"/>
        <v>-0.31950000000000001</v>
      </c>
      <c r="Z80" s="15">
        <f t="shared" si="51"/>
        <v>-7.8149454497783544E-2</v>
      </c>
      <c r="AA80" s="15">
        <f>+(1+Y80)*(1+AA79)-1</f>
        <v>26.135069811669727</v>
      </c>
      <c r="AB80" s="15">
        <f>(1+AA80)/(1+MAX(AA$2:AA80))-1</f>
        <v>-0.43453304279529736</v>
      </c>
      <c r="AC80" s="58">
        <f>AC79*(1+Y80)</f>
        <v>27135.069811669746</v>
      </c>
      <c r="AD80" s="19"/>
      <c r="AE80" s="59"/>
      <c r="AH80" s="62"/>
      <c r="AI80" s="62"/>
      <c r="AJ80" s="62"/>
      <c r="AK80" s="62"/>
    </row>
    <row r="81" spans="1:37" s="61" customFormat="1" outlineLevel="1" x14ac:dyDescent="0.3">
      <c r="A81" s="61" t="s">
        <v>664</v>
      </c>
      <c r="B81" s="55" t="str">
        <f t="shared" si="39"/>
        <v>2026-8</v>
      </c>
      <c r="C81" s="11">
        <v>46235</v>
      </c>
      <c r="D81" s="116" t="s">
        <v>96</v>
      </c>
      <c r="E81" s="14">
        <v>-5.8000000000000003E-2</v>
      </c>
      <c r="F81" s="15">
        <f t="shared" ref="F81" si="57">+(1+E81)*(1+F80)-1</f>
        <v>2.6064769208256733E-2</v>
      </c>
      <c r="G81" s="15">
        <f t="shared" si="52"/>
        <v>1.8999563622019049</v>
      </c>
      <c r="H81" s="13">
        <f>(1+G81)/(1+MAX(G$2:G81))-1</f>
        <v>-0.37997559999999997</v>
      </c>
      <c r="I81" s="116" t="s">
        <v>149</v>
      </c>
      <c r="J81" s="14">
        <v>2.3099999999999999E-2</v>
      </c>
      <c r="K81" s="15">
        <f t="shared" ref="K81" si="58">+(1+J81)*(1+K80)-1</f>
        <v>-0.61848922141984664</v>
      </c>
      <c r="L81" s="15">
        <f t="shared" si="53"/>
        <v>2.5681049661859832</v>
      </c>
      <c r="M81" s="13">
        <f>(1+L81)/(1+MAX(L$2:L81))-1</f>
        <v>-0.73479976391725432</v>
      </c>
      <c r="N81" s="117" t="s">
        <v>95</v>
      </c>
      <c r="O81" s="14">
        <v>-5.3900000000000003E-2</v>
      </c>
      <c r="P81" s="15">
        <f t="shared" ref="P81" si="59">+(1+O81)*(1+P80)-1</f>
        <v>-0.1953132513177287</v>
      </c>
      <c r="Q81" s="15">
        <f t="shared" si="54"/>
        <v>10.474283702255091</v>
      </c>
      <c r="R81" s="13">
        <f>(1+Q81)/(1+MAX(Q$2:Q81))-1</f>
        <v>-0.60338480437309405</v>
      </c>
      <c r="S81" s="117" t="s">
        <v>659</v>
      </c>
      <c r="T81" s="14">
        <v>-1.3299999999999999E-2</v>
      </c>
      <c r="U81" s="15">
        <f t="shared" si="56"/>
        <v>0.41538431812056453</v>
      </c>
      <c r="V81" s="15">
        <f t="shared" si="55"/>
        <v>102.60308964467147</v>
      </c>
      <c r="W81" s="13">
        <f>(1+V81)/(1+MAX(V$2:V81))-1</f>
        <v>-0.4115553875029444</v>
      </c>
      <c r="X81" s="19"/>
      <c r="Y81" s="115">
        <f t="shared" si="40"/>
        <v>-2.5524999999999999E-2</v>
      </c>
      <c r="Z81" s="15">
        <f t="shared" ref="Z81" si="60">+(1+Y81)*(1+Z80)-1</f>
        <v>-0.10167968967172769</v>
      </c>
      <c r="AA81" s="15">
        <f>+(1+Y81)*(1+AA80)-1</f>
        <v>25.442447154726857</v>
      </c>
      <c r="AB81" s="15">
        <f>(1+AA81)/(1+MAX(AA$2:AA81))-1</f>
        <v>-0.44896658687794733</v>
      </c>
      <c r="AC81" s="58">
        <f>AC80*(1+Y81)</f>
        <v>26442.447154726877</v>
      </c>
      <c r="AD81" s="19"/>
      <c r="AE81" s="59"/>
      <c r="AH81" s="62"/>
      <c r="AI81" s="62"/>
      <c r="AJ81" s="62"/>
      <c r="AK81" s="62"/>
    </row>
    <row r="82" spans="1:37" s="61" customFormat="1" outlineLevel="1" x14ac:dyDescent="0.3">
      <c r="A82" s="61" t="s">
        <v>664</v>
      </c>
      <c r="B82" s="55" t="str">
        <f t="shared" si="39"/>
        <v>2026-9</v>
      </c>
      <c r="C82" s="11">
        <v>46266</v>
      </c>
      <c r="D82" s="116" t="s">
        <v>96</v>
      </c>
      <c r="E82" s="14">
        <v>0.51649999999999996</v>
      </c>
      <c r="F82" s="15">
        <f t="shared" ref="F82" si="61">+(1+E82)*(1+F81)-1</f>
        <v>0.55602722250432124</v>
      </c>
      <c r="G82" s="15">
        <f t="shared" si="52"/>
        <v>3.3977838232791884</v>
      </c>
      <c r="H82" s="13">
        <f>(1+G82)/(1+MAX(G$2:G82))-1</f>
        <v>-5.9732997400000043E-2</v>
      </c>
      <c r="I82" s="116" t="s">
        <v>149</v>
      </c>
      <c r="J82" s="14">
        <v>0.11459999999999999</v>
      </c>
      <c r="K82" s="15">
        <f t="shared" ref="K82" si="62">+(1+J82)*(1+K81)-1</f>
        <v>-0.57476808619456099</v>
      </c>
      <c r="L82" s="15">
        <f t="shared" si="53"/>
        <v>2.9770097953108969</v>
      </c>
      <c r="M82" s="13">
        <f>(1+L82)/(1+MAX(L$2:L82))-1</f>
        <v>-0.70440781686217158</v>
      </c>
      <c r="N82" s="117" t="s">
        <v>95</v>
      </c>
      <c r="O82" s="14">
        <v>0.17150000000000001</v>
      </c>
      <c r="P82" s="15">
        <f t="shared" ref="P82" si="63">+(1+O82)*(1+P81)-1</f>
        <v>-5.7309473918719211E-2</v>
      </c>
      <c r="Q82" s="15">
        <f t="shared" si="54"/>
        <v>12.442123357191839</v>
      </c>
      <c r="R82" s="13">
        <f>(1+Q82)/(1+MAX(Q$2:Q82))-1</f>
        <v>-0.53536529832307977</v>
      </c>
      <c r="S82" s="117" t="s">
        <v>659</v>
      </c>
      <c r="T82" s="14">
        <v>0.37259999999999999</v>
      </c>
      <c r="U82" s="15">
        <f t="shared" ref="U82" si="64">+(1+T82)*(1+U81)-1</f>
        <v>0.94275651505228697</v>
      </c>
      <c r="V82" s="15">
        <f t="shared" si="55"/>
        <v>141.20560084627607</v>
      </c>
      <c r="W82" s="13">
        <f>(1+V82)/(1+MAX(V$2:V82))-1</f>
        <v>-0.19230092488654138</v>
      </c>
      <c r="X82" s="19"/>
      <c r="Y82" s="115">
        <f t="shared" si="40"/>
        <v>0.29380000000000001</v>
      </c>
      <c r="Z82" s="15">
        <f t="shared" ref="Z82" si="65">+(1+Y82)*(1+Z81)-1</f>
        <v>0.16224681750271874</v>
      </c>
      <c r="AA82" s="15">
        <f>+(1+Y82)*(1+AA81)-1</f>
        <v>33.21123812878561</v>
      </c>
      <c r="AB82" s="15">
        <f>(1+AA82)/(1+MAX(AA$2:AA82))-1</f>
        <v>-0.28707297010268829</v>
      </c>
      <c r="AC82" s="58">
        <f>AC81*(1+Y82)</f>
        <v>34211.238128785633</v>
      </c>
      <c r="AD82" s="19"/>
      <c r="AE82" s="59"/>
      <c r="AH82" s="62"/>
    </row>
    <row r="83" spans="1:37" s="61" customFormat="1" outlineLevel="1" x14ac:dyDescent="0.3">
      <c r="A83" s="61" t="s">
        <v>664</v>
      </c>
      <c r="B83" s="55" t="str">
        <f t="shared" si="39"/>
        <v>2026-10</v>
      </c>
      <c r="C83" s="11">
        <v>46296</v>
      </c>
      <c r="D83" s="116"/>
      <c r="E83" s="14"/>
      <c r="F83" s="15"/>
      <c r="G83" s="15"/>
      <c r="H83" s="13"/>
      <c r="I83" s="116"/>
      <c r="J83" s="14"/>
      <c r="K83" s="15"/>
      <c r="L83" s="15"/>
      <c r="M83" s="13"/>
      <c r="N83" s="117"/>
      <c r="O83" s="14"/>
      <c r="P83" s="15"/>
      <c r="Q83" s="15"/>
      <c r="R83" s="13"/>
      <c r="S83" s="117"/>
      <c r="T83" s="14"/>
      <c r="U83" s="15"/>
      <c r="V83" s="15"/>
      <c r="W83" s="13"/>
      <c r="X83" s="21"/>
      <c r="Y83" s="115"/>
      <c r="Z83" s="15"/>
      <c r="AA83" s="15"/>
      <c r="AB83" s="15"/>
      <c r="AC83" s="58"/>
      <c r="AD83" s="21"/>
      <c r="AE83" s="59"/>
    </row>
    <row r="84" spans="1:37" s="61" customFormat="1" outlineLevel="1" x14ac:dyDescent="0.3">
      <c r="A84" s="61" t="s">
        <v>664</v>
      </c>
      <c r="B84" s="55" t="str">
        <f t="shared" si="39"/>
        <v>2026-11</v>
      </c>
      <c r="C84" s="11">
        <v>46327</v>
      </c>
      <c r="D84" s="116"/>
      <c r="E84" s="14"/>
      <c r="F84" s="15"/>
      <c r="G84" s="15"/>
      <c r="H84" s="13"/>
      <c r="I84" s="116"/>
      <c r="J84" s="14"/>
      <c r="K84" s="15"/>
      <c r="L84" s="15"/>
      <c r="M84" s="13"/>
      <c r="N84" s="117"/>
      <c r="O84" s="14"/>
      <c r="P84" s="15"/>
      <c r="Q84" s="15"/>
      <c r="R84" s="13"/>
      <c r="S84" s="117"/>
      <c r="T84" s="14"/>
      <c r="U84" s="15"/>
      <c r="V84" s="15"/>
      <c r="W84" s="13"/>
      <c r="X84" s="21"/>
      <c r="Y84" s="115"/>
      <c r="Z84" s="15"/>
      <c r="AA84" s="15"/>
      <c r="AB84" s="15"/>
      <c r="AC84" s="58"/>
      <c r="AD84" s="21"/>
      <c r="AE84" s="59"/>
    </row>
    <row r="85" spans="1:37" s="27" customFormat="1" ht="15" thickBot="1" x14ac:dyDescent="0.35">
      <c r="A85" s="27" t="s">
        <v>664</v>
      </c>
      <c r="B85" s="63" t="str">
        <f t="shared" si="39"/>
        <v>2026-12</v>
      </c>
      <c r="C85" s="22">
        <v>46357</v>
      </c>
      <c r="D85" s="23"/>
      <c r="E85" s="24"/>
      <c r="F85" s="25"/>
      <c r="G85" s="25"/>
      <c r="H85" s="26"/>
      <c r="I85" s="23"/>
      <c r="J85" s="24"/>
      <c r="K85" s="25"/>
      <c r="L85" s="25"/>
      <c r="M85" s="26"/>
      <c r="N85" s="29"/>
      <c r="O85" s="24"/>
      <c r="P85" s="25"/>
      <c r="Q85" s="25"/>
      <c r="R85" s="26"/>
      <c r="S85" s="29"/>
      <c r="T85" s="24"/>
      <c r="U85" s="25"/>
      <c r="V85" s="25"/>
      <c r="W85" s="26"/>
      <c r="X85" s="31"/>
      <c r="Y85" s="32"/>
      <c r="Z85" s="25"/>
      <c r="AA85" s="25"/>
      <c r="AB85" s="25"/>
      <c r="AC85" s="66"/>
      <c r="AD85" s="31"/>
      <c r="AE85" s="22"/>
    </row>
    <row r="89" spans="1:37" s="78" customFormat="1" x14ac:dyDescent="0.3">
      <c r="B89" s="82"/>
      <c r="C89" s="83" t="s">
        <v>83</v>
      </c>
      <c r="D89" s="118"/>
      <c r="E89" s="85">
        <f>COUNTA(E$2:E82)/12</f>
        <v>6.75</v>
      </c>
      <c r="F89" s="86" t="s">
        <v>83</v>
      </c>
      <c r="G89" s="87"/>
      <c r="H89" s="88"/>
      <c r="I89" s="84"/>
      <c r="J89" s="85">
        <f>COUNTA(J$2:J82)/12</f>
        <v>6.75</v>
      </c>
      <c r="K89" s="86" t="s">
        <v>83</v>
      </c>
      <c r="L89" s="87"/>
      <c r="M89" s="88"/>
      <c r="N89" s="90"/>
      <c r="O89" s="85">
        <f>COUNTA(O$2:O82)/12</f>
        <v>6.75</v>
      </c>
      <c r="P89" s="86" t="s">
        <v>83</v>
      </c>
      <c r="Q89" s="87"/>
      <c r="R89" s="88"/>
      <c r="S89" s="90"/>
      <c r="T89" s="85">
        <f>COUNTA(T$2:T82)/12</f>
        <v>6.75</v>
      </c>
      <c r="U89" s="86" t="s">
        <v>83</v>
      </c>
      <c r="V89" s="87"/>
      <c r="W89" s="88"/>
      <c r="X89" s="82"/>
      <c r="Y89" s="92">
        <f>COUNTA(Y$2:Y82)/12</f>
        <v>6.75</v>
      </c>
      <c r="Z89" s="86" t="s">
        <v>83</v>
      </c>
      <c r="AA89" s="87"/>
      <c r="AB89" s="86"/>
      <c r="AC89" s="119"/>
      <c r="AD89" s="82"/>
    </row>
    <row r="90" spans="1:37" s="78" customFormat="1" x14ac:dyDescent="0.3">
      <c r="B90" s="96"/>
      <c r="C90" s="83" t="s">
        <v>15</v>
      </c>
      <c r="D90" s="118"/>
      <c r="E90" s="97">
        <f>(1+G82)^(1/E89)-1</f>
        <v>0.24535711915859171</v>
      </c>
      <c r="F90" s="86" t="s">
        <v>15</v>
      </c>
      <c r="G90" s="87"/>
      <c r="H90" s="88"/>
      <c r="I90" s="84"/>
      <c r="J90" s="97">
        <f>(1+L82)^(1/J89)-1</f>
        <v>0.22693967135523274</v>
      </c>
      <c r="K90" s="86" t="s">
        <v>15</v>
      </c>
      <c r="L90" s="87"/>
      <c r="M90" s="88"/>
      <c r="N90" s="90"/>
      <c r="O90" s="97">
        <f>(1+Q82)^(1/O89)-1</f>
        <v>0.46953666482721546</v>
      </c>
      <c r="P90" s="86" t="s">
        <v>15</v>
      </c>
      <c r="Q90" s="87"/>
      <c r="R90" s="88"/>
      <c r="S90" s="90"/>
      <c r="T90" s="97">
        <f>(1+V82)^(1/T89)-1</f>
        <v>1.0842538983586456</v>
      </c>
      <c r="U90" s="86" t="s">
        <v>15</v>
      </c>
      <c r="V90" s="87"/>
      <c r="W90" s="88"/>
      <c r="X90" s="82"/>
      <c r="Y90" s="100">
        <f>(1+AA82)^(1/Y89)-1</f>
        <v>0.68765731231641514</v>
      </c>
      <c r="Z90" s="86" t="s">
        <v>15</v>
      </c>
      <c r="AA90" s="87"/>
      <c r="AB90" s="86"/>
      <c r="AC90" s="119"/>
      <c r="AD90" s="82"/>
    </row>
    <row r="91" spans="1:37" s="78" customFormat="1" x14ac:dyDescent="0.3">
      <c r="B91" s="82"/>
      <c r="C91" s="83" t="s">
        <v>16</v>
      </c>
      <c r="D91" s="118"/>
      <c r="E91" s="97">
        <f>_xlfn.STDEV.S(E$2:E82)*SQRT(12)</f>
        <v>0.79717767781091309</v>
      </c>
      <c r="F91" s="86" t="s">
        <v>16</v>
      </c>
      <c r="G91" s="87"/>
      <c r="H91" s="88"/>
      <c r="I91" s="84"/>
      <c r="J91" s="97">
        <f>_xlfn.STDEV.S(J$2:J82)*SQRT(12)</f>
        <v>0.80068105260459355</v>
      </c>
      <c r="K91" s="86" t="s">
        <v>16</v>
      </c>
      <c r="L91" s="87"/>
      <c r="M91" s="88"/>
      <c r="N91" s="90"/>
      <c r="O91" s="97">
        <f>_xlfn.STDEV.S(O$2:O82)*SQRT(12)</f>
        <v>0.70562365813932704</v>
      </c>
      <c r="P91" s="86" t="s">
        <v>16</v>
      </c>
      <c r="Q91" s="87"/>
      <c r="R91" s="88"/>
      <c r="S91" s="90"/>
      <c r="T91" s="97">
        <f>_xlfn.STDEV.S(T$2:T82)*SQRT(12)</f>
        <v>0.84708314981688992</v>
      </c>
      <c r="U91" s="86" t="s">
        <v>16</v>
      </c>
      <c r="V91" s="87"/>
      <c r="W91" s="88"/>
      <c r="X91" s="82"/>
      <c r="Y91" s="100">
        <f>_xlfn.STDEV.S(Y$2:Y82)*SQRT(12)</f>
        <v>0.48955060318963278</v>
      </c>
      <c r="Z91" s="86" t="s">
        <v>16</v>
      </c>
      <c r="AA91" s="87"/>
      <c r="AB91" s="86"/>
      <c r="AC91" s="119"/>
      <c r="AD91" s="82"/>
    </row>
    <row r="92" spans="1:37" s="78" customFormat="1" x14ac:dyDescent="0.3">
      <c r="B92" s="82"/>
      <c r="C92" s="83" t="s">
        <v>17</v>
      </c>
      <c r="D92" s="118"/>
      <c r="E92" s="103">
        <f>AVERAGE(E$2:E82)/_xlfn.STDEV.S(E$2:E82)*SQRT(12)</f>
        <v>0.58707112984541887</v>
      </c>
      <c r="F92" s="86" t="s">
        <v>17</v>
      </c>
      <c r="G92" s="87"/>
      <c r="H92" s="88"/>
      <c r="I92" s="84"/>
      <c r="J92" s="103">
        <f>AVERAGE(J$2:J82)/_xlfn.STDEV.S(J$2:J82)*SQRT(12)</f>
        <v>0.58033928135943602</v>
      </c>
      <c r="K92" s="86" t="s">
        <v>17</v>
      </c>
      <c r="L92" s="87"/>
      <c r="M92" s="88"/>
      <c r="N92" s="90"/>
      <c r="O92" s="103">
        <f>AVERAGE(O$2:O82)/_xlfn.STDEV.S(O$2:O82)*SQRT(12)</f>
        <v>0.87237773743808433</v>
      </c>
      <c r="P92" s="86" t="s">
        <v>17</v>
      </c>
      <c r="Q92" s="87"/>
      <c r="R92" s="88"/>
      <c r="S92" s="90"/>
      <c r="T92" s="103">
        <f>AVERAGE(T$2:T82)/_xlfn.STDEV.S(T$2:T82)*SQRT(12)</f>
        <v>1.224839310007549</v>
      </c>
      <c r="U92" s="86" t="s">
        <v>17</v>
      </c>
      <c r="V92" s="87"/>
      <c r="W92" s="88"/>
      <c r="X92" s="82"/>
      <c r="Y92" s="106">
        <f>AVERAGE(Y$2:Y82)/_xlfn.STDEV.S(Y$2:Y82)*SQRT(12)</f>
        <v>1.3204854416123295</v>
      </c>
      <c r="Z92" s="86" t="s">
        <v>17</v>
      </c>
      <c r="AA92" s="87"/>
      <c r="AB92" s="86"/>
      <c r="AC92" s="119"/>
      <c r="AD92" s="82"/>
    </row>
    <row r="93" spans="1:37" s="78" customFormat="1" x14ac:dyDescent="0.3">
      <c r="B93" s="82"/>
      <c r="C93" s="83" t="s">
        <v>18</v>
      </c>
      <c r="D93" s="84"/>
      <c r="E93" s="108">
        <f>MIN(H$2:H82)</f>
        <v>-0.67330192270636258</v>
      </c>
      <c r="F93" s="86" t="s">
        <v>18</v>
      </c>
      <c r="G93" s="87"/>
      <c r="H93" s="88"/>
      <c r="I93" s="84"/>
      <c r="J93" s="108">
        <f>MIN(M$2:M82)</f>
        <v>-0.74078757102654114</v>
      </c>
      <c r="K93" s="86" t="s">
        <v>18</v>
      </c>
      <c r="L93" s="87"/>
      <c r="M93" s="88"/>
      <c r="N93" s="90"/>
      <c r="O93" s="108">
        <f>MIN(R$2:R82)</f>
        <v>-0.66023130688625375</v>
      </c>
      <c r="P93" s="86" t="s">
        <v>18</v>
      </c>
      <c r="Q93" s="87"/>
      <c r="R93" s="88"/>
      <c r="S93" s="90"/>
      <c r="T93" s="108">
        <f>MIN(W$2:W82)</f>
        <v>-0.41492861020709071</v>
      </c>
      <c r="U93" s="86" t="s">
        <v>18</v>
      </c>
      <c r="V93" s="87"/>
      <c r="W93" s="88"/>
      <c r="X93" s="82"/>
      <c r="Y93" s="110">
        <f>MIN(AB$2:AB82)</f>
        <v>-0.44896658687794733</v>
      </c>
      <c r="Z93" s="86" t="s">
        <v>18</v>
      </c>
      <c r="AA93" s="87"/>
      <c r="AB93" s="86"/>
      <c r="AC93" s="119"/>
      <c r="AD93" s="82"/>
    </row>
    <row r="94" spans="1:37" x14ac:dyDescent="0.3">
      <c r="Y94" s="110"/>
    </row>
  </sheetData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218"/>
  <sheetViews>
    <sheetView showGridLines="0" zoomScale="80" zoomScaleNormal="80" workbookViewId="0"/>
  </sheetViews>
  <sheetFormatPr baseColWidth="10" defaultColWidth="11.44140625" defaultRowHeight="14.4" outlineLevelRow="1" x14ac:dyDescent="0.3"/>
  <cols>
    <col min="1" max="1" width="11.44140625" style="81"/>
    <col min="2" max="2" width="10.44140625" style="69" bestFit="1" customWidth="1"/>
    <col min="3" max="3" width="10.44140625" style="70" customWidth="1"/>
    <col min="4" max="4" width="10.6640625" style="75" customWidth="1"/>
    <col min="5" max="5" width="8.44140625" style="72" bestFit="1" customWidth="1"/>
    <col min="6" max="6" width="8.44140625" style="73" bestFit="1" customWidth="1"/>
    <col min="7" max="7" width="10.5546875" style="73" bestFit="1" customWidth="1"/>
    <col min="8" max="8" width="8.44140625" style="74" bestFit="1" customWidth="1"/>
    <col min="9" max="9" width="10.6640625" style="75" customWidth="1"/>
    <col min="10" max="10" width="8.44140625" style="72" bestFit="1" customWidth="1"/>
    <col min="11" max="11" width="8.44140625" style="73" bestFit="1" customWidth="1"/>
    <col min="12" max="12" width="10.5546875" style="73" bestFit="1" customWidth="1"/>
    <col min="13" max="13" width="8.44140625" style="74" bestFit="1" customWidth="1"/>
    <col min="14" max="14" width="10.6640625" style="75" customWidth="1"/>
    <col min="15" max="15" width="8.6640625" style="69" bestFit="1" customWidth="1"/>
    <col min="16" max="16" width="10.6640625" style="111" customWidth="1"/>
    <col min="17" max="17" width="8.6640625" style="69" bestFit="1" customWidth="1"/>
    <col min="18" max="18" width="10.6640625" style="111" customWidth="1"/>
    <col min="19" max="19" width="8.6640625" style="69" bestFit="1" customWidth="1"/>
    <col min="20" max="20" width="8.44140625" style="72" bestFit="1" customWidth="1"/>
    <col min="21" max="21" width="8.44140625" style="73" bestFit="1" customWidth="1"/>
    <col min="22" max="22" width="10.5546875" style="73" bestFit="1" customWidth="1"/>
    <col min="23" max="23" width="8.44140625" style="74" bestFit="1" customWidth="1"/>
    <col min="24" max="24" width="6.33203125" style="69" customWidth="1"/>
    <col min="25" max="25" width="9.44140625" style="76" bestFit="1" customWidth="1"/>
    <col min="26" max="26" width="8.44140625" style="73" bestFit="1" customWidth="1"/>
    <col min="27" max="27" width="10.5546875" style="73" bestFit="1" customWidth="1"/>
    <col min="28" max="28" width="8.44140625" style="73" bestFit="1" customWidth="1"/>
    <col min="29" max="29" width="8.6640625" style="77" bestFit="1" customWidth="1"/>
    <col min="30" max="16384" width="11.44140625" style="81"/>
  </cols>
  <sheetData>
    <row r="1" spans="1:35" s="35" customFormat="1" ht="30" customHeight="1" thickBot="1" x14ac:dyDescent="0.35">
      <c r="A1" s="35" t="s">
        <v>665</v>
      </c>
      <c r="B1" s="36" t="s">
        <v>22</v>
      </c>
      <c r="C1" s="37" t="s">
        <v>23</v>
      </c>
      <c r="D1" s="38" t="s">
        <v>89</v>
      </c>
      <c r="E1" s="40"/>
      <c r="F1" s="41" t="s">
        <v>85</v>
      </c>
      <c r="G1" s="41" t="s">
        <v>84</v>
      </c>
      <c r="H1" s="42" t="s">
        <v>21</v>
      </c>
      <c r="I1" s="38" t="s">
        <v>90</v>
      </c>
      <c r="J1" s="40"/>
      <c r="K1" s="41" t="s">
        <v>85</v>
      </c>
      <c r="L1" s="41" t="s">
        <v>84</v>
      </c>
      <c r="M1" s="42" t="s">
        <v>21</v>
      </c>
      <c r="N1" s="38" t="s">
        <v>88</v>
      </c>
      <c r="O1" s="39"/>
      <c r="P1" s="39"/>
      <c r="Q1" s="43"/>
      <c r="R1" s="39"/>
      <c r="S1" s="43"/>
      <c r="T1" s="40"/>
      <c r="U1" s="41" t="s">
        <v>85</v>
      </c>
      <c r="V1" s="41" t="s">
        <v>84</v>
      </c>
      <c r="W1" s="42" t="s">
        <v>21</v>
      </c>
      <c r="X1" s="33"/>
      <c r="Y1" s="44" t="s">
        <v>28</v>
      </c>
      <c r="Z1" s="41" t="s">
        <v>85</v>
      </c>
      <c r="AA1" s="41" t="s">
        <v>84</v>
      </c>
      <c r="AB1" s="41" t="s">
        <v>21</v>
      </c>
      <c r="AC1" s="45" t="s">
        <v>87</v>
      </c>
    </row>
    <row r="2" spans="1:35" s="54" customFormat="1" outlineLevel="1" x14ac:dyDescent="0.3">
      <c r="A2" s="54" t="s">
        <v>663</v>
      </c>
      <c r="B2" s="48" t="str">
        <f t="shared" ref="B2:B65" si="0">YEAR(C2)&amp;"-"&amp;MONTH(C2)</f>
        <v>2018-1</v>
      </c>
      <c r="C2" s="1">
        <v>43101</v>
      </c>
      <c r="D2" s="8" t="s">
        <v>106</v>
      </c>
      <c r="E2" s="4">
        <v>-0.27800000000000002</v>
      </c>
      <c r="F2" s="5">
        <f>+E2</f>
        <v>-0.27800000000000002</v>
      </c>
      <c r="G2" s="5">
        <f>+E2</f>
        <v>-0.27800000000000002</v>
      </c>
      <c r="H2" s="3">
        <f>(1+G2)/(1+MAX(G$2:G2))-1</f>
        <v>0</v>
      </c>
      <c r="I2" s="8" t="s">
        <v>121</v>
      </c>
      <c r="J2" s="4">
        <v>0.4778</v>
      </c>
      <c r="K2" s="5">
        <f>+J2</f>
        <v>0.4778</v>
      </c>
      <c r="L2" s="5">
        <f>+J2</f>
        <v>0.4778</v>
      </c>
      <c r="M2" s="3">
        <f>(1+L2)/(1+MAX(L$2:L2))-1</f>
        <v>0</v>
      </c>
      <c r="N2" s="8" t="s">
        <v>101</v>
      </c>
      <c r="O2" s="6">
        <v>-0.27839999999999998</v>
      </c>
      <c r="P2" s="50" t="s">
        <v>106</v>
      </c>
      <c r="Q2" s="6">
        <v>-0.27800000000000002</v>
      </c>
      <c r="R2" s="50" t="s">
        <v>116</v>
      </c>
      <c r="S2" s="6">
        <v>-0.29620000000000002</v>
      </c>
      <c r="T2" s="4">
        <f>AVERAGE(O2,Q2,S2)</f>
        <v>-0.28420000000000001</v>
      </c>
      <c r="U2" s="5">
        <f>+T2</f>
        <v>-0.28420000000000001</v>
      </c>
      <c r="V2" s="5">
        <f>+T2</f>
        <v>-0.28420000000000001</v>
      </c>
      <c r="W2" s="3">
        <f>(1+V2)/(1+MAX(V$2:V2))-1</f>
        <v>0</v>
      </c>
      <c r="X2" s="9"/>
      <c r="Y2" s="10">
        <f>E2*0.3+J2*0.3+AVERAGE(O2,Q2,S2)*0.4</f>
        <v>-5.374000000000001E-2</v>
      </c>
      <c r="Z2" s="5">
        <f>+Y2</f>
        <v>-5.374000000000001E-2</v>
      </c>
      <c r="AA2" s="5">
        <f>+Y2</f>
        <v>-5.374000000000001E-2</v>
      </c>
      <c r="AB2" s="5">
        <f>(1+AA2)/(1+MAX(AA$2:AA2))-1</f>
        <v>0</v>
      </c>
      <c r="AC2" s="51">
        <f>1000*(1+Y2)</f>
        <v>946.26</v>
      </c>
    </row>
    <row r="3" spans="1:35" s="61" customFormat="1" outlineLevel="1" x14ac:dyDescent="0.3">
      <c r="A3" s="61" t="s">
        <v>663</v>
      </c>
      <c r="B3" s="55" t="str">
        <f t="shared" si="0"/>
        <v>2018-2</v>
      </c>
      <c r="C3" s="11">
        <v>43132</v>
      </c>
      <c r="D3" s="18" t="s">
        <v>106</v>
      </c>
      <c r="E3" s="14">
        <v>1.7299999999999999E-2</v>
      </c>
      <c r="F3" s="15">
        <f t="shared" ref="F3:F13" si="1">+(1+E3)*(1+F2)-1</f>
        <v>-0.26550940000000001</v>
      </c>
      <c r="G3" s="15">
        <f t="shared" ref="G3:G66" si="2">+(1+E3)*(1+G2)-1</f>
        <v>-0.26550940000000001</v>
      </c>
      <c r="H3" s="13">
        <f>(1+G3)/(1+MAX(G$2:G3))-1</f>
        <v>0</v>
      </c>
      <c r="I3" s="18" t="s">
        <v>121</v>
      </c>
      <c r="J3" s="14">
        <v>-0.23530000000000001</v>
      </c>
      <c r="K3" s="15">
        <f t="shared" ref="K3:K13" si="3">+(1+J3)*(1+K2)-1</f>
        <v>0.13007365999999987</v>
      </c>
      <c r="L3" s="15">
        <f t="shared" ref="L3:L66" si="4">+(1+J3)*(1+L2)-1</f>
        <v>0.13007365999999987</v>
      </c>
      <c r="M3" s="13">
        <f>(1+L3)/(1+MAX(L$2:L3))-1</f>
        <v>-0.23530000000000006</v>
      </c>
      <c r="N3" s="18" t="s">
        <v>101</v>
      </c>
      <c r="O3" s="16">
        <v>-0.39810000000000001</v>
      </c>
      <c r="P3" s="57" t="s">
        <v>106</v>
      </c>
      <c r="Q3" s="16">
        <v>1.7299999999999999E-2</v>
      </c>
      <c r="R3" s="57" t="s">
        <v>116</v>
      </c>
      <c r="S3" s="16">
        <v>0.24210000000000001</v>
      </c>
      <c r="T3" s="14">
        <v>-1.667208133386533E-2</v>
      </c>
      <c r="U3" s="15">
        <f t="shared" ref="U3:U13" si="5">+(1+T3)*(1+U2)-1</f>
        <v>-0.29613387581878081</v>
      </c>
      <c r="V3" s="15">
        <f t="shared" ref="V3:V66" si="6">+(1+T3)*(1+V2)-1</f>
        <v>-0.29613387581878081</v>
      </c>
      <c r="W3" s="13">
        <f>(1+V3)/(1+MAX(V$2:V3))-1</f>
        <v>-1.667208133386533E-2</v>
      </c>
      <c r="X3" s="19"/>
      <c r="Y3" s="20">
        <f t="shared" ref="Y3:Y66" si="7">E3*0.3+J3*0.3+AVERAGE(O3,Q3,S3)*0.4</f>
        <v>-8.3893333333333334E-2</v>
      </c>
      <c r="Z3" s="15">
        <f t="shared" ref="Z3:Z13" si="8">+(1+Y3)*(1+Z2)-1</f>
        <v>-0.13312490560000001</v>
      </c>
      <c r="AA3" s="15">
        <f t="shared" ref="AA3:AA66" si="9">+(1+Y3)*(1+AA2)-1</f>
        <v>-0.13312490560000001</v>
      </c>
      <c r="AB3" s="15">
        <f>(1+AA3)/(1+MAX(AA$2:AA3))-1</f>
        <v>-8.3893333333333375E-2</v>
      </c>
      <c r="AC3" s="58">
        <f t="shared" ref="AC3:AC66" si="10">AC2*(1+Y3)</f>
        <v>866.87509439999997</v>
      </c>
    </row>
    <row r="4" spans="1:35" s="61" customFormat="1" outlineLevel="1" x14ac:dyDescent="0.3">
      <c r="A4" s="61" t="s">
        <v>663</v>
      </c>
      <c r="B4" s="55" t="str">
        <f t="shared" si="0"/>
        <v>2018-3</v>
      </c>
      <c r="C4" s="11">
        <v>43160</v>
      </c>
      <c r="D4" s="18" t="s">
        <v>106</v>
      </c>
      <c r="E4" s="14">
        <v>-0.32929999999999998</v>
      </c>
      <c r="F4" s="15">
        <f t="shared" si="1"/>
        <v>-0.50737715457999988</v>
      </c>
      <c r="G4" s="15">
        <f t="shared" si="2"/>
        <v>-0.50737715457999988</v>
      </c>
      <c r="H4" s="13">
        <f>(1+G4)/(1+MAX(G$2:G4))-1</f>
        <v>-0.32929999999999982</v>
      </c>
      <c r="I4" s="18" t="s">
        <v>121</v>
      </c>
      <c r="J4" s="14">
        <v>-0.53639999999999999</v>
      </c>
      <c r="K4" s="15">
        <f t="shared" si="3"/>
        <v>-0.47609785122400006</v>
      </c>
      <c r="L4" s="15">
        <f t="shared" si="4"/>
        <v>-0.47609785122400006</v>
      </c>
      <c r="M4" s="13">
        <f>(1+L4)/(1+MAX(L$2:L4))-1</f>
        <v>-0.64548508000000004</v>
      </c>
      <c r="N4" s="18" t="s">
        <v>101</v>
      </c>
      <c r="O4" s="16">
        <v>-0.50119999999999998</v>
      </c>
      <c r="P4" s="57" t="s">
        <v>114</v>
      </c>
      <c r="Q4" s="16">
        <v>-0.21629999999999999</v>
      </c>
      <c r="R4" s="57" t="s">
        <v>132</v>
      </c>
      <c r="S4" s="16">
        <v>-0.38069999999999998</v>
      </c>
      <c r="T4" s="14">
        <v>-3.944550580263384E-2</v>
      </c>
      <c r="U4" s="15">
        <f t="shared" si="5"/>
        <v>-0.32389823110444849</v>
      </c>
      <c r="V4" s="15">
        <f t="shared" si="6"/>
        <v>-0.32389823110444849</v>
      </c>
      <c r="W4" s="13">
        <f>(1+V4)/(1+MAX(V$2:V4))-1</f>
        <v>-5.5459948455502173E-2</v>
      </c>
      <c r="X4" s="19"/>
      <c r="Y4" s="20">
        <f t="shared" si="7"/>
        <v>-0.4061366666666667</v>
      </c>
      <c r="Z4" s="15">
        <f t="shared" si="8"/>
        <v>-0.48519466685596802</v>
      </c>
      <c r="AA4" s="15">
        <f t="shared" si="9"/>
        <v>-0.48519466685596802</v>
      </c>
      <c r="AB4" s="15">
        <f>(1+AA4)/(1+MAX(AA$2:AA4))-1</f>
        <v>-0.4559578412444445</v>
      </c>
      <c r="AC4" s="58">
        <f t="shared" si="10"/>
        <v>514.80533314403192</v>
      </c>
    </row>
    <row r="5" spans="1:35" s="61" customFormat="1" outlineLevel="1" x14ac:dyDescent="0.3">
      <c r="A5" s="61" t="s">
        <v>663</v>
      </c>
      <c r="B5" s="55" t="str">
        <f t="shared" si="0"/>
        <v>2018-4</v>
      </c>
      <c r="C5" s="11">
        <v>43191</v>
      </c>
      <c r="D5" s="18" t="s">
        <v>106</v>
      </c>
      <c r="E5" s="14">
        <v>0.3251</v>
      </c>
      <c r="F5" s="15">
        <f t="shared" si="1"/>
        <v>-0.34722546753395789</v>
      </c>
      <c r="G5" s="15">
        <f t="shared" si="2"/>
        <v>-0.34722546753395789</v>
      </c>
      <c r="H5" s="13">
        <f>(1+G5)/(1+MAX(G$2:G5))-1</f>
        <v>-0.11125542999999982</v>
      </c>
      <c r="I5" s="18" t="s">
        <v>121</v>
      </c>
      <c r="J5" s="14">
        <v>0.68979999999999997</v>
      </c>
      <c r="K5" s="15">
        <f t="shared" si="3"/>
        <v>-0.11471014899831533</v>
      </c>
      <c r="L5" s="15">
        <f t="shared" si="4"/>
        <v>-0.11471014899831533</v>
      </c>
      <c r="M5" s="13">
        <f>(1+L5)/(1+MAX(L$2:L5))-1</f>
        <v>-0.40094068818400008</v>
      </c>
      <c r="N5" s="18" t="s">
        <v>101</v>
      </c>
      <c r="O5" s="16">
        <v>1.2019</v>
      </c>
      <c r="P5" s="57" t="s">
        <v>114</v>
      </c>
      <c r="Q5" s="16">
        <v>1.7604</v>
      </c>
      <c r="R5" s="57" t="s">
        <v>132</v>
      </c>
      <c r="S5" s="16">
        <v>1.0537000000000001</v>
      </c>
      <c r="T5" s="14">
        <v>-1.8707300031537981E-3</v>
      </c>
      <c r="U5" s="15">
        <f t="shared" si="5"/>
        <v>-0.3251630349687068</v>
      </c>
      <c r="V5" s="15">
        <f t="shared" si="6"/>
        <v>-0.3251630349687068</v>
      </c>
      <c r="W5" s="13">
        <f>(1+V5)/(1+MAX(V$2:V5))-1</f>
        <v>-5.7226927869106992E-2</v>
      </c>
      <c r="X5" s="19"/>
      <c r="Y5" s="20">
        <f t="shared" si="7"/>
        <v>0.83993666666666655</v>
      </c>
      <c r="Z5" s="15">
        <f t="shared" si="8"/>
        <v>-5.2790791352747002E-2</v>
      </c>
      <c r="AA5" s="15">
        <f t="shared" si="9"/>
        <v>-5.2790791352747002E-2</v>
      </c>
      <c r="AB5" s="15">
        <f>(1+AA5)/(1+MAX(AA$2:AA5))-1</f>
        <v>0</v>
      </c>
      <c r="AC5" s="58">
        <f t="shared" si="10"/>
        <v>947.20920864725292</v>
      </c>
    </row>
    <row r="6" spans="1:35" s="61" customFormat="1" outlineLevel="1" x14ac:dyDescent="0.3">
      <c r="A6" s="61" t="s">
        <v>663</v>
      </c>
      <c r="B6" s="55" t="str">
        <f t="shared" si="0"/>
        <v>2018-5</v>
      </c>
      <c r="C6" s="11">
        <v>43221</v>
      </c>
      <c r="D6" s="18" t="s">
        <v>106</v>
      </c>
      <c r="E6" s="14">
        <v>-0.189</v>
      </c>
      <c r="F6" s="15">
        <f t="shared" si="1"/>
        <v>-0.47059985417003991</v>
      </c>
      <c r="G6" s="15">
        <f t="shared" si="2"/>
        <v>-0.47059985417003991</v>
      </c>
      <c r="H6" s="13">
        <f>(1+G6)/(1+MAX(G$2:G6))-1</f>
        <v>-0.27922815372999998</v>
      </c>
      <c r="I6" s="18" t="s">
        <v>121</v>
      </c>
      <c r="J6" s="14">
        <v>-0.13769999999999999</v>
      </c>
      <c r="K6" s="15">
        <f t="shared" si="3"/>
        <v>-0.23661456148124727</v>
      </c>
      <c r="L6" s="15">
        <f t="shared" si="4"/>
        <v>-0.23661456148124727</v>
      </c>
      <c r="M6" s="13">
        <f>(1+L6)/(1+MAX(L$2:L6))-1</f>
        <v>-0.4834311554210633</v>
      </c>
      <c r="N6" s="18" t="s">
        <v>101</v>
      </c>
      <c r="O6" s="16">
        <v>-0.34399999999999997</v>
      </c>
      <c r="P6" s="57" t="s">
        <v>114</v>
      </c>
      <c r="Q6" s="16">
        <v>-0.35439999999999999</v>
      </c>
      <c r="R6" s="57" t="s">
        <v>132</v>
      </c>
      <c r="S6" s="16">
        <v>-0.3014</v>
      </c>
      <c r="T6" s="14">
        <v>2.8995928469306039E-2</v>
      </c>
      <c r="U6" s="15">
        <f t="shared" si="5"/>
        <v>-0.3055955106022159</v>
      </c>
      <c r="V6" s="15">
        <f t="shared" si="6"/>
        <v>-0.3055955106022159</v>
      </c>
      <c r="W6" s="13">
        <f>(1+V6)/(1+MAX(V$2:V6))-1</f>
        <v>-2.9890347306811837E-2</v>
      </c>
      <c r="X6" s="19"/>
      <c r="Y6" s="20">
        <f t="shared" si="7"/>
        <v>-0.23131666666666664</v>
      </c>
      <c r="Z6" s="15">
        <f t="shared" si="8"/>
        <v>-0.27189606813300071</v>
      </c>
      <c r="AA6" s="15">
        <f t="shared" si="9"/>
        <v>-0.27189606813300071</v>
      </c>
      <c r="AB6" s="15">
        <f>(1+AA6)/(1+MAX(AA$2:AA6))-1</f>
        <v>-0.23131666666666661</v>
      </c>
      <c r="AC6" s="58">
        <f t="shared" si="10"/>
        <v>728.10393186699923</v>
      </c>
      <c r="AF6" s="62"/>
      <c r="AG6" s="62"/>
      <c r="AH6" s="62"/>
      <c r="AI6" s="62"/>
    </row>
    <row r="7" spans="1:35" s="61" customFormat="1" outlineLevel="1" x14ac:dyDescent="0.3">
      <c r="A7" s="61" t="s">
        <v>663</v>
      </c>
      <c r="B7" s="55" t="str">
        <f t="shared" si="0"/>
        <v>2018-6</v>
      </c>
      <c r="C7" s="11">
        <v>43252</v>
      </c>
      <c r="D7" s="18" t="s">
        <v>106</v>
      </c>
      <c r="E7" s="14">
        <v>-0.14549999999999999</v>
      </c>
      <c r="F7" s="15">
        <f t="shared" si="1"/>
        <v>-0.54762757538829909</v>
      </c>
      <c r="G7" s="15">
        <f t="shared" si="2"/>
        <v>-0.54762757538829909</v>
      </c>
      <c r="H7" s="13">
        <f>(1+G7)/(1+MAX(G$2:G7))-1</f>
        <v>-0.38410045736228493</v>
      </c>
      <c r="I7" s="18" t="s">
        <v>121</v>
      </c>
      <c r="J7" s="14">
        <v>-0.21199999999999999</v>
      </c>
      <c r="K7" s="15">
        <f t="shared" si="3"/>
        <v>-0.39845227444722287</v>
      </c>
      <c r="L7" s="15">
        <f t="shared" si="4"/>
        <v>-0.39845227444722287</v>
      </c>
      <c r="M7" s="13">
        <f>(1+L7)/(1+MAX(L$2:L7))-1</f>
        <v>-0.59294375047179781</v>
      </c>
      <c r="N7" s="18" t="s">
        <v>102</v>
      </c>
      <c r="O7" s="16">
        <v>3.2899999999999999E-2</v>
      </c>
      <c r="P7" s="57" t="s">
        <v>114</v>
      </c>
      <c r="Q7" s="16">
        <v>-0.36530000000000001</v>
      </c>
      <c r="R7" s="57" t="s">
        <v>132</v>
      </c>
      <c r="S7" s="16">
        <v>-0.34799999999999998</v>
      </c>
      <c r="T7" s="14">
        <v>-1.0050435194620179E-2</v>
      </c>
      <c r="U7" s="15">
        <f t="shared" si="5"/>
        <v>-0.31257457792176169</v>
      </c>
      <c r="V7" s="15">
        <f t="shared" si="6"/>
        <v>-0.31257457792176169</v>
      </c>
      <c r="W7" s="13">
        <f>(1+V7)/(1+MAX(V$2:V7))-1</f>
        <v>-3.9640371502880245E-2</v>
      </c>
      <c r="X7" s="19"/>
      <c r="Y7" s="20">
        <f t="shared" si="7"/>
        <v>-0.19796999999999998</v>
      </c>
      <c r="Z7" s="15">
        <f t="shared" si="8"/>
        <v>-0.41603880352471057</v>
      </c>
      <c r="AA7" s="15">
        <f t="shared" si="9"/>
        <v>-0.41603880352471057</v>
      </c>
      <c r="AB7" s="15">
        <f>(1+AA7)/(1+MAX(AA$2:AA7))-1</f>
        <v>-0.38349290616666665</v>
      </c>
      <c r="AC7" s="58">
        <f t="shared" si="10"/>
        <v>583.9611964752894</v>
      </c>
      <c r="AF7" s="62"/>
      <c r="AG7" s="62"/>
      <c r="AH7" s="62"/>
      <c r="AI7" s="62"/>
    </row>
    <row r="8" spans="1:35" s="61" customFormat="1" outlineLevel="1" x14ac:dyDescent="0.3">
      <c r="A8" s="61" t="s">
        <v>663</v>
      </c>
      <c r="B8" s="55" t="str">
        <f t="shared" si="0"/>
        <v>2018-7</v>
      </c>
      <c r="C8" s="11">
        <v>43282</v>
      </c>
      <c r="D8" s="18" t="s">
        <v>106</v>
      </c>
      <c r="E8" s="14">
        <v>0.21490000000000001</v>
      </c>
      <c r="F8" s="15">
        <f t="shared" si="1"/>
        <v>-0.45041274133924447</v>
      </c>
      <c r="G8" s="15">
        <f t="shared" si="2"/>
        <v>-0.45041274133924447</v>
      </c>
      <c r="H8" s="13">
        <f>(1+G8)/(1+MAX(G$2:G8))-1</f>
        <v>-0.25174364564943985</v>
      </c>
      <c r="I8" s="18" t="s">
        <v>121</v>
      </c>
      <c r="J8" s="14">
        <v>-4.6800000000000001E-2</v>
      </c>
      <c r="K8" s="15">
        <f t="shared" si="3"/>
        <v>-0.4266047080030928</v>
      </c>
      <c r="L8" s="15">
        <f t="shared" si="4"/>
        <v>-0.4266047080030928</v>
      </c>
      <c r="M8" s="13">
        <f>(1+L8)/(1+MAX(L$2:L8))-1</f>
        <v>-0.61199398294971763</v>
      </c>
      <c r="N8" s="18" t="s">
        <v>102</v>
      </c>
      <c r="O8" s="16">
        <v>-6.0199999999999997E-2</v>
      </c>
      <c r="P8" s="57" t="s">
        <v>114</v>
      </c>
      <c r="Q8" s="16">
        <v>-0.11700000000000001</v>
      </c>
      <c r="R8" s="57" t="s">
        <v>132</v>
      </c>
      <c r="S8" s="16">
        <v>0.43730000000000002</v>
      </c>
      <c r="T8" s="14">
        <v>1.9447984123294289E-2</v>
      </c>
      <c r="U8" s="15">
        <f t="shared" si="5"/>
        <v>-0.29920553922723536</v>
      </c>
      <c r="V8" s="15">
        <f t="shared" si="6"/>
        <v>-0.29920553922723536</v>
      </c>
      <c r="W8" s="13">
        <f>(1+V8)/(1+MAX(V$2:V8))-1</f>
        <v>-2.0963312695215675E-2</v>
      </c>
      <c r="X8" s="19"/>
      <c r="Y8" s="20">
        <f t="shared" si="7"/>
        <v>8.5110000000000005E-2</v>
      </c>
      <c r="Z8" s="15">
        <f t="shared" si="8"/>
        <v>-0.36633786609269869</v>
      </c>
      <c r="AA8" s="15">
        <f t="shared" si="9"/>
        <v>-0.36633786609269869</v>
      </c>
      <c r="AB8" s="15">
        <f>(1+AA8)/(1+MAX(AA$2:AA8))-1</f>
        <v>-0.3310219874105117</v>
      </c>
      <c r="AC8" s="58">
        <f t="shared" si="10"/>
        <v>633.66213390730127</v>
      </c>
      <c r="AF8" s="62"/>
      <c r="AG8" s="62"/>
      <c r="AH8" s="62"/>
      <c r="AI8" s="62"/>
    </row>
    <row r="9" spans="1:35" s="61" customFormat="1" outlineLevel="1" x14ac:dyDescent="0.3">
      <c r="A9" s="61" t="s">
        <v>663</v>
      </c>
      <c r="B9" s="55" t="str">
        <f t="shared" si="0"/>
        <v>2018-8</v>
      </c>
      <c r="C9" s="11">
        <v>43313</v>
      </c>
      <c r="D9" s="18" t="s">
        <v>106</v>
      </c>
      <c r="E9" s="14">
        <v>-9.5500000000000002E-2</v>
      </c>
      <c r="F9" s="15">
        <f t="shared" si="1"/>
        <v>-0.50289832454134664</v>
      </c>
      <c r="G9" s="15">
        <f t="shared" si="2"/>
        <v>-0.50289832454134664</v>
      </c>
      <c r="H9" s="13">
        <f>(1+G9)/(1+MAX(G$2:G9))-1</f>
        <v>-0.32320212748991839</v>
      </c>
      <c r="I9" s="18" t="s">
        <v>121</v>
      </c>
      <c r="J9" s="14">
        <v>-0.34770000000000001</v>
      </c>
      <c r="K9" s="15">
        <f t="shared" si="3"/>
        <v>-0.62597425103041737</v>
      </c>
      <c r="L9" s="15">
        <f t="shared" si="4"/>
        <v>-0.62597425103041737</v>
      </c>
      <c r="M9" s="13">
        <f>(1+L9)/(1+MAX(L$2:L9))-1</f>
        <v>-0.74690367507810085</v>
      </c>
      <c r="N9" s="18" t="s">
        <v>102</v>
      </c>
      <c r="O9" s="16">
        <v>-0.20050000000000001</v>
      </c>
      <c r="P9" s="57" t="s">
        <v>114</v>
      </c>
      <c r="Q9" s="16">
        <v>-0.25290000000000001</v>
      </c>
      <c r="R9" s="57" t="s">
        <v>132</v>
      </c>
      <c r="S9" s="16">
        <v>-0.20119999999999999</v>
      </c>
      <c r="T9" s="14">
        <v>5.8518539267568337E-2</v>
      </c>
      <c r="U9" s="15">
        <f t="shared" si="5"/>
        <v>-0.25819607105601006</v>
      </c>
      <c r="V9" s="15">
        <f t="shared" si="6"/>
        <v>-0.25819607105601006</v>
      </c>
      <c r="W9" s="13">
        <f>(1+V9)/(1+MAX(V$2:V9))-1</f>
        <v>0</v>
      </c>
      <c r="X9" s="19"/>
      <c r="Y9" s="20">
        <f t="shared" si="7"/>
        <v>-0.22024000000000002</v>
      </c>
      <c r="Z9" s="15">
        <f t="shared" si="8"/>
        <v>-0.50589561446444276</v>
      </c>
      <c r="AA9" s="15">
        <f t="shared" si="9"/>
        <v>-0.50589561446444276</v>
      </c>
      <c r="AB9" s="15">
        <f>(1+AA9)/(1+MAX(AA$2:AA9))-1</f>
        <v>-0.4783577049032206</v>
      </c>
      <c r="AC9" s="58">
        <f t="shared" si="10"/>
        <v>494.10438553555724</v>
      </c>
      <c r="AF9" s="62"/>
      <c r="AG9" s="62"/>
      <c r="AH9" s="62"/>
      <c r="AI9" s="62"/>
    </row>
    <row r="10" spans="1:35" s="61" customFormat="1" outlineLevel="1" x14ac:dyDescent="0.3">
      <c r="A10" s="61" t="s">
        <v>663</v>
      </c>
      <c r="B10" s="55" t="str">
        <f t="shared" si="0"/>
        <v>2018-9</v>
      </c>
      <c r="C10" s="11">
        <v>43344</v>
      </c>
      <c r="D10" s="18" t="s">
        <v>106</v>
      </c>
      <c r="E10" s="14">
        <v>-5.8500000000000003E-2</v>
      </c>
      <c r="F10" s="15">
        <f t="shared" si="1"/>
        <v>-0.53197877255567794</v>
      </c>
      <c r="G10" s="15">
        <f t="shared" si="2"/>
        <v>-0.53197877255567794</v>
      </c>
      <c r="H10" s="13">
        <f>(1+G10)/(1+MAX(G$2:G10))-1</f>
        <v>-0.36279480303175826</v>
      </c>
      <c r="I10" s="18" t="s">
        <v>121</v>
      </c>
      <c r="J10" s="14">
        <v>-0.1772</v>
      </c>
      <c r="K10" s="15">
        <f t="shared" si="3"/>
        <v>-0.6922516137478274</v>
      </c>
      <c r="L10" s="15">
        <f t="shared" si="4"/>
        <v>-0.6922516137478274</v>
      </c>
      <c r="M10" s="13">
        <f>(1+L10)/(1+MAX(L$2:L10))-1</f>
        <v>-0.7917523438542613</v>
      </c>
      <c r="N10" s="18" t="s">
        <v>102</v>
      </c>
      <c r="O10" s="16">
        <v>-9.0399999999999994E-2</v>
      </c>
      <c r="P10" s="57" t="s">
        <v>114</v>
      </c>
      <c r="Q10" s="16">
        <v>-0.1255</v>
      </c>
      <c r="R10" s="57" t="s">
        <v>132</v>
      </c>
      <c r="S10" s="16">
        <v>0.16900000000000001</v>
      </c>
      <c r="T10" s="14">
        <v>2.5558530283489871E-3</v>
      </c>
      <c r="U10" s="15">
        <f t="shared" si="5"/>
        <v>-0.25630012923777745</v>
      </c>
      <c r="V10" s="15">
        <f t="shared" si="6"/>
        <v>-0.25630012923777745</v>
      </c>
      <c r="W10" s="13">
        <f>(1+V10)/(1+MAX(V$2:V10))-1</f>
        <v>0</v>
      </c>
      <c r="X10" s="19"/>
      <c r="Y10" s="20">
        <f t="shared" si="7"/>
        <v>-7.6963333333333328E-2</v>
      </c>
      <c r="Z10" s="15">
        <f t="shared" si="8"/>
        <v>-0.54392353498987767</v>
      </c>
      <c r="AA10" s="15">
        <f t="shared" si="9"/>
        <v>-0.54392353498987767</v>
      </c>
      <c r="AB10" s="15">
        <f>(1+AA10)/(1+MAX(AA$2:AA10))-1</f>
        <v>-0.51850503474151899</v>
      </c>
      <c r="AC10" s="58">
        <f t="shared" si="10"/>
        <v>456.07646501012232</v>
      </c>
      <c r="AF10" s="62"/>
    </row>
    <row r="11" spans="1:35" s="61" customFormat="1" outlineLevel="1" x14ac:dyDescent="0.3">
      <c r="A11" s="61" t="s">
        <v>663</v>
      </c>
      <c r="B11" s="55" t="str">
        <f t="shared" si="0"/>
        <v>2018-10</v>
      </c>
      <c r="C11" s="11">
        <v>43374</v>
      </c>
      <c r="D11" s="18" t="s">
        <v>106</v>
      </c>
      <c r="E11" s="14">
        <v>-4.65E-2</v>
      </c>
      <c r="F11" s="15">
        <f t="shared" si="1"/>
        <v>-0.55374175963183891</v>
      </c>
      <c r="G11" s="15">
        <f t="shared" si="2"/>
        <v>-0.55374175963183891</v>
      </c>
      <c r="H11" s="13">
        <f>(1+G11)/(1+MAX(G$2:G11))-1</f>
        <v>-0.39242484469078154</v>
      </c>
      <c r="I11" s="18" t="s">
        <v>121</v>
      </c>
      <c r="J11" s="14">
        <v>-0.15229999999999999</v>
      </c>
      <c r="K11" s="15">
        <f t="shared" si="3"/>
        <v>-0.7391216929740333</v>
      </c>
      <c r="L11" s="15">
        <f t="shared" si="4"/>
        <v>-0.7391216929740333</v>
      </c>
      <c r="M11" s="13">
        <f>(1+L11)/(1+MAX(L$2:L11))-1</f>
        <v>-0.82346846188525735</v>
      </c>
      <c r="N11" s="18" t="s">
        <v>102</v>
      </c>
      <c r="O11" s="16">
        <v>-6.5199999999999994E-2</v>
      </c>
      <c r="P11" s="57" t="s">
        <v>122</v>
      </c>
      <c r="Q11" s="16">
        <v>-1.2200000000000001E-2</v>
      </c>
      <c r="R11" s="57" t="s">
        <v>133</v>
      </c>
      <c r="S11" s="16">
        <v>-0.19600000000000001</v>
      </c>
      <c r="T11" s="14">
        <v>-9.0527227693296741E-2</v>
      </c>
      <c r="U11" s="15">
        <f t="shared" si="5"/>
        <v>-0.32362521677374445</v>
      </c>
      <c r="V11" s="15">
        <f t="shared" si="6"/>
        <v>-0.32362521677374445</v>
      </c>
      <c r="W11" s="13">
        <f>(1+V11)/(1+MAX(V$2:V11))-1</f>
        <v>-9.0527227693296686E-2</v>
      </c>
      <c r="X11" s="21"/>
      <c r="Y11" s="20">
        <f t="shared" si="7"/>
        <v>-9.6093333333333322E-2</v>
      </c>
      <c r="Z11" s="15">
        <f t="shared" si="8"/>
        <v>-0.58774944276758379</v>
      </c>
      <c r="AA11" s="15">
        <f t="shared" si="9"/>
        <v>-0.58774944276758379</v>
      </c>
      <c r="AB11" s="15">
        <f>(1+AA11)/(1+MAX(AA$2:AA11))-1</f>
        <v>-0.56477349093642415</v>
      </c>
      <c r="AC11" s="58">
        <f t="shared" si="10"/>
        <v>412.25055723241627</v>
      </c>
    </row>
    <row r="12" spans="1:35" s="61" customFormat="1" outlineLevel="1" x14ac:dyDescent="0.3">
      <c r="A12" s="61" t="s">
        <v>663</v>
      </c>
      <c r="B12" s="55" t="str">
        <f t="shared" si="0"/>
        <v>2018-11</v>
      </c>
      <c r="C12" s="11">
        <v>43405</v>
      </c>
      <c r="D12" s="18" t="s">
        <v>106</v>
      </c>
      <c r="E12" s="14">
        <v>-0.36409999999999998</v>
      </c>
      <c r="F12" s="15">
        <f t="shared" si="1"/>
        <v>-0.71622438494988638</v>
      </c>
      <c r="G12" s="15">
        <f t="shared" si="2"/>
        <v>-0.71622438494988638</v>
      </c>
      <c r="H12" s="13">
        <f>(1+G12)/(1+MAX(G$2:G12))-1</f>
        <v>-0.61364295873886798</v>
      </c>
      <c r="I12" s="18" t="s">
        <v>121</v>
      </c>
      <c r="J12" s="14">
        <v>-0.42659999999999998</v>
      </c>
      <c r="K12" s="15">
        <f t="shared" si="3"/>
        <v>-0.8504123787513107</v>
      </c>
      <c r="L12" s="15">
        <f t="shared" si="4"/>
        <v>-0.8504123787513107</v>
      </c>
      <c r="M12" s="13">
        <f>(1+L12)/(1+MAX(L$2:L12))-1</f>
        <v>-0.89877681604500659</v>
      </c>
      <c r="N12" s="18" t="s">
        <v>103</v>
      </c>
      <c r="O12" s="16">
        <v>0</v>
      </c>
      <c r="P12" s="57" t="s">
        <v>111</v>
      </c>
      <c r="Q12" s="16">
        <v>-0.42480000000000001</v>
      </c>
      <c r="R12" s="57" t="s">
        <v>122</v>
      </c>
      <c r="S12" s="16">
        <v>3.7000000000000002E-3</v>
      </c>
      <c r="T12" s="14">
        <v>2.5714127881946158E-3</v>
      </c>
      <c r="U12" s="15">
        <f t="shared" si="5"/>
        <v>-0.32188597800654406</v>
      </c>
      <c r="V12" s="15">
        <f t="shared" si="6"/>
        <v>-0.32188597800654406</v>
      </c>
      <c r="W12" s="13">
        <f>(1+V12)/(1+MAX(V$2:V12))-1</f>
        <v>-8.8188597776072353E-2</v>
      </c>
      <c r="X12" s="21"/>
      <c r="Y12" s="20">
        <f t="shared" si="7"/>
        <v>-0.29335666666666665</v>
      </c>
      <c r="Z12" s="15">
        <f t="shared" si="8"/>
        <v>-0.70868589206876131</v>
      </c>
      <c r="AA12" s="15">
        <f t="shared" si="9"/>
        <v>-0.70868589206876131</v>
      </c>
      <c r="AB12" s="15">
        <f>(1+AA12)/(1+MAX(AA$2:AA12))-1</f>
        <v>-0.69245008888028448</v>
      </c>
      <c r="AC12" s="58">
        <f t="shared" si="10"/>
        <v>291.31410793123871</v>
      </c>
    </row>
    <row r="13" spans="1:35" s="27" customFormat="1" ht="15" thickBot="1" x14ac:dyDescent="0.35">
      <c r="A13" s="27" t="s">
        <v>663</v>
      </c>
      <c r="B13" s="63" t="str">
        <f t="shared" si="0"/>
        <v>2018-12</v>
      </c>
      <c r="C13" s="22">
        <v>43435</v>
      </c>
      <c r="D13" s="29" t="s">
        <v>106</v>
      </c>
      <c r="E13" s="24">
        <v>-6.83E-2</v>
      </c>
      <c r="F13" s="25">
        <f t="shared" si="1"/>
        <v>-0.73560625945780922</v>
      </c>
      <c r="G13" s="25">
        <f t="shared" si="2"/>
        <v>-0.73560625945780922</v>
      </c>
      <c r="H13" s="26">
        <f>(1+G13)/(1+MAX(G$2:G13))-1</f>
        <v>-0.64003114465700339</v>
      </c>
      <c r="I13" s="29" t="s">
        <v>121</v>
      </c>
      <c r="J13" s="24">
        <v>0.17849999999999999</v>
      </c>
      <c r="K13" s="25">
        <f t="shared" si="3"/>
        <v>-0.82371098835841972</v>
      </c>
      <c r="L13" s="25">
        <f t="shared" si="4"/>
        <v>-0.82371098835841972</v>
      </c>
      <c r="M13" s="26">
        <f>(1+L13)/(1+MAX(L$2:L13))-1</f>
        <v>-0.88070847770904026</v>
      </c>
      <c r="N13" s="29" t="s">
        <v>103</v>
      </c>
      <c r="O13" s="141">
        <v>0</v>
      </c>
      <c r="P13" s="142" t="s">
        <v>111</v>
      </c>
      <c r="Q13" s="141">
        <v>8.3599999999999994E-2</v>
      </c>
      <c r="R13" s="142" t="s">
        <v>104</v>
      </c>
      <c r="S13" s="141">
        <v>-0.1018</v>
      </c>
      <c r="T13" s="24">
        <v>-8.1663773652207283E-2</v>
      </c>
      <c r="U13" s="25">
        <f t="shared" si="5"/>
        <v>-0.37726332800900553</v>
      </c>
      <c r="V13" s="25">
        <f t="shared" si="6"/>
        <v>-0.37726332800900553</v>
      </c>
      <c r="W13" s="26">
        <f>(1+V13)/(1+MAX(V$2:V13))-1</f>
        <v>-0.16265055774078885</v>
      </c>
      <c r="X13" s="31"/>
      <c r="Y13" s="32">
        <f t="shared" si="7"/>
        <v>3.0633333333333325E-2</v>
      </c>
      <c r="Z13" s="25">
        <f t="shared" si="8"/>
        <v>-0.69976196989580108</v>
      </c>
      <c r="AA13" s="25">
        <f t="shared" si="9"/>
        <v>-0.69976196989580108</v>
      </c>
      <c r="AB13" s="25">
        <f>(1+AA13)/(1+MAX(AA$2:AA13))-1</f>
        <v>-0.68302880993631732</v>
      </c>
      <c r="AC13" s="66">
        <f t="shared" si="10"/>
        <v>300.23803010419897</v>
      </c>
    </row>
    <row r="14" spans="1:35" s="54" customFormat="1" outlineLevel="1" x14ac:dyDescent="0.3">
      <c r="A14" s="54" t="s">
        <v>663</v>
      </c>
      <c r="B14" s="48" t="str">
        <f t="shared" si="0"/>
        <v>2019-1</v>
      </c>
      <c r="C14" s="1">
        <v>43466</v>
      </c>
      <c r="D14" s="8" t="s">
        <v>106</v>
      </c>
      <c r="E14" s="4">
        <v>-7.6100000000000001E-2</v>
      </c>
      <c r="F14" s="5">
        <f>+E14</f>
        <v>-7.6100000000000001E-2</v>
      </c>
      <c r="G14" s="5">
        <f t="shared" si="2"/>
        <v>-0.75572662311306993</v>
      </c>
      <c r="H14" s="3">
        <f>(1+G14)/(1+MAX(G$2:G14))-1</f>
        <v>-0.66742477454860549</v>
      </c>
      <c r="I14" s="8" t="s">
        <v>121</v>
      </c>
      <c r="J14" s="4">
        <v>-0.1973</v>
      </c>
      <c r="K14" s="5">
        <f>+J14</f>
        <v>-0.1973</v>
      </c>
      <c r="L14" s="5">
        <f t="shared" si="4"/>
        <v>-0.85849281035530356</v>
      </c>
      <c r="M14" s="3">
        <f>(1+L14)/(1+MAX(L$2:L14))-1</f>
        <v>-0.90424469505704663</v>
      </c>
      <c r="N14" s="8" t="s">
        <v>103</v>
      </c>
      <c r="O14" s="6">
        <v>0</v>
      </c>
      <c r="P14" s="50" t="s">
        <v>104</v>
      </c>
      <c r="Q14" s="6">
        <v>0.33939999999999998</v>
      </c>
      <c r="R14" s="50" t="s">
        <v>123</v>
      </c>
      <c r="S14" s="6">
        <v>-4.0000000000000001E-3</v>
      </c>
      <c r="T14" s="4">
        <v>8.4027095039101662E-2</v>
      </c>
      <c r="U14" s="5">
        <f>+T14</f>
        <v>8.4027095039101662E-2</v>
      </c>
      <c r="V14" s="5">
        <f t="shared" si="6"/>
        <v>-0.3249365744872843</v>
      </c>
      <c r="W14" s="3">
        <f>(1+V14)/(1+MAX(V$2:V14))-1</f>
        <v>-9.2290516575135206E-2</v>
      </c>
      <c r="X14" s="9"/>
      <c r="Y14" s="10">
        <f t="shared" si="7"/>
        <v>-3.7299999999999993E-2</v>
      </c>
      <c r="Z14" s="5">
        <f>+Y14</f>
        <v>-3.7299999999999993E-2</v>
      </c>
      <c r="AA14" s="5">
        <f t="shared" si="9"/>
        <v>-0.71096084841868779</v>
      </c>
      <c r="AB14" s="5">
        <f>(1+AA14)/(1+MAX(AA$2:AA14))-1</f>
        <v>-0.69485183532569272</v>
      </c>
      <c r="AC14" s="51">
        <f t="shared" si="10"/>
        <v>289.03915158131235</v>
      </c>
    </row>
    <row r="15" spans="1:35" s="61" customFormat="1" outlineLevel="1" x14ac:dyDescent="0.3">
      <c r="A15" s="61" t="s">
        <v>663</v>
      </c>
      <c r="B15" s="55" t="str">
        <f t="shared" si="0"/>
        <v>2019-2</v>
      </c>
      <c r="C15" s="11">
        <v>43497</v>
      </c>
      <c r="D15" s="18" t="s">
        <v>106</v>
      </c>
      <c r="E15" s="14">
        <v>0.1148</v>
      </c>
      <c r="F15" s="15">
        <f t="shared" ref="F15:F25" si="11">+(1+E15)*(1+F14)-1</f>
        <v>2.9963720000000027E-2</v>
      </c>
      <c r="G15" s="15">
        <f t="shared" si="2"/>
        <v>-0.72768403944645033</v>
      </c>
      <c r="H15" s="13">
        <f>(1+G15)/(1+MAX(G$2:G15))-1</f>
        <v>-0.62924513866678522</v>
      </c>
      <c r="I15" s="18" t="s">
        <v>121</v>
      </c>
      <c r="J15" s="14">
        <v>0.27729999999999999</v>
      </c>
      <c r="K15" s="15">
        <f t="shared" ref="K15:K25" si="12">+(1+J15)*(1+K14)-1</f>
        <v>2.5288709999999881E-2</v>
      </c>
      <c r="L15" s="15">
        <f t="shared" si="4"/>
        <v>-0.81925286666682928</v>
      </c>
      <c r="M15" s="13">
        <f>(1+L15)/(1+MAX(L$2:L15))-1</f>
        <v>-0.87769174899636571</v>
      </c>
      <c r="N15" s="18" t="s">
        <v>104</v>
      </c>
      <c r="O15" s="16">
        <v>0.10249999999999999</v>
      </c>
      <c r="P15" s="57" t="s">
        <v>123</v>
      </c>
      <c r="Q15" s="16">
        <v>1.1999999999999999E-3</v>
      </c>
      <c r="R15" s="57" t="s">
        <v>122</v>
      </c>
      <c r="S15" s="16">
        <v>3.5999999999999999E-3</v>
      </c>
      <c r="T15" s="14">
        <v>2.5948475016242759E-2</v>
      </c>
      <c r="U15" s="15">
        <f t="shared" ref="U15:U25" si="13">+(1+T15)*(1+U14)-1</f>
        <v>0.11215594503165427</v>
      </c>
      <c r="V15" s="15">
        <f t="shared" si="6"/>
        <v>-0.30741970805598828</v>
      </c>
      <c r="W15" s="13">
        <f>(1+V15)/(1+MAX(V$2:V15))-1</f>
        <v>-6.873683972247846E-2</v>
      </c>
      <c r="X15" s="19"/>
      <c r="Y15" s="20">
        <f t="shared" si="7"/>
        <v>0.13193666666666667</v>
      </c>
      <c r="Z15" s="15">
        <f t="shared" ref="Z15:Z25" si="14">+(1+Y15)*(1+Z14)-1</f>
        <v>8.9715428999999958E-2</v>
      </c>
      <c r="AA15" s="15">
        <f t="shared" si="9"/>
        <v>-0.67282598622288803</v>
      </c>
      <c r="AB15" s="15">
        <f>(1+AA15)/(1+MAX(AA$2:AA15))-1</f>
        <v>-0.65459160363911351</v>
      </c>
      <c r="AC15" s="58">
        <f t="shared" si="10"/>
        <v>327.17401377711207</v>
      </c>
    </row>
    <row r="16" spans="1:35" s="61" customFormat="1" outlineLevel="1" x14ac:dyDescent="0.3">
      <c r="A16" s="61" t="s">
        <v>663</v>
      </c>
      <c r="B16" s="55" t="str">
        <f t="shared" si="0"/>
        <v>2019-3</v>
      </c>
      <c r="C16" s="11">
        <v>43525</v>
      </c>
      <c r="D16" s="18" t="s">
        <v>106</v>
      </c>
      <c r="E16" s="14">
        <v>6.5000000000000002E-2</v>
      </c>
      <c r="F16" s="15">
        <f t="shared" si="11"/>
        <v>9.6911361799999929E-2</v>
      </c>
      <c r="G16" s="15">
        <f t="shared" si="2"/>
        <v>-0.70998350201046967</v>
      </c>
      <c r="H16" s="13">
        <f>(1+G16)/(1+MAX(G$2:G16))-1</f>
        <v>-0.60514607268012643</v>
      </c>
      <c r="I16" s="18" t="s">
        <v>121</v>
      </c>
      <c r="J16" s="14">
        <v>3.49E-2</v>
      </c>
      <c r="K16" s="15">
        <f t="shared" si="12"/>
        <v>6.1071285978999912E-2</v>
      </c>
      <c r="L16" s="15">
        <f t="shared" si="4"/>
        <v>-0.81294479171350165</v>
      </c>
      <c r="M16" s="13">
        <f>(1+L16)/(1+MAX(L$2:L16))-1</f>
        <v>-0.87342319103633892</v>
      </c>
      <c r="N16" s="18" t="s">
        <v>104</v>
      </c>
      <c r="O16" s="16">
        <v>0.18759999999999999</v>
      </c>
      <c r="P16" s="57" t="s">
        <v>123</v>
      </c>
      <c r="Q16" s="16">
        <v>-1.2E-2</v>
      </c>
      <c r="R16" s="57" t="s">
        <v>122</v>
      </c>
      <c r="S16" s="16">
        <v>-9.4000000000000004E-3</v>
      </c>
      <c r="T16" s="14">
        <v>1.6367073875289129E-2</v>
      </c>
      <c r="U16" s="15">
        <f t="shared" si="13"/>
        <v>0.13035868354482938</v>
      </c>
      <c r="V16" s="15">
        <f t="shared" si="6"/>
        <v>-0.2960841952531712</v>
      </c>
      <c r="W16" s="13">
        <f>(1+V16)/(1+MAX(V$2:V16))-1</f>
        <v>-5.3494786780880821E-2</v>
      </c>
      <c r="X16" s="19"/>
      <c r="Y16" s="20">
        <f t="shared" si="7"/>
        <v>5.2129999999999996E-2</v>
      </c>
      <c r="Z16" s="15">
        <f t="shared" si="14"/>
        <v>0.14652229431377006</v>
      </c>
      <c r="AA16" s="15">
        <f t="shared" si="9"/>
        <v>-0.65577040488468719</v>
      </c>
      <c r="AB16" s="15">
        <f>(1+AA16)/(1+MAX(AA$2:AA16))-1</f>
        <v>-0.63658546393682047</v>
      </c>
      <c r="AC16" s="58">
        <f t="shared" si="10"/>
        <v>344.22959511531292</v>
      </c>
    </row>
    <row r="17" spans="1:35" s="61" customFormat="1" outlineLevel="1" x14ac:dyDescent="0.3">
      <c r="A17" s="61" t="s">
        <v>663</v>
      </c>
      <c r="B17" s="55" t="str">
        <f t="shared" si="0"/>
        <v>2019-4</v>
      </c>
      <c r="C17" s="11">
        <v>43556</v>
      </c>
      <c r="D17" s="18" t="s">
        <v>106</v>
      </c>
      <c r="E17" s="14">
        <v>0.30330000000000001</v>
      </c>
      <c r="F17" s="15">
        <f t="shared" si="11"/>
        <v>0.42960457783394013</v>
      </c>
      <c r="G17" s="15">
        <f t="shared" si="2"/>
        <v>-0.6220214981702451</v>
      </c>
      <c r="H17" s="13">
        <f>(1+G17)/(1+MAX(G$2:G17))-1</f>
        <v>-0.48538687652400869</v>
      </c>
      <c r="I17" s="18" t="s">
        <v>121</v>
      </c>
      <c r="J17" s="14">
        <v>0.1459</v>
      </c>
      <c r="K17" s="15">
        <f t="shared" si="12"/>
        <v>0.2158815866033359</v>
      </c>
      <c r="L17" s="15">
        <f t="shared" si="4"/>
        <v>-0.78565343682450162</v>
      </c>
      <c r="M17" s="13">
        <f>(1+L17)/(1+MAX(L$2:L17))-1</f>
        <v>-0.85495563460854085</v>
      </c>
      <c r="N17" s="18" t="s">
        <v>104</v>
      </c>
      <c r="O17" s="16">
        <v>-6.7900000000000002E-2</v>
      </c>
      <c r="P17" s="57" t="s">
        <v>123</v>
      </c>
      <c r="Q17" s="16">
        <v>1.38E-2</v>
      </c>
      <c r="R17" s="57" t="s">
        <v>134</v>
      </c>
      <c r="S17" s="16">
        <v>0.30640000000000001</v>
      </c>
      <c r="T17" s="14">
        <v>2.018475876085613E-3</v>
      </c>
      <c r="U17" s="15">
        <f t="shared" si="13"/>
        <v>0.1326402852788886</v>
      </c>
      <c r="V17" s="15">
        <f t="shared" si="6"/>
        <v>-0.29466335818249423</v>
      </c>
      <c r="W17" s="13">
        <f>(1+V17)/(1+MAX(V$2:V17))-1</f>
        <v>-5.1584288841408643E-2</v>
      </c>
      <c r="X17" s="19"/>
      <c r="Y17" s="20">
        <f t="shared" si="7"/>
        <v>0.16839999999999999</v>
      </c>
      <c r="Z17" s="15">
        <f t="shared" si="14"/>
        <v>0.33959664867620898</v>
      </c>
      <c r="AA17" s="15">
        <f t="shared" si="9"/>
        <v>-0.59780214106726848</v>
      </c>
      <c r="AB17" s="15">
        <f>(1+AA17)/(1+MAX(AA$2:AA17))-1</f>
        <v>-0.57538645606378114</v>
      </c>
      <c r="AC17" s="58">
        <f t="shared" si="10"/>
        <v>402.19785893273166</v>
      </c>
    </row>
    <row r="18" spans="1:35" s="61" customFormat="1" outlineLevel="1" x14ac:dyDescent="0.3">
      <c r="A18" s="61" t="s">
        <v>663</v>
      </c>
      <c r="B18" s="55" t="str">
        <f t="shared" si="0"/>
        <v>2019-5</v>
      </c>
      <c r="C18" s="11">
        <v>43586</v>
      </c>
      <c r="D18" s="18" t="s">
        <v>106</v>
      </c>
      <c r="E18" s="14">
        <v>0.60250000000000004</v>
      </c>
      <c r="F18" s="15">
        <f t="shared" si="11"/>
        <v>1.2909413359788893</v>
      </c>
      <c r="G18" s="15">
        <f t="shared" si="2"/>
        <v>-0.39428945081781774</v>
      </c>
      <c r="H18" s="13">
        <f>(1+G18)/(1+MAX(G$2:G18))-1</f>
        <v>-0.17533246962972393</v>
      </c>
      <c r="I18" s="18" t="s">
        <v>121</v>
      </c>
      <c r="J18" s="14">
        <v>0.65329999999999999</v>
      </c>
      <c r="K18" s="15">
        <f t="shared" si="12"/>
        <v>1.0102170271312954</v>
      </c>
      <c r="L18" s="15">
        <f t="shared" si="4"/>
        <v>-0.64562082710194857</v>
      </c>
      <c r="M18" s="13">
        <f>(1+L18)/(1+MAX(L$2:L18))-1</f>
        <v>-0.76019815069830055</v>
      </c>
      <c r="N18" s="18" t="s">
        <v>102</v>
      </c>
      <c r="O18" s="16">
        <v>0.48</v>
      </c>
      <c r="P18" s="57" t="s">
        <v>104</v>
      </c>
      <c r="Q18" s="16">
        <v>1.1589</v>
      </c>
      <c r="R18" s="57" t="s">
        <v>134</v>
      </c>
      <c r="S18" s="16">
        <v>0.61950000000000005</v>
      </c>
      <c r="T18" s="14">
        <v>2.188713377454798E-3</v>
      </c>
      <c r="U18" s="15">
        <f t="shared" si="13"/>
        <v>0.13511931022312273</v>
      </c>
      <c r="V18" s="15">
        <f t="shared" si="6"/>
        <v>-0.29311957843893921</v>
      </c>
      <c r="W18" s="13">
        <f>(1+V18)/(1+MAX(V$2:V18))-1</f>
        <v>-4.9508478687007584E-2</v>
      </c>
      <c r="X18" s="19"/>
      <c r="Y18" s="20">
        <f t="shared" si="7"/>
        <v>0.67786000000000002</v>
      </c>
      <c r="Z18" s="15">
        <f t="shared" si="14"/>
        <v>1.2476556329478639</v>
      </c>
      <c r="AA18" s="15">
        <f t="shared" si="9"/>
        <v>-0.3251683004111271</v>
      </c>
      <c r="AB18" s="15">
        <f>(1+AA18)/(1+MAX(AA$2:AA18))-1</f>
        <v>-0.28755791917117568</v>
      </c>
      <c r="AC18" s="58">
        <f t="shared" si="10"/>
        <v>674.83169958887311</v>
      </c>
      <c r="AF18" s="62"/>
      <c r="AG18" s="62"/>
      <c r="AH18" s="62"/>
      <c r="AI18" s="62"/>
    </row>
    <row r="19" spans="1:35" s="61" customFormat="1" outlineLevel="1" x14ac:dyDescent="0.3">
      <c r="A19" s="61" t="s">
        <v>663</v>
      </c>
      <c r="B19" s="55" t="str">
        <f t="shared" si="0"/>
        <v>2019-6</v>
      </c>
      <c r="C19" s="11">
        <v>43617</v>
      </c>
      <c r="D19" s="18" t="s">
        <v>106</v>
      </c>
      <c r="E19" s="14">
        <v>0.26150000000000001</v>
      </c>
      <c r="F19" s="15">
        <f t="shared" si="11"/>
        <v>1.890022495337369</v>
      </c>
      <c r="G19" s="15">
        <f t="shared" si="2"/>
        <v>-0.2358961422066771</v>
      </c>
      <c r="H19" s="13">
        <f>(1+G19)/(1+MAX(G$2:G19))-1</f>
        <v>0</v>
      </c>
      <c r="I19" s="18" t="s">
        <v>121</v>
      </c>
      <c r="J19" s="14">
        <v>8.4199999999999997E-2</v>
      </c>
      <c r="K19" s="15">
        <f t="shared" si="12"/>
        <v>1.1794773008157504</v>
      </c>
      <c r="L19" s="15">
        <f t="shared" si="4"/>
        <v>-0.61578210074393258</v>
      </c>
      <c r="M19" s="13">
        <f>(1+L19)/(1+MAX(L$2:L19))-1</f>
        <v>-0.74000683498709741</v>
      </c>
      <c r="N19" s="18" t="s">
        <v>102</v>
      </c>
      <c r="O19" s="16">
        <v>-9.2999999999999992E-3</v>
      </c>
      <c r="P19" s="57" t="s">
        <v>104</v>
      </c>
      <c r="Q19" s="16">
        <v>2.3742999999999999</v>
      </c>
      <c r="R19" s="57" t="s">
        <v>134</v>
      </c>
      <c r="S19" s="16">
        <v>0.22620000000000001</v>
      </c>
      <c r="T19" s="14">
        <v>2.404325916055516E-2</v>
      </c>
      <c r="U19" s="15">
        <f t="shared" si="13"/>
        <v>0.16241127797696775</v>
      </c>
      <c r="V19" s="15">
        <f t="shared" si="6"/>
        <v>-0.27612386926782417</v>
      </c>
      <c r="W19" s="13">
        <f>(1+V19)/(1+MAX(V$2:V19))-1</f>
        <v>-2.6655564710168944E-2</v>
      </c>
      <c r="X19" s="19"/>
      <c r="Y19" s="20">
        <f t="shared" si="7"/>
        <v>0.44920333333333329</v>
      </c>
      <c r="Z19" s="15">
        <f t="shared" si="14"/>
        <v>2.2573100354534872</v>
      </c>
      <c r="AA19" s="15">
        <f t="shared" si="9"/>
        <v>-2.2031651516806861E-2</v>
      </c>
      <c r="AB19" s="15">
        <f>(1+AA19)/(1+MAX(AA$2:AA19))-1</f>
        <v>0</v>
      </c>
      <c r="AC19" s="58">
        <f t="shared" si="10"/>
        <v>977.96834848319338</v>
      </c>
      <c r="AF19" s="62"/>
      <c r="AG19" s="62"/>
      <c r="AH19" s="62"/>
      <c r="AI19" s="62"/>
    </row>
    <row r="20" spans="1:35" s="61" customFormat="1" outlineLevel="1" x14ac:dyDescent="0.3">
      <c r="A20" s="61" t="s">
        <v>663</v>
      </c>
      <c r="B20" s="55" t="str">
        <f t="shared" si="0"/>
        <v>2019-7</v>
      </c>
      <c r="C20" s="11">
        <v>43647</v>
      </c>
      <c r="D20" s="18" t="s">
        <v>106</v>
      </c>
      <c r="E20" s="14">
        <v>-6.7599999999999993E-2</v>
      </c>
      <c r="F20" s="15">
        <f t="shared" si="11"/>
        <v>1.6946569746525628</v>
      </c>
      <c r="G20" s="15">
        <f t="shared" si="2"/>
        <v>-0.28754956299350576</v>
      </c>
      <c r="H20" s="13">
        <f>(1+G20)/(1+MAX(G$2:G20))-1</f>
        <v>-6.7599999999999993E-2</v>
      </c>
      <c r="I20" s="18" t="s">
        <v>121</v>
      </c>
      <c r="J20" s="14">
        <v>-0.24779999999999999</v>
      </c>
      <c r="K20" s="15">
        <f t="shared" si="12"/>
        <v>0.63940282567360751</v>
      </c>
      <c r="L20" s="15">
        <f t="shared" si="4"/>
        <v>-0.71099129617958612</v>
      </c>
      <c r="M20" s="13">
        <f>(1+L20)/(1+MAX(L$2:L20))-1</f>
        <v>-0.80443314127729471</v>
      </c>
      <c r="N20" s="18" t="s">
        <v>105</v>
      </c>
      <c r="O20" s="16">
        <v>-0.1825</v>
      </c>
      <c r="P20" s="57" t="s">
        <v>102</v>
      </c>
      <c r="Q20" s="16">
        <v>-0.1479</v>
      </c>
      <c r="R20" s="57" t="s">
        <v>116</v>
      </c>
      <c r="S20" s="16">
        <v>-0.19420000000000001</v>
      </c>
      <c r="T20" s="14">
        <v>8.0320299119584493E-3</v>
      </c>
      <c r="U20" s="15">
        <f t="shared" si="13"/>
        <v>0.17174780013167656</v>
      </c>
      <c r="V20" s="15">
        <f t="shared" si="6"/>
        <v>-0.27030967453323052</v>
      </c>
      <c r="W20" s="13">
        <f>(1+V20)/(1+MAX(V$2:V20))-1</f>
        <v>-1.8837633091282613E-2</v>
      </c>
      <c r="X20" s="19"/>
      <c r="Y20" s="20">
        <f t="shared" si="7"/>
        <v>-0.16456666666666667</v>
      </c>
      <c r="Z20" s="15">
        <f t="shared" si="14"/>
        <v>1.721265380619025</v>
      </c>
      <c r="AA20" s="15">
        <f t="shared" si="9"/>
        <v>-0.18297264273219094</v>
      </c>
      <c r="AB20" s="15">
        <f>(1+AA20)/(1+MAX(AA$2:AA20))-1</f>
        <v>-0.16456666666666664</v>
      </c>
      <c r="AC20" s="58">
        <f t="shared" si="10"/>
        <v>817.02735726780918</v>
      </c>
      <c r="AF20" s="62"/>
      <c r="AG20" s="62"/>
      <c r="AH20" s="62"/>
      <c r="AI20" s="62"/>
    </row>
    <row r="21" spans="1:35" s="61" customFormat="1" outlineLevel="1" x14ac:dyDescent="0.3">
      <c r="A21" s="61" t="s">
        <v>663</v>
      </c>
      <c r="B21" s="55" t="str">
        <f t="shared" si="0"/>
        <v>2019-8</v>
      </c>
      <c r="C21" s="11">
        <v>43678</v>
      </c>
      <c r="D21" s="18" t="s">
        <v>106</v>
      </c>
      <c r="E21" s="14">
        <v>-4.5100000000000001E-2</v>
      </c>
      <c r="F21" s="15">
        <f t="shared" si="11"/>
        <v>1.5731279450957323</v>
      </c>
      <c r="G21" s="15">
        <f t="shared" si="2"/>
        <v>-0.31968107770249865</v>
      </c>
      <c r="H21" s="13">
        <f>(1+G21)/(1+MAX(G$2:G21))-1</f>
        <v>-0.10965124000000004</v>
      </c>
      <c r="I21" s="18" t="s">
        <v>121</v>
      </c>
      <c r="J21" s="14">
        <v>-0.2112</v>
      </c>
      <c r="K21" s="15">
        <f t="shared" si="12"/>
        <v>0.29316094889134159</v>
      </c>
      <c r="L21" s="15">
        <f t="shared" si="4"/>
        <v>-0.77202993442645751</v>
      </c>
      <c r="M21" s="13">
        <f>(1+L21)/(1+MAX(L$2:L21))-1</f>
        <v>-0.84573686183953001</v>
      </c>
      <c r="N21" s="18" t="s">
        <v>102</v>
      </c>
      <c r="O21" s="16">
        <v>-0.23069999999999999</v>
      </c>
      <c r="P21" s="57" t="s">
        <v>104</v>
      </c>
      <c r="Q21" s="16">
        <v>-0.18509999999999999</v>
      </c>
      <c r="R21" s="57" t="s">
        <v>116</v>
      </c>
      <c r="S21" s="16">
        <v>-0.34449999999999997</v>
      </c>
      <c r="T21" s="14">
        <v>4.9498421738789267E-2</v>
      </c>
      <c r="U21" s="15">
        <f t="shared" si="13"/>
        <v>0.22974746691409287</v>
      </c>
      <c r="V21" s="15">
        <f t="shared" si="6"/>
        <v>-0.23419115506456201</v>
      </c>
      <c r="W21" s="13">
        <f>(1+V21)/(1+MAX(V$2:V21))-1</f>
        <v>0</v>
      </c>
      <c r="X21" s="19"/>
      <c r="Y21" s="20">
        <f t="shared" si="7"/>
        <v>-0.17826333333333333</v>
      </c>
      <c r="Z21" s="15">
        <f t="shared" si="14"/>
        <v>1.2361635429852758</v>
      </c>
      <c r="AA21" s="15">
        <f t="shared" si="9"/>
        <v>-0.32861866286327479</v>
      </c>
      <c r="AB21" s="15">
        <f>(1+AA21)/(1+MAX(AA$2:AA21))-1</f>
        <v>-0.31349379744444439</v>
      </c>
      <c r="AC21" s="58">
        <f t="shared" si="10"/>
        <v>671.38133713672528</v>
      </c>
      <c r="AF21" s="62"/>
      <c r="AG21" s="62"/>
      <c r="AH21" s="62"/>
      <c r="AI21" s="62"/>
    </row>
    <row r="22" spans="1:35" s="61" customFormat="1" outlineLevel="1" x14ac:dyDescent="0.3">
      <c r="A22" s="61" t="s">
        <v>663</v>
      </c>
      <c r="B22" s="55" t="str">
        <f t="shared" si="0"/>
        <v>2019-9</v>
      </c>
      <c r="C22" s="11">
        <v>43709</v>
      </c>
      <c r="D22" s="18" t="s">
        <v>106</v>
      </c>
      <c r="E22" s="14">
        <v>-0.13880000000000001</v>
      </c>
      <c r="F22" s="15">
        <f t="shared" si="11"/>
        <v>1.2159777863164445</v>
      </c>
      <c r="G22" s="15">
        <f t="shared" si="2"/>
        <v>-0.41410934411739186</v>
      </c>
      <c r="H22" s="13">
        <f>(1+G22)/(1+MAX(G$2:G22))-1</f>
        <v>-0.2332316478880001</v>
      </c>
      <c r="I22" s="18" t="s">
        <v>121</v>
      </c>
      <c r="J22" s="14">
        <v>4.2900000000000001E-2</v>
      </c>
      <c r="K22" s="15">
        <f t="shared" si="12"/>
        <v>0.34863755359878001</v>
      </c>
      <c r="L22" s="15">
        <f t="shared" si="4"/>
        <v>-0.76225001861335251</v>
      </c>
      <c r="M22" s="13">
        <f>(1+L22)/(1+MAX(L$2:L22))-1</f>
        <v>-0.83911897321244588</v>
      </c>
      <c r="N22" s="18" t="s">
        <v>106</v>
      </c>
      <c r="O22" s="16">
        <v>-0.13880000000000001</v>
      </c>
      <c r="P22" s="57" t="s">
        <v>104</v>
      </c>
      <c r="Q22" s="16">
        <v>-1.49E-2</v>
      </c>
      <c r="R22" s="57" t="s">
        <v>134</v>
      </c>
      <c r="S22" s="16">
        <v>-0.14080000000000001</v>
      </c>
      <c r="T22" s="14">
        <v>2.627422868652218E-2</v>
      </c>
      <c r="U22" s="15">
        <f t="shared" si="13"/>
        <v>0.26205813308646508</v>
      </c>
      <c r="V22" s="15">
        <f t="shared" si="6"/>
        <v>-0.21407011834256695</v>
      </c>
      <c r="W22" s="13">
        <f>(1+V22)/(1+MAX(V$2:V22))-1</f>
        <v>0</v>
      </c>
      <c r="X22" s="19"/>
      <c r="Y22" s="20">
        <f t="shared" si="7"/>
        <v>-6.8036666666666676E-2</v>
      </c>
      <c r="Z22" s="15">
        <f t="shared" si="14"/>
        <v>1.0840224293990341</v>
      </c>
      <c r="AA22" s="15">
        <f t="shared" si="9"/>
        <v>-0.37429721110426706</v>
      </c>
      <c r="AB22" s="15">
        <f>(1+AA22)/(1+MAX(AA$2:AA22))-1</f>
        <v>-0.36020139111231575</v>
      </c>
      <c r="AC22" s="58">
        <f t="shared" si="10"/>
        <v>625.70278889573297</v>
      </c>
      <c r="AF22" s="62"/>
    </row>
    <row r="23" spans="1:35" s="61" customFormat="1" outlineLevel="1" x14ac:dyDescent="0.3">
      <c r="A23" s="61" t="s">
        <v>663</v>
      </c>
      <c r="B23" s="55" t="str">
        <f t="shared" si="0"/>
        <v>2019-10</v>
      </c>
      <c r="C23" s="11">
        <v>43739</v>
      </c>
      <c r="D23" s="18" t="s">
        <v>106</v>
      </c>
      <c r="E23" s="14">
        <v>0.10920000000000001</v>
      </c>
      <c r="F23" s="15">
        <f t="shared" si="11"/>
        <v>1.4579625605822</v>
      </c>
      <c r="G23" s="15">
        <f t="shared" si="2"/>
        <v>-0.35013008449501104</v>
      </c>
      <c r="H23" s="13">
        <f>(1+G23)/(1+MAX(G$2:G23))-1</f>
        <v>-0.14950054383736966</v>
      </c>
      <c r="I23" s="18" t="s">
        <v>121</v>
      </c>
      <c r="J23" s="14">
        <v>2.2800000000000001E-2</v>
      </c>
      <c r="K23" s="15">
        <f t="shared" si="12"/>
        <v>0.37938648982083212</v>
      </c>
      <c r="L23" s="15">
        <f t="shared" si="4"/>
        <v>-0.75682931903773698</v>
      </c>
      <c r="M23" s="13">
        <f>(1+L23)/(1+MAX(L$2:L23))-1</f>
        <v>-0.83545088580168969</v>
      </c>
      <c r="N23" s="18" t="s">
        <v>106</v>
      </c>
      <c r="O23" s="16">
        <v>0.10920000000000001</v>
      </c>
      <c r="P23" s="57" t="s">
        <v>104</v>
      </c>
      <c r="Q23" s="16">
        <v>0.55249999999999999</v>
      </c>
      <c r="R23" s="57" t="s">
        <v>134</v>
      </c>
      <c r="S23" s="16">
        <v>0.10929999999999999</v>
      </c>
      <c r="T23" s="14">
        <v>-3.9113535678083067E-3</v>
      </c>
      <c r="U23" s="15">
        <f t="shared" si="13"/>
        <v>0.25712177750483578</v>
      </c>
      <c r="V23" s="15">
        <f t="shared" si="6"/>
        <v>-0.21714416798923497</v>
      </c>
      <c r="W23" s="13">
        <f>(1+V23)/(1+MAX(V$2:V23))-1</f>
        <v>-3.9113535678083622E-3</v>
      </c>
      <c r="X23" s="21"/>
      <c r="Y23" s="20">
        <f t="shared" si="7"/>
        <v>0.14239999999999997</v>
      </c>
      <c r="Z23" s="15">
        <f t="shared" si="14"/>
        <v>1.3807872233454561</v>
      </c>
      <c r="AA23" s="15">
        <f t="shared" si="9"/>
        <v>-0.28519713396551483</v>
      </c>
      <c r="AB23" s="15">
        <f>(1+AA23)/(1+MAX(AA$2:AA23))-1</f>
        <v>-0.26909406920670975</v>
      </c>
      <c r="AC23" s="58">
        <f t="shared" si="10"/>
        <v>714.80286603448531</v>
      </c>
    </row>
    <row r="24" spans="1:35" s="61" customFormat="1" outlineLevel="1" x14ac:dyDescent="0.3">
      <c r="A24" s="61" t="s">
        <v>663</v>
      </c>
      <c r="B24" s="55" t="str">
        <f t="shared" si="0"/>
        <v>2019-11</v>
      </c>
      <c r="C24" s="11">
        <v>43770</v>
      </c>
      <c r="D24" s="18" t="s">
        <v>106</v>
      </c>
      <c r="E24" s="14">
        <v>-0.1772</v>
      </c>
      <c r="F24" s="15">
        <f t="shared" si="11"/>
        <v>1.0224115948470343</v>
      </c>
      <c r="G24" s="15">
        <f t="shared" si="2"/>
        <v>-0.46528703352249512</v>
      </c>
      <c r="H24" s="13">
        <f>(1+G24)/(1+MAX(G$2:G24))-1</f>
        <v>-0.30020904746938781</v>
      </c>
      <c r="I24" s="18" t="s">
        <v>121</v>
      </c>
      <c r="J24" s="14">
        <v>-0.17080000000000001</v>
      </c>
      <c r="K24" s="15">
        <f t="shared" si="12"/>
        <v>0.14378727735943397</v>
      </c>
      <c r="L24" s="15">
        <f t="shared" si="4"/>
        <v>-0.79836287134609152</v>
      </c>
      <c r="M24" s="13">
        <f>(1+L24)/(1+MAX(L$2:L24))-1</f>
        <v>-0.86355587450676108</v>
      </c>
      <c r="N24" s="18" t="s">
        <v>106</v>
      </c>
      <c r="O24" s="16">
        <v>-0.1772</v>
      </c>
      <c r="P24" s="57" t="s">
        <v>104</v>
      </c>
      <c r="Q24" s="16">
        <v>-0.18110000000000001</v>
      </c>
      <c r="R24" s="57" t="s">
        <v>134</v>
      </c>
      <c r="S24" s="16">
        <v>-0.17580000000000001</v>
      </c>
      <c r="T24" s="14">
        <v>-1.798328132358545E-2</v>
      </c>
      <c r="U24" s="15">
        <f t="shared" si="13"/>
        <v>0.23451460292196069</v>
      </c>
      <c r="V24" s="15">
        <f t="shared" si="6"/>
        <v>-0.23122248465209405</v>
      </c>
      <c r="W24" s="13">
        <f>(1+V24)/(1+MAX(V$2:V24))-1</f>
        <v>-2.1824295919827819E-2</v>
      </c>
      <c r="X24" s="21"/>
      <c r="Y24" s="20">
        <f t="shared" si="7"/>
        <v>-0.17561333333333334</v>
      </c>
      <c r="Z24" s="15">
        <f t="shared" si="14"/>
        <v>0.96268924309634918</v>
      </c>
      <c r="AA24" s="15">
        <f t="shared" si="9"/>
        <v>-0.41072604794605094</v>
      </c>
      <c r="AB24" s="15">
        <f>(1+AA24)/(1+MAX(AA$2:AA24))-1</f>
        <v>-0.39745089606642214</v>
      </c>
      <c r="AC24" s="58">
        <f t="shared" si="10"/>
        <v>589.27395205394919</v>
      </c>
    </row>
    <row r="25" spans="1:35" s="27" customFormat="1" ht="15" thickBot="1" x14ac:dyDescent="0.35">
      <c r="A25" s="27" t="s">
        <v>663</v>
      </c>
      <c r="B25" s="63" t="str">
        <f t="shared" si="0"/>
        <v>2019-12</v>
      </c>
      <c r="C25" s="22">
        <v>43800</v>
      </c>
      <c r="D25" s="29" t="s">
        <v>106</v>
      </c>
      <c r="E25" s="24">
        <v>-4.9700000000000001E-2</v>
      </c>
      <c r="F25" s="25">
        <f t="shared" si="11"/>
        <v>0.92189773858313662</v>
      </c>
      <c r="G25" s="25">
        <f t="shared" si="2"/>
        <v>-0.49186226795642707</v>
      </c>
      <c r="H25" s="26">
        <f>(1+G25)/(1+MAX(G$2:G25))-1</f>
        <v>-0.33498865781015918</v>
      </c>
      <c r="I25" s="29" t="s">
        <v>121</v>
      </c>
      <c r="J25" s="24">
        <v>-0.15029999999999999</v>
      </c>
      <c r="K25" s="25">
        <f t="shared" si="12"/>
        <v>-2.8123950427688893E-2</v>
      </c>
      <c r="L25" s="25">
        <f t="shared" si="4"/>
        <v>-0.82866893178277401</v>
      </c>
      <c r="M25" s="26">
        <f>(1+L25)/(1+MAX(L$2:L25))-1</f>
        <v>-0.88406342656839487</v>
      </c>
      <c r="N25" s="29" t="s">
        <v>106</v>
      </c>
      <c r="O25" s="141">
        <v>-4.9700000000000001E-2</v>
      </c>
      <c r="P25" s="142" t="s">
        <v>104</v>
      </c>
      <c r="Q25" s="141">
        <v>-0.21079999999999999</v>
      </c>
      <c r="R25" s="142" t="s">
        <v>134</v>
      </c>
      <c r="S25" s="141">
        <v>-5.1999999999999998E-2</v>
      </c>
      <c r="T25" s="24">
        <v>2.215569774242054E-2</v>
      </c>
      <c r="U25" s="25">
        <f t="shared" si="13"/>
        <v>0.26186613532290393</v>
      </c>
      <c r="V25" s="25">
        <f t="shared" si="6"/>
        <v>-0.21418968239087688</v>
      </c>
      <c r="W25" s="26">
        <f>(1+V25)/(1+MAX(V$2:V25))-1</f>
        <v>-1.5213068124830809E-4</v>
      </c>
      <c r="X25" s="31"/>
      <c r="Y25" s="32">
        <f t="shared" si="7"/>
        <v>-0.10166666666666667</v>
      </c>
      <c r="Z25" s="25">
        <f t="shared" si="14"/>
        <v>0.76314917004822025</v>
      </c>
      <c r="AA25" s="25">
        <f t="shared" si="9"/>
        <v>-0.47063556640486914</v>
      </c>
      <c r="AB25" s="25">
        <f>(1+AA25)/(1+MAX(AA$2:AA25))-1</f>
        <v>-0.45871005496633588</v>
      </c>
      <c r="AC25" s="66">
        <f t="shared" si="10"/>
        <v>529.364433595131</v>
      </c>
    </row>
    <row r="26" spans="1:35" s="54" customFormat="1" outlineLevel="1" x14ac:dyDescent="0.3">
      <c r="A26" s="54" t="s">
        <v>663</v>
      </c>
      <c r="B26" s="48" t="str">
        <f t="shared" si="0"/>
        <v>2020-1</v>
      </c>
      <c r="C26" s="1">
        <v>43831</v>
      </c>
      <c r="D26" s="8" t="s">
        <v>106</v>
      </c>
      <c r="E26" s="4">
        <v>0.29980000000000001</v>
      </c>
      <c r="F26" s="5">
        <f>+E26</f>
        <v>0.29980000000000001</v>
      </c>
      <c r="G26" s="5">
        <f t="shared" si="2"/>
        <v>-0.33952257588976387</v>
      </c>
      <c r="H26" s="3">
        <f>(1+G26)/(1+MAX(G$2:G26))-1</f>
        <v>-0.13561825742164479</v>
      </c>
      <c r="I26" s="8" t="s">
        <v>121</v>
      </c>
      <c r="J26" s="4">
        <v>0.39</v>
      </c>
      <c r="K26" s="5">
        <f>+J26</f>
        <v>0.39</v>
      </c>
      <c r="L26" s="5">
        <f t="shared" si="4"/>
        <v>-0.76184981517805583</v>
      </c>
      <c r="M26" s="3">
        <f>(1+L26)/(1+MAX(L$2:L26))-1</f>
        <v>-0.83884816293006892</v>
      </c>
      <c r="N26" s="8" t="s">
        <v>106</v>
      </c>
      <c r="O26" s="6">
        <v>0.29980000000000001</v>
      </c>
      <c r="P26" s="50" t="s">
        <v>104</v>
      </c>
      <c r="Q26" s="6">
        <v>0.5958</v>
      </c>
      <c r="R26" s="50" t="s">
        <v>134</v>
      </c>
      <c r="S26" s="6">
        <v>0.29899999999999999</v>
      </c>
      <c r="T26" s="4">
        <v>4.0976627111052211E-2</v>
      </c>
      <c r="U26" s="5">
        <f>+T26</f>
        <v>4.0976627111052211E-2</v>
      </c>
      <c r="V26" s="5">
        <f t="shared" si="6"/>
        <v>-0.1819898260261904</v>
      </c>
      <c r="W26" s="3">
        <f>(1+V26)/(1+MAX(V$2:V26))-1</f>
        <v>0</v>
      </c>
      <c r="X26" s="9"/>
      <c r="Y26" s="10">
        <f t="shared" si="7"/>
        <v>0.36621999999999999</v>
      </c>
      <c r="Z26" s="5">
        <f>+Y26</f>
        <v>0.36621999999999999</v>
      </c>
      <c r="AA26" s="5">
        <f t="shared" si="9"/>
        <v>-0.27677172353366031</v>
      </c>
      <c r="AB26" s="5">
        <f>(1+AA26)/(1+MAX(AA$2:AA26))-1</f>
        <v>-0.26047885129610748</v>
      </c>
      <c r="AC26" s="51">
        <f t="shared" si="10"/>
        <v>723.22827646633982</v>
      </c>
    </row>
    <row r="27" spans="1:35" s="61" customFormat="1" outlineLevel="1" x14ac:dyDescent="0.3">
      <c r="A27" s="61" t="s">
        <v>663</v>
      </c>
      <c r="B27" s="55" t="str">
        <f t="shared" si="0"/>
        <v>2020-2</v>
      </c>
      <c r="C27" s="11">
        <v>43862</v>
      </c>
      <c r="D27" s="18" t="s">
        <v>106</v>
      </c>
      <c r="E27" s="14">
        <v>-8.0299999999999996E-2</v>
      </c>
      <c r="F27" s="15">
        <f t="shared" ref="F27:F37" si="15">+(1+E27)*(1+F26)-1</f>
        <v>0.19542605999999996</v>
      </c>
      <c r="G27" s="15">
        <f t="shared" si="2"/>
        <v>-0.3925589130458158</v>
      </c>
      <c r="H27" s="13">
        <f>(1+G27)/(1+MAX(G$2:G27))-1</f>
        <v>-0.20502811135068677</v>
      </c>
      <c r="I27" s="18" t="s">
        <v>121</v>
      </c>
      <c r="J27" s="14">
        <v>0.2203</v>
      </c>
      <c r="K27" s="15">
        <f t="shared" ref="K27:K37" si="16">+(1+J27)*(1+K26)-1</f>
        <v>0.69621700000000009</v>
      </c>
      <c r="L27" s="15">
        <f t="shared" si="4"/>
        <v>-0.70938532946178157</v>
      </c>
      <c r="M27" s="13">
        <f>(1+L27)/(1+MAX(L$2:L27))-1</f>
        <v>-0.80334641322356315</v>
      </c>
      <c r="N27" s="18" t="s">
        <v>107</v>
      </c>
      <c r="O27" s="16">
        <v>-0.20730000000000001</v>
      </c>
      <c r="P27" s="57" t="s">
        <v>104</v>
      </c>
      <c r="Q27" s="16">
        <v>0.45500000000000002</v>
      </c>
      <c r="R27" s="57" t="s">
        <v>133</v>
      </c>
      <c r="S27" s="16">
        <v>-2.06E-2</v>
      </c>
      <c r="T27" s="14">
        <v>-8.0388301355230452E-2</v>
      </c>
      <c r="U27" s="15">
        <f t="shared" ref="U27:U37" si="17">+(1+T27)*(1+U26)-1</f>
        <v>-4.2705715692902491E-2</v>
      </c>
      <c r="V27" s="15">
        <f t="shared" si="6"/>
        <v>-0.24774827440324154</v>
      </c>
      <c r="W27" s="13">
        <f>(1+V27)/(1+MAX(V$2:V27))-1</f>
        <v>-8.0388301355230452E-2</v>
      </c>
      <c r="X27" s="19"/>
      <c r="Y27" s="20">
        <f t="shared" si="7"/>
        <v>7.2279999999999997E-2</v>
      </c>
      <c r="Z27" s="15">
        <f t="shared" ref="Z27:Z37" si="18">+(1+Y27)*(1+Z26)-1</f>
        <v>0.46497038159999993</v>
      </c>
      <c r="AA27" s="15">
        <f t="shared" si="9"/>
        <v>-0.22449678371067339</v>
      </c>
      <c r="AB27" s="15">
        <f>(1+AA27)/(1+MAX(AA$2:AA27))-1</f>
        <v>-0.20702626266779023</v>
      </c>
      <c r="AC27" s="58">
        <f t="shared" si="10"/>
        <v>775.50321628932682</v>
      </c>
    </row>
    <row r="28" spans="1:35" s="61" customFormat="1" outlineLevel="1" x14ac:dyDescent="0.3">
      <c r="A28" s="61" t="s">
        <v>663</v>
      </c>
      <c r="B28" s="55" t="str">
        <f t="shared" si="0"/>
        <v>2020-3</v>
      </c>
      <c r="C28" s="11">
        <v>43891</v>
      </c>
      <c r="D28" s="18" t="s">
        <v>106</v>
      </c>
      <c r="E28" s="14">
        <v>-0.25130000000000002</v>
      </c>
      <c r="F28" s="15">
        <f t="shared" si="15"/>
        <v>-0.10498450887800015</v>
      </c>
      <c r="G28" s="15">
        <f t="shared" si="2"/>
        <v>-0.54520885819740239</v>
      </c>
      <c r="H28" s="13">
        <f>(1+G28)/(1+MAX(G$2:G28))-1</f>
        <v>-0.40480454696825929</v>
      </c>
      <c r="I28" s="18" t="s">
        <v>121</v>
      </c>
      <c r="J28" s="14">
        <v>-0.39229999999999998</v>
      </c>
      <c r="K28" s="15">
        <f t="shared" si="16"/>
        <v>3.0791070900000106E-2</v>
      </c>
      <c r="L28" s="15">
        <f t="shared" si="4"/>
        <v>-0.82339346471392472</v>
      </c>
      <c r="M28" s="13">
        <f>(1+L28)/(1+MAX(L$2:L28))-1</f>
        <v>-0.88049361531595938</v>
      </c>
      <c r="N28" s="18" t="s">
        <v>107</v>
      </c>
      <c r="O28" s="16">
        <v>-0.43690000000000001</v>
      </c>
      <c r="P28" s="57" t="s">
        <v>108</v>
      </c>
      <c r="Q28" s="16">
        <v>-0.33210000000000001</v>
      </c>
      <c r="R28" s="57" t="s">
        <v>133</v>
      </c>
      <c r="S28" s="16">
        <v>-0.4466</v>
      </c>
      <c r="T28" s="14">
        <v>-9.286782016724604E-2</v>
      </c>
      <c r="U28" s="15">
        <f t="shared" si="17"/>
        <v>-0.13160754913506656</v>
      </c>
      <c r="V28" s="15">
        <f t="shared" si="6"/>
        <v>-0.31760825237646184</v>
      </c>
      <c r="W28" s="13">
        <f>(1+V28)/(1+MAX(V$2:V28))-1</f>
        <v>-0.16579063520866866</v>
      </c>
      <c r="X28" s="19"/>
      <c r="Y28" s="20">
        <f t="shared" si="7"/>
        <v>-0.35515999999999998</v>
      </c>
      <c r="Z28" s="15">
        <f t="shared" si="18"/>
        <v>-5.5328499129055908E-2</v>
      </c>
      <c r="AA28" s="15">
        <f t="shared" si="9"/>
        <v>-0.49992450600799054</v>
      </c>
      <c r="AB28" s="15">
        <f>(1+AA28)/(1+MAX(AA$2:AA28))-1</f>
        <v>-0.4886588152186977</v>
      </c>
      <c r="AC28" s="58">
        <f t="shared" si="10"/>
        <v>500.07549399200957</v>
      </c>
    </row>
    <row r="29" spans="1:35" s="61" customFormat="1" outlineLevel="1" x14ac:dyDescent="0.3">
      <c r="A29" s="61" t="s">
        <v>663</v>
      </c>
      <c r="B29" s="55" t="str">
        <f t="shared" si="0"/>
        <v>2020-4</v>
      </c>
      <c r="C29" s="11">
        <v>43922</v>
      </c>
      <c r="D29" s="18" t="s">
        <v>106</v>
      </c>
      <c r="E29" s="14">
        <v>0.3448</v>
      </c>
      <c r="F29" s="15">
        <f t="shared" si="15"/>
        <v>0.20361683246086537</v>
      </c>
      <c r="G29" s="15">
        <f t="shared" si="2"/>
        <v>-0.38839687250386679</v>
      </c>
      <c r="H29" s="13">
        <f>(1+G29)/(1+MAX(G$2:G29))-1</f>
        <v>-0.19958115476291516</v>
      </c>
      <c r="I29" s="18" t="s">
        <v>121</v>
      </c>
      <c r="J29" s="14">
        <v>0.55400000000000005</v>
      </c>
      <c r="K29" s="15">
        <f t="shared" si="16"/>
        <v>0.60184932417860026</v>
      </c>
      <c r="L29" s="15">
        <f t="shared" si="4"/>
        <v>-0.72555344416543899</v>
      </c>
      <c r="M29" s="13">
        <f>(1+L29)/(1+MAX(L$2:L29))-1</f>
        <v>-0.81428707820100077</v>
      </c>
      <c r="N29" s="18" t="s">
        <v>108</v>
      </c>
      <c r="O29" s="16">
        <v>0.30780000000000002</v>
      </c>
      <c r="P29" s="57" t="s">
        <v>104</v>
      </c>
      <c r="Q29" s="16">
        <v>0.63870000000000005</v>
      </c>
      <c r="R29" s="57" t="s">
        <v>133</v>
      </c>
      <c r="S29" s="16">
        <v>0.39689999999999998</v>
      </c>
      <c r="T29" s="14">
        <v>8.5376193785857146E-2</v>
      </c>
      <c r="U29" s="15">
        <f t="shared" si="17"/>
        <v>-5.7467506967846527E-2</v>
      </c>
      <c r="V29" s="15">
        <f t="shared" si="6"/>
        <v>-0.25934824229348485</v>
      </c>
      <c r="W29" s="13">
        <f>(1+V29)/(1+MAX(V$2:V29))-1</f>
        <v>-9.4569014822267095E-2</v>
      </c>
      <c r="X29" s="19"/>
      <c r="Y29" s="20">
        <f t="shared" si="7"/>
        <v>0.44876000000000005</v>
      </c>
      <c r="Z29" s="15">
        <f t="shared" si="18"/>
        <v>0.36860228360178904</v>
      </c>
      <c r="AA29" s="15">
        <f t="shared" si="9"/>
        <v>-0.27551062732413634</v>
      </c>
      <c r="AB29" s="15">
        <f>(1+AA29)/(1+MAX(AA$2:AA29))-1</f>
        <v>-0.25918934513624048</v>
      </c>
      <c r="AC29" s="58">
        <f t="shared" si="10"/>
        <v>724.48937267586382</v>
      </c>
    </row>
    <row r="30" spans="1:35" s="61" customFormat="1" outlineLevel="1" x14ac:dyDescent="0.3">
      <c r="A30" s="61" t="s">
        <v>663</v>
      </c>
      <c r="B30" s="55" t="str">
        <f t="shared" si="0"/>
        <v>2020-5</v>
      </c>
      <c r="C30" s="11">
        <v>43952</v>
      </c>
      <c r="D30" s="18" t="s">
        <v>106</v>
      </c>
      <c r="E30" s="14">
        <v>9.2700000000000005E-2</v>
      </c>
      <c r="F30" s="15">
        <f t="shared" si="15"/>
        <v>0.31519211282998749</v>
      </c>
      <c r="G30" s="15">
        <f t="shared" si="2"/>
        <v>-0.33170126258497523</v>
      </c>
      <c r="H30" s="13">
        <f>(1+G30)/(1+MAX(G$2:G30))-1</f>
        <v>-0.12538232780943737</v>
      </c>
      <c r="I30" s="18" t="s">
        <v>121</v>
      </c>
      <c r="J30" s="14">
        <v>0.11260000000000001</v>
      </c>
      <c r="K30" s="15">
        <f t="shared" si="16"/>
        <v>0.7822175580811106</v>
      </c>
      <c r="L30" s="15">
        <f t="shared" si="4"/>
        <v>-0.69465076197846742</v>
      </c>
      <c r="M30" s="13">
        <f>(1+L30)/(1+MAX(L$2:L30))-1</f>
        <v>-0.79337580320643353</v>
      </c>
      <c r="N30" s="18" t="s">
        <v>108</v>
      </c>
      <c r="O30" s="16">
        <v>7.1400000000000005E-2</v>
      </c>
      <c r="P30" s="57" t="s">
        <v>120</v>
      </c>
      <c r="Q30" s="16">
        <v>0.2334</v>
      </c>
      <c r="R30" s="57" t="s">
        <v>104</v>
      </c>
      <c r="S30" s="16">
        <v>0.1101</v>
      </c>
      <c r="T30" s="14">
        <v>5.7101173902272762E-2</v>
      </c>
      <c r="U30" s="15">
        <f t="shared" si="17"/>
        <v>-3.6477951746747284E-3</v>
      </c>
      <c r="V30" s="15">
        <f t="shared" si="6"/>
        <v>-0.21705615747566109</v>
      </c>
      <c r="W30" s="13">
        <f>(1+V30)/(1+MAX(V$2:V30))-1</f>
        <v>-4.2867842681127089E-2</v>
      </c>
      <c r="X30" s="19"/>
      <c r="Y30" s="20">
        <f t="shared" si="7"/>
        <v>0.11691000000000001</v>
      </c>
      <c r="Z30" s="15">
        <f t="shared" si="18"/>
        <v>0.52860557657767426</v>
      </c>
      <c r="AA30" s="15">
        <f t="shared" si="9"/>
        <v>-0.19081057476460106</v>
      </c>
      <c r="AB30" s="15">
        <f>(1+AA30)/(1+MAX(AA$2:AA30))-1</f>
        <v>-0.17258117147611829</v>
      </c>
      <c r="AC30" s="58">
        <f t="shared" si="10"/>
        <v>809.18942523539909</v>
      </c>
      <c r="AF30" s="62"/>
      <c r="AG30" s="62"/>
      <c r="AH30" s="62"/>
      <c r="AI30" s="62"/>
    </row>
    <row r="31" spans="1:35" s="61" customFormat="1" outlineLevel="1" x14ac:dyDescent="0.3">
      <c r="A31" s="61" t="s">
        <v>663</v>
      </c>
      <c r="B31" s="55" t="str">
        <f t="shared" si="0"/>
        <v>2020-6</v>
      </c>
      <c r="C31" s="11">
        <v>43983</v>
      </c>
      <c r="D31" s="18" t="s">
        <v>106</v>
      </c>
      <c r="E31" s="14">
        <v>-3.4099999999999998E-2</v>
      </c>
      <c r="F31" s="15">
        <f t="shared" si="15"/>
        <v>0.27034406178248482</v>
      </c>
      <c r="G31" s="15">
        <f t="shared" si="2"/>
        <v>-0.35449024953082764</v>
      </c>
      <c r="H31" s="13">
        <f>(1+G31)/(1+MAX(G$2:G31))-1</f>
        <v>-0.15520679043113561</v>
      </c>
      <c r="I31" s="18" t="s">
        <v>121</v>
      </c>
      <c r="J31" s="14">
        <v>-2.0199999999999999E-2</v>
      </c>
      <c r="K31" s="15">
        <f t="shared" si="16"/>
        <v>0.74621676340787224</v>
      </c>
      <c r="L31" s="15">
        <f t="shared" si="4"/>
        <v>-0.70081881658650236</v>
      </c>
      <c r="M31" s="13">
        <f>(1+L31)/(1+MAX(L$2:L31))-1</f>
        <v>-0.79754961198166352</v>
      </c>
      <c r="N31" s="18" t="s">
        <v>108</v>
      </c>
      <c r="O31" s="16">
        <v>-0.17280000000000001</v>
      </c>
      <c r="P31" s="57" t="s">
        <v>109</v>
      </c>
      <c r="Q31" s="16">
        <v>0.13719999999999999</v>
      </c>
      <c r="R31" s="57" t="s">
        <v>104</v>
      </c>
      <c r="S31" s="16">
        <v>0.10639999999999999</v>
      </c>
      <c r="T31" s="14">
        <v>2.2532590328929791E-2</v>
      </c>
      <c r="U31" s="15">
        <f t="shared" si="17"/>
        <v>1.8802600879980202E-2</v>
      </c>
      <c r="V31" s="15">
        <f t="shared" si="6"/>
        <v>-0.19941440462150206</v>
      </c>
      <c r="W31" s="13">
        <f>(1+V31)/(1+MAX(V$2:V31))-1</f>
        <v>-2.130117588961622E-2</v>
      </c>
      <c r="X31" s="19"/>
      <c r="Y31" s="20">
        <f t="shared" si="7"/>
        <v>-6.8500000000000019E-3</v>
      </c>
      <c r="Z31" s="15">
        <f t="shared" si="18"/>
        <v>0.51813462837811719</v>
      </c>
      <c r="AA31" s="15">
        <f t="shared" si="9"/>
        <v>-0.19635352232746361</v>
      </c>
      <c r="AB31" s="15">
        <f>(1+AA31)/(1+MAX(AA$2:AA31))-1</f>
        <v>-0.17824899045150699</v>
      </c>
      <c r="AC31" s="58">
        <f t="shared" si="10"/>
        <v>803.64647767253655</v>
      </c>
      <c r="AF31" s="62"/>
      <c r="AG31" s="62"/>
      <c r="AH31" s="62"/>
      <c r="AI31" s="62"/>
    </row>
    <row r="32" spans="1:35" s="61" customFormat="1" outlineLevel="1" x14ac:dyDescent="0.3">
      <c r="A32" s="61" t="s">
        <v>663</v>
      </c>
      <c r="B32" s="55" t="str">
        <f t="shared" si="0"/>
        <v>2020-7</v>
      </c>
      <c r="C32" s="11">
        <v>44013</v>
      </c>
      <c r="D32" s="18" t="s">
        <v>106</v>
      </c>
      <c r="E32" s="14">
        <v>0.2392</v>
      </c>
      <c r="F32" s="15">
        <f t="shared" si="15"/>
        <v>0.57421036136085535</v>
      </c>
      <c r="G32" s="15">
        <f t="shared" si="2"/>
        <v>-0.20008431721860154</v>
      </c>
      <c r="H32" s="13">
        <f>(1+G32)/(1+MAX(G$2:G32))-1</f>
        <v>0</v>
      </c>
      <c r="I32" s="18" t="s">
        <v>121</v>
      </c>
      <c r="J32" s="14">
        <v>0.52690000000000003</v>
      </c>
      <c r="K32" s="15">
        <f t="shared" si="16"/>
        <v>1.6662983760474801</v>
      </c>
      <c r="L32" s="15">
        <f t="shared" si="4"/>
        <v>-0.54318025104593048</v>
      </c>
      <c r="M32" s="13">
        <f>(1+L32)/(1+MAX(L$2:L32))-1</f>
        <v>-0.6908785025348021</v>
      </c>
      <c r="N32" s="18" t="s">
        <v>109</v>
      </c>
      <c r="O32" s="16">
        <v>0.28289999999999998</v>
      </c>
      <c r="P32" s="57" t="s">
        <v>120</v>
      </c>
      <c r="Q32" s="16">
        <v>0.1512</v>
      </c>
      <c r="R32" s="57" t="s">
        <v>104</v>
      </c>
      <c r="S32" s="16">
        <v>0.70120000000000005</v>
      </c>
      <c r="T32" s="14">
        <v>5.5704587443871301E-2</v>
      </c>
      <c r="U32" s="15">
        <f t="shared" si="17"/>
        <v>7.5554579448742665E-2</v>
      </c>
      <c r="V32" s="15">
        <f t="shared" si="6"/>
        <v>-0.15481811431743675</v>
      </c>
      <c r="W32" s="13">
        <f>(1+V32)/(1+MAX(V$2:V32))-1</f>
        <v>0</v>
      </c>
      <c r="X32" s="19"/>
      <c r="Y32" s="20">
        <f t="shared" si="7"/>
        <v>0.38120333333333334</v>
      </c>
      <c r="Z32" s="15">
        <f t="shared" si="18"/>
        <v>1.0968526091646167</v>
      </c>
      <c r="AA32" s="15">
        <f t="shared" si="9"/>
        <v>0.10999919378289946</v>
      </c>
      <c r="AB32" s="15">
        <f>(1+AA32)/(1+MAX(AA$2:AA32))-1</f>
        <v>0</v>
      </c>
      <c r="AC32" s="58">
        <f t="shared" si="10"/>
        <v>1109.9991937828997</v>
      </c>
      <c r="AF32" s="62"/>
      <c r="AG32" s="62"/>
      <c r="AH32" s="62"/>
      <c r="AI32" s="62"/>
    </row>
    <row r="33" spans="1:35" s="61" customFormat="1" outlineLevel="1" x14ac:dyDescent="0.3">
      <c r="A33" s="61" t="s">
        <v>663</v>
      </c>
      <c r="B33" s="55" t="str">
        <f t="shared" si="0"/>
        <v>2020-8</v>
      </c>
      <c r="C33" s="11">
        <v>44044</v>
      </c>
      <c r="D33" s="18" t="s">
        <v>106</v>
      </c>
      <c r="E33" s="14">
        <v>3.1600000000000003E-2</v>
      </c>
      <c r="F33" s="15">
        <f t="shared" si="15"/>
        <v>0.62395540877985844</v>
      </c>
      <c r="G33" s="15">
        <f t="shared" si="2"/>
        <v>-0.17480698164270925</v>
      </c>
      <c r="H33" s="13">
        <f>(1+G33)/(1+MAX(G$2:G33))-1</f>
        <v>0</v>
      </c>
      <c r="I33" s="18" t="s">
        <v>121</v>
      </c>
      <c r="J33" s="14">
        <v>0.2591</v>
      </c>
      <c r="K33" s="15">
        <f t="shared" si="16"/>
        <v>2.3571362852813826</v>
      </c>
      <c r="L33" s="15">
        <f t="shared" si="4"/>
        <v>-0.42481825409193097</v>
      </c>
      <c r="M33" s="13">
        <f>(1+L33)/(1+MAX(L$2:L33))-1</f>
        <v>-0.61078512254156925</v>
      </c>
      <c r="N33" s="18" t="s">
        <v>101</v>
      </c>
      <c r="O33" s="16">
        <v>-0.11609999999999999</v>
      </c>
      <c r="P33" s="57" t="s">
        <v>109</v>
      </c>
      <c r="Q33" s="16">
        <v>0.3886</v>
      </c>
      <c r="R33" s="57" t="s">
        <v>104</v>
      </c>
      <c r="S33" s="16">
        <v>1.0208999999999999</v>
      </c>
      <c r="T33" s="14">
        <v>7.2339007324433768E-2</v>
      </c>
      <c r="U33" s="15">
        <f t="shared" si="17"/>
        <v>0.15335913004931356</v>
      </c>
      <c r="V33" s="15">
        <f t="shared" si="6"/>
        <v>-9.367849569856701E-2</v>
      </c>
      <c r="W33" s="13">
        <f>(1+V33)/(1+MAX(V$2:V33))-1</f>
        <v>0</v>
      </c>
      <c r="X33" s="19"/>
      <c r="Y33" s="20">
        <f t="shared" si="7"/>
        <v>0.25966333333333336</v>
      </c>
      <c r="Z33" s="15">
        <f t="shared" si="18"/>
        <v>1.6413283471689981</v>
      </c>
      <c r="AA33" s="15">
        <f t="shared" si="9"/>
        <v>0.39822528443787975</v>
      </c>
      <c r="AB33" s="15">
        <f>(1+AA33)/(1+MAX(AA$2:AA33))-1</f>
        <v>0</v>
      </c>
      <c r="AC33" s="58">
        <f t="shared" si="10"/>
        <v>1398.2252844378802</v>
      </c>
      <c r="AF33" s="62"/>
      <c r="AG33" s="62"/>
      <c r="AH33" s="62"/>
      <c r="AI33" s="62"/>
    </row>
    <row r="34" spans="1:35" s="61" customFormat="1" outlineLevel="1" x14ac:dyDescent="0.3">
      <c r="A34" s="61" t="s">
        <v>663</v>
      </c>
      <c r="B34" s="55" t="str">
        <f t="shared" si="0"/>
        <v>2020-9</v>
      </c>
      <c r="C34" s="11">
        <v>44075</v>
      </c>
      <c r="D34" s="18" t="s">
        <v>106</v>
      </c>
      <c r="E34" s="14">
        <v>-7.6700000000000004E-2</v>
      </c>
      <c r="F34" s="15">
        <f t="shared" si="15"/>
        <v>0.49939802892644325</v>
      </c>
      <c r="G34" s="15">
        <f t="shared" si="2"/>
        <v>-0.23809928615071341</v>
      </c>
      <c r="H34" s="13">
        <f>(1+G34)/(1+MAX(G$2:G34))-1</f>
        <v>-7.669999999999999E-2</v>
      </c>
      <c r="I34" s="18" t="s">
        <v>121</v>
      </c>
      <c r="J34" s="14">
        <v>-0.17269999999999999</v>
      </c>
      <c r="K34" s="15">
        <f t="shared" si="16"/>
        <v>1.7773588488132881</v>
      </c>
      <c r="L34" s="15">
        <f t="shared" si="4"/>
        <v>-0.52415214161025447</v>
      </c>
      <c r="M34" s="13">
        <f>(1+L34)/(1+MAX(L$2:L34))-1</f>
        <v>-0.67800253187864024</v>
      </c>
      <c r="N34" s="18" t="s">
        <v>101</v>
      </c>
      <c r="O34" s="16">
        <v>-0.17630000000000001</v>
      </c>
      <c r="P34" s="57" t="s">
        <v>109</v>
      </c>
      <c r="Q34" s="16">
        <v>-4.1000000000000002E-2</v>
      </c>
      <c r="R34" s="57" t="s">
        <v>133</v>
      </c>
      <c r="S34" s="16">
        <v>-0.22389999999999999</v>
      </c>
      <c r="T34" s="14">
        <v>-3.7577987972273463E-2</v>
      </c>
      <c r="U34" s="15">
        <f t="shared" si="17"/>
        <v>0.11001821453260852</v>
      </c>
      <c r="V34" s="15">
        <f t="shared" si="6"/>
        <v>-0.12773623428621905</v>
      </c>
      <c r="W34" s="13">
        <f>(1+V34)/(1+MAX(V$2:V34))-1</f>
        <v>-3.7577987972273519E-2</v>
      </c>
      <c r="X34" s="19"/>
      <c r="Y34" s="20">
        <f t="shared" si="7"/>
        <v>-0.13364666666666666</v>
      </c>
      <c r="Z34" s="15">
        <f t="shared" si="18"/>
        <v>1.2883236179976851</v>
      </c>
      <c r="AA34" s="15">
        <f t="shared" si="9"/>
        <v>0.2113571359237052</v>
      </c>
      <c r="AB34" s="15">
        <f>(1+AA34)/(1+MAX(AA$2:AA34))-1</f>
        <v>-0.13364666666666669</v>
      </c>
      <c r="AC34" s="58">
        <f t="shared" si="10"/>
        <v>1211.3571359237055</v>
      </c>
      <c r="AF34" s="62"/>
    </row>
    <row r="35" spans="1:35" s="61" customFormat="1" outlineLevel="1" x14ac:dyDescent="0.3">
      <c r="A35" s="61" t="s">
        <v>663</v>
      </c>
      <c r="B35" s="55" t="str">
        <f t="shared" si="0"/>
        <v>2020-10</v>
      </c>
      <c r="C35" s="11">
        <v>44105</v>
      </c>
      <c r="D35" s="18" t="s">
        <v>106</v>
      </c>
      <c r="E35" s="14">
        <v>0.27789999999999998</v>
      </c>
      <c r="F35" s="15">
        <f t="shared" si="15"/>
        <v>0.91608074116510196</v>
      </c>
      <c r="G35" s="15">
        <f t="shared" si="2"/>
        <v>-2.636707777199665E-2</v>
      </c>
      <c r="H35" s="13">
        <f>(1+G35)/(1+MAX(G$2:G35))-1</f>
        <v>0</v>
      </c>
      <c r="I35" s="18" t="s">
        <v>121</v>
      </c>
      <c r="J35" s="14">
        <v>7.3999999999999996E-2</v>
      </c>
      <c r="K35" s="15">
        <f t="shared" si="16"/>
        <v>1.9828834036254714</v>
      </c>
      <c r="L35" s="15">
        <f t="shared" si="4"/>
        <v>-0.48893940008941328</v>
      </c>
      <c r="M35" s="13">
        <f>(1+L35)/(1+MAX(L$2:L35))-1</f>
        <v>-0.65417471923765957</v>
      </c>
      <c r="N35" s="18" t="s">
        <v>101</v>
      </c>
      <c r="O35" s="16">
        <v>-7.9200000000000007E-2</v>
      </c>
      <c r="P35" s="57" t="s">
        <v>109</v>
      </c>
      <c r="Q35" s="16">
        <v>0.40389999999999998</v>
      </c>
      <c r="R35" s="57" t="s">
        <v>104</v>
      </c>
      <c r="S35" s="16">
        <v>0.13900000000000001</v>
      </c>
      <c r="T35" s="14">
        <v>-3.8662755532805682E-2</v>
      </c>
      <c r="U35" s="15">
        <f t="shared" si="17"/>
        <v>6.7101851667172863E-2</v>
      </c>
      <c r="V35" s="15">
        <f t="shared" si="6"/>
        <v>-0.16146035502013545</v>
      </c>
      <c r="W35" s="13">
        <f>(1+V35)/(1+MAX(V$2:V35))-1</f>
        <v>-7.4787874942692456E-2</v>
      </c>
      <c r="X35" s="21"/>
      <c r="Y35" s="20">
        <f t="shared" si="7"/>
        <v>0.16739666666666664</v>
      </c>
      <c r="Z35" s="15">
        <f t="shared" si="18"/>
        <v>1.6713813639051041</v>
      </c>
      <c r="AA35" s="15">
        <f t="shared" si="9"/>
        <v>0.41413428262021368</v>
      </c>
      <c r="AB35" s="15">
        <f>(1+AA35)/(1+MAX(AA$2:AA35))-1</f>
        <v>0</v>
      </c>
      <c r="AC35" s="58">
        <f t="shared" si="10"/>
        <v>1414.134282620214</v>
      </c>
    </row>
    <row r="36" spans="1:35" s="61" customFormat="1" outlineLevel="1" x14ac:dyDescent="0.3">
      <c r="A36" s="61" t="s">
        <v>663</v>
      </c>
      <c r="B36" s="55" t="str">
        <f t="shared" si="0"/>
        <v>2020-11</v>
      </c>
      <c r="C36" s="11">
        <v>44136</v>
      </c>
      <c r="D36" s="18" t="s">
        <v>106</v>
      </c>
      <c r="E36" s="14">
        <v>0.42409999999999998</v>
      </c>
      <c r="F36" s="15">
        <f t="shared" si="15"/>
        <v>1.7286905834932216</v>
      </c>
      <c r="G36" s="15">
        <f t="shared" si="2"/>
        <v>0.3865506445448994</v>
      </c>
      <c r="H36" s="13">
        <f>(1+G36)/(1+MAX(G$2:G36))-1</f>
        <v>0</v>
      </c>
      <c r="I36" s="18" t="s">
        <v>121</v>
      </c>
      <c r="J36" s="14">
        <v>0.59040000000000004</v>
      </c>
      <c r="K36" s="15">
        <f t="shared" si="16"/>
        <v>3.7439777651259503</v>
      </c>
      <c r="L36" s="15">
        <f t="shared" si="4"/>
        <v>-0.1872092219022029</v>
      </c>
      <c r="M36" s="13">
        <f>(1+L36)/(1+MAX(L$2:L36))-1</f>
        <v>-0.44999947347557379</v>
      </c>
      <c r="N36" s="18" t="s">
        <v>110</v>
      </c>
      <c r="O36" s="16">
        <v>0.14610000000000001</v>
      </c>
      <c r="P36" s="57" t="s">
        <v>109</v>
      </c>
      <c r="Q36" s="16">
        <v>-2.4899999999999999E-2</v>
      </c>
      <c r="R36" s="57" t="s">
        <v>135</v>
      </c>
      <c r="S36" s="16">
        <v>0.27660000000000001</v>
      </c>
      <c r="T36" s="14">
        <v>0.10689425176771949</v>
      </c>
      <c r="U36" s="15">
        <f t="shared" si="17"/>
        <v>0.18116890566108346</v>
      </c>
      <c r="V36" s="15">
        <f t="shared" si="6"/>
        <v>-7.1825287092443624E-2</v>
      </c>
      <c r="W36" s="13">
        <f>(1+V36)/(1+MAX(V$2:V36))-1</f>
        <v>0</v>
      </c>
      <c r="X36" s="21"/>
      <c r="Y36" s="20">
        <f t="shared" si="7"/>
        <v>0.35739000000000004</v>
      </c>
      <c r="Z36" s="15">
        <f t="shared" si="18"/>
        <v>2.6261063495511494</v>
      </c>
      <c r="AA36" s="15">
        <f t="shared" si="9"/>
        <v>0.91953173388585197</v>
      </c>
      <c r="AB36" s="15">
        <f>(1+AA36)/(1+MAX(AA$2:AA36))-1</f>
        <v>0</v>
      </c>
      <c r="AC36" s="58">
        <f t="shared" si="10"/>
        <v>1919.5317338858524</v>
      </c>
    </row>
    <row r="37" spans="1:35" s="27" customFormat="1" ht="15" thickBot="1" x14ac:dyDescent="0.35">
      <c r="A37" s="27" t="s">
        <v>663</v>
      </c>
      <c r="B37" s="63" t="str">
        <f t="shared" si="0"/>
        <v>2020-12</v>
      </c>
      <c r="C37" s="22">
        <v>44166</v>
      </c>
      <c r="D37" s="29" t="s">
        <v>106</v>
      </c>
      <c r="E37" s="24">
        <v>0.47770000000000001</v>
      </c>
      <c r="F37" s="25">
        <f t="shared" si="15"/>
        <v>3.0321860752279335</v>
      </c>
      <c r="G37" s="25">
        <f t="shared" si="2"/>
        <v>1.0489058874439978</v>
      </c>
      <c r="H37" s="26">
        <f>(1+G37)/(1+MAX(G$2:G37))-1</f>
        <v>0</v>
      </c>
      <c r="I37" s="29" t="s">
        <v>121</v>
      </c>
      <c r="J37" s="24">
        <v>0.2</v>
      </c>
      <c r="K37" s="25">
        <f t="shared" si="16"/>
        <v>4.69277331815114</v>
      </c>
      <c r="L37" s="25">
        <f t="shared" si="4"/>
        <v>-2.4651066282643574E-2</v>
      </c>
      <c r="M37" s="26">
        <f>(1+L37)/(1+MAX(L$2:L37))-1</f>
        <v>-0.33999936817068854</v>
      </c>
      <c r="N37" s="29" t="s">
        <v>103</v>
      </c>
      <c r="O37" s="141">
        <v>0.1454</v>
      </c>
      <c r="P37" s="142" t="s">
        <v>109</v>
      </c>
      <c r="Q37" s="141">
        <v>-0.1981</v>
      </c>
      <c r="R37" s="142" t="s">
        <v>104</v>
      </c>
      <c r="S37" s="141">
        <v>-0.2077</v>
      </c>
      <c r="T37" s="24">
        <v>3.9847353382757467E-2</v>
      </c>
      <c r="U37" s="25">
        <f t="shared" si="17"/>
        <v>0.22823536044968562</v>
      </c>
      <c r="V37" s="25">
        <f t="shared" si="6"/>
        <v>-3.4839981306276746E-2</v>
      </c>
      <c r="W37" s="26">
        <f>(1+V37)/(1+MAX(V$2:V37))-1</f>
        <v>0</v>
      </c>
      <c r="X37" s="31"/>
      <c r="Y37" s="32">
        <f t="shared" si="7"/>
        <v>0.16858999999999999</v>
      </c>
      <c r="Z37" s="25">
        <f t="shared" si="18"/>
        <v>3.2374316190219776</v>
      </c>
      <c r="AA37" s="25">
        <f t="shared" si="9"/>
        <v>1.2431455889016676</v>
      </c>
      <c r="AB37" s="25">
        <f>(1+AA37)/(1+MAX(AA$2:AA37))-1</f>
        <v>0</v>
      </c>
      <c r="AC37" s="66">
        <f t="shared" si="10"/>
        <v>2243.1455889016684</v>
      </c>
    </row>
    <row r="38" spans="1:35" s="54" customFormat="1" outlineLevel="1" x14ac:dyDescent="0.3">
      <c r="A38" s="54" t="s">
        <v>663</v>
      </c>
      <c r="B38" s="48" t="str">
        <f t="shared" si="0"/>
        <v>2021-1</v>
      </c>
      <c r="C38" s="1">
        <v>44197</v>
      </c>
      <c r="D38" s="8" t="s">
        <v>106</v>
      </c>
      <c r="E38" s="4">
        <v>0.14180000000000001</v>
      </c>
      <c r="F38" s="5">
        <f>+E38</f>
        <v>0.14180000000000001</v>
      </c>
      <c r="G38" s="5">
        <f t="shared" si="2"/>
        <v>1.3394407422835566</v>
      </c>
      <c r="H38" s="3">
        <f>(1+G38)/(1+MAX(G$2:G38))-1</f>
        <v>0</v>
      </c>
      <c r="I38" s="8" t="s">
        <v>121</v>
      </c>
      <c r="J38" s="4">
        <v>0.7823</v>
      </c>
      <c r="K38" s="5">
        <f>+J38</f>
        <v>0.7823</v>
      </c>
      <c r="L38" s="5">
        <f t="shared" si="4"/>
        <v>0.73836440456444441</v>
      </c>
      <c r="M38" s="3">
        <f>(1+L38)/(1+MAX(L$2:L38))-1</f>
        <v>0</v>
      </c>
      <c r="N38" s="8" t="s">
        <v>103</v>
      </c>
      <c r="O38" s="6">
        <v>2.4281999999999999</v>
      </c>
      <c r="P38" s="50" t="s">
        <v>109</v>
      </c>
      <c r="Q38" s="6">
        <v>-8.5500000000000007E-2</v>
      </c>
      <c r="R38" s="50" t="s">
        <v>104</v>
      </c>
      <c r="S38" s="6">
        <v>1.0051000000000001</v>
      </c>
      <c r="T38" s="4">
        <v>-3.666392580459199E-4</v>
      </c>
      <c r="U38" s="5">
        <f>+T38</f>
        <v>-3.666392580459199E-4</v>
      </c>
      <c r="V38" s="5">
        <f t="shared" si="6"/>
        <v>-3.519384685942617E-2</v>
      </c>
      <c r="W38" s="3">
        <f>(1+V38)/(1+MAX(V$2:V38))-1</f>
        <v>-3.666392580459199E-4</v>
      </c>
      <c r="X38" s="9"/>
      <c r="Y38" s="10">
        <f t="shared" si="7"/>
        <v>0.72360333333333327</v>
      </c>
      <c r="Z38" s="5">
        <f>+Y38</f>
        <v>0.72360333333333327</v>
      </c>
      <c r="AA38" s="5">
        <f t="shared" si="9"/>
        <v>2.866293214182877</v>
      </c>
      <c r="AB38" s="5">
        <f>(1+AA38)/(1+MAX(AA$2:AA38))-1</f>
        <v>0</v>
      </c>
      <c r="AC38" s="51">
        <f t="shared" si="10"/>
        <v>3866.2932141828783</v>
      </c>
    </row>
    <row r="39" spans="1:35" s="61" customFormat="1" outlineLevel="1" x14ac:dyDescent="0.3">
      <c r="A39" s="61" t="s">
        <v>663</v>
      </c>
      <c r="B39" s="55" t="str">
        <f t="shared" si="0"/>
        <v>2021-2</v>
      </c>
      <c r="C39" s="11">
        <v>44228</v>
      </c>
      <c r="D39" s="18" t="s">
        <v>106</v>
      </c>
      <c r="E39" s="14">
        <v>0.36309999999999998</v>
      </c>
      <c r="F39" s="15">
        <f t="shared" ref="F39:F49" si="19">+(1+E39)*(1+F38)-1</f>
        <v>0.55638757999999977</v>
      </c>
      <c r="G39" s="15">
        <f t="shared" si="2"/>
        <v>2.1888916758067158</v>
      </c>
      <c r="H39" s="13">
        <f>(1+G39)/(1+MAX(G$2:G39))-1</f>
        <v>0</v>
      </c>
      <c r="I39" s="18" t="s">
        <v>121</v>
      </c>
      <c r="J39" s="14">
        <v>7.6899999999999996E-2</v>
      </c>
      <c r="K39" s="15">
        <f t="shared" ref="K39:K49" si="20">+(1+J39)*(1+K38)-1</f>
        <v>0.91935886999999994</v>
      </c>
      <c r="L39" s="15">
        <f t="shared" si="4"/>
        <v>0.87204462727545007</v>
      </c>
      <c r="M39" s="13">
        <f>(1+L39)/(1+MAX(L$2:L39))-1</f>
        <v>0</v>
      </c>
      <c r="N39" s="18" t="s">
        <v>103</v>
      </c>
      <c r="O39" s="16">
        <v>0.14929999999999999</v>
      </c>
      <c r="P39" s="57" t="s">
        <v>106</v>
      </c>
      <c r="Q39" s="16">
        <v>0.36309999999999998</v>
      </c>
      <c r="R39" s="57" t="s">
        <v>134</v>
      </c>
      <c r="S39" s="16">
        <v>0.36890000000000001</v>
      </c>
      <c r="T39" s="14">
        <v>4.1713105201130474E-3</v>
      </c>
      <c r="U39" s="15">
        <f t="shared" ref="U39:U49" si="21">+(1+T39)*(1+U38)-1</f>
        <v>3.8031418958730523E-3</v>
      </c>
      <c r="V39" s="15">
        <f t="shared" si="6"/>
        <v>-3.1169340802961076E-2</v>
      </c>
      <c r="W39" s="13">
        <f>(1+V39)/(1+MAX(V$2:V39))-1</f>
        <v>0</v>
      </c>
      <c r="X39" s="19"/>
      <c r="Y39" s="20">
        <f t="shared" si="7"/>
        <v>0.24950666666666665</v>
      </c>
      <c r="Z39" s="15">
        <f t="shared" ref="Z39:Z49" si="22">+(1+Y39)*(1+Z38)-1</f>
        <v>1.1536538556888885</v>
      </c>
      <c r="AA39" s="15">
        <f t="shared" si="9"/>
        <v>3.8309591464095991</v>
      </c>
      <c r="AB39" s="15">
        <f>(1+AA39)/(1+MAX(AA$2:AA39))-1</f>
        <v>0</v>
      </c>
      <c r="AC39" s="58">
        <f t="shared" si="10"/>
        <v>4830.9591464096002</v>
      </c>
    </row>
    <row r="40" spans="1:35" s="61" customFormat="1" outlineLevel="1" x14ac:dyDescent="0.3">
      <c r="A40" s="61" t="s">
        <v>663</v>
      </c>
      <c r="B40" s="55" t="str">
        <f t="shared" si="0"/>
        <v>2021-3</v>
      </c>
      <c r="C40" s="11">
        <v>44256</v>
      </c>
      <c r="D40" s="18" t="s">
        <v>106</v>
      </c>
      <c r="E40" s="14">
        <v>0.30530000000000002</v>
      </c>
      <c r="F40" s="15">
        <f t="shared" si="19"/>
        <v>1.0315527081739995</v>
      </c>
      <c r="G40" s="15">
        <f t="shared" si="2"/>
        <v>3.162460304430506</v>
      </c>
      <c r="H40" s="13">
        <f>(1+G40)/(1+MAX(G$2:G40))-1</f>
        <v>0</v>
      </c>
      <c r="I40" s="18" t="s">
        <v>121</v>
      </c>
      <c r="J40" s="14">
        <v>0.35470000000000002</v>
      </c>
      <c r="K40" s="15">
        <f t="shared" si="20"/>
        <v>1.6001554611889999</v>
      </c>
      <c r="L40" s="15">
        <f t="shared" si="4"/>
        <v>1.5360588565700524</v>
      </c>
      <c r="M40" s="13">
        <f>(1+L40)/(1+MAX(L$2:L40))-1</f>
        <v>0</v>
      </c>
      <c r="N40" s="18" t="s">
        <v>103</v>
      </c>
      <c r="O40" s="16">
        <v>9.3200000000000005E-2</v>
      </c>
      <c r="P40" s="57" t="s">
        <v>111</v>
      </c>
      <c r="Q40" s="16">
        <v>0.1166</v>
      </c>
      <c r="R40" s="57" t="s">
        <v>136</v>
      </c>
      <c r="S40" s="16">
        <v>0.26119999999999999</v>
      </c>
      <c r="T40" s="14">
        <v>3.1482503533235451E-2</v>
      </c>
      <c r="U40" s="15">
        <f t="shared" si="21"/>
        <v>3.5405377857282927E-2</v>
      </c>
      <c r="V40" s="15">
        <f t="shared" si="6"/>
        <v>-6.6812615168332368E-4</v>
      </c>
      <c r="W40" s="13">
        <f>(1+V40)/(1+MAX(V$2:V40))-1</f>
        <v>0</v>
      </c>
      <c r="X40" s="19"/>
      <c r="Y40" s="20">
        <f t="shared" si="7"/>
        <v>0.26080000000000003</v>
      </c>
      <c r="Z40" s="15">
        <f t="shared" si="22"/>
        <v>1.7153267812525508</v>
      </c>
      <c r="AA40" s="15">
        <f t="shared" si="9"/>
        <v>5.0908732917932236</v>
      </c>
      <c r="AB40" s="15">
        <f>(1+AA40)/(1+MAX(AA$2:AA40))-1</f>
        <v>0</v>
      </c>
      <c r="AC40" s="58">
        <f t="shared" si="10"/>
        <v>6090.8732917932248</v>
      </c>
    </row>
    <row r="41" spans="1:35" s="61" customFormat="1" outlineLevel="1" x14ac:dyDescent="0.3">
      <c r="A41" s="61" t="s">
        <v>663</v>
      </c>
      <c r="B41" s="55" t="str">
        <f t="shared" si="0"/>
        <v>2021-4</v>
      </c>
      <c r="C41" s="11">
        <v>44287</v>
      </c>
      <c r="D41" s="18" t="s">
        <v>106</v>
      </c>
      <c r="E41" s="14">
        <v>-1.9800000000000002E-2</v>
      </c>
      <c r="F41" s="15">
        <f t="shared" si="19"/>
        <v>0.99132796455215422</v>
      </c>
      <c r="G41" s="15">
        <f t="shared" si="2"/>
        <v>3.0800435904027816</v>
      </c>
      <c r="H41" s="13">
        <f>(1+G41)/(1+MAX(G$2:G41))-1</f>
        <v>-1.980000000000004E-2</v>
      </c>
      <c r="I41" s="18" t="s">
        <v>121</v>
      </c>
      <c r="J41" s="14">
        <v>0.4456</v>
      </c>
      <c r="K41" s="15">
        <f t="shared" si="20"/>
        <v>2.7587847346948182</v>
      </c>
      <c r="L41" s="15">
        <f t="shared" si="4"/>
        <v>2.6661266830576675</v>
      </c>
      <c r="M41" s="13">
        <f>(1+L41)/(1+MAX(L$2:L41))-1</f>
        <v>0</v>
      </c>
      <c r="N41" s="18" t="s">
        <v>103</v>
      </c>
      <c r="O41" s="16">
        <v>0.17960000000000001</v>
      </c>
      <c r="P41" s="57" t="s">
        <v>101</v>
      </c>
      <c r="Q41" s="16">
        <v>0.13339999999999999</v>
      </c>
      <c r="R41" s="57" t="s">
        <v>111</v>
      </c>
      <c r="S41" s="16">
        <v>5.2911000000000001</v>
      </c>
      <c r="T41" s="14">
        <v>5.821763885621678E-2</v>
      </c>
      <c r="U41" s="15">
        <f t="shared" si="21"/>
        <v>9.5684234215162922E-2</v>
      </c>
      <c r="V41" s="15">
        <f t="shared" si="6"/>
        <v>5.7510615977524271E-2</v>
      </c>
      <c r="W41" s="13">
        <f>(1+V41)/(1+MAX(V$2:V41))-1</f>
        <v>0</v>
      </c>
      <c r="X41" s="19"/>
      <c r="Y41" s="20">
        <f t="shared" si="7"/>
        <v>0.87495333333333325</v>
      </c>
      <c r="Z41" s="15">
        <f t="shared" si="22"/>
        <v>4.0911109995987411</v>
      </c>
      <c r="AA41" s="15">
        <f t="shared" si="9"/>
        <v>10.420103181358677</v>
      </c>
      <c r="AB41" s="15">
        <f>(1+AA41)/(1+MAX(AA$2:AA41))-1</f>
        <v>0</v>
      </c>
      <c r="AC41" s="58">
        <f t="shared" si="10"/>
        <v>11420.10318135868</v>
      </c>
    </row>
    <row r="42" spans="1:35" s="61" customFormat="1" outlineLevel="1" x14ac:dyDescent="0.3">
      <c r="A42" s="61" t="s">
        <v>663</v>
      </c>
      <c r="B42" s="55" t="str">
        <f t="shared" si="0"/>
        <v>2021-5</v>
      </c>
      <c r="C42" s="11">
        <v>44317</v>
      </c>
      <c r="D42" s="18" t="s">
        <v>106</v>
      </c>
      <c r="E42" s="14">
        <v>-0.35349999999999998</v>
      </c>
      <c r="F42" s="15">
        <f t="shared" si="19"/>
        <v>0.28739352908296789</v>
      </c>
      <c r="G42" s="15">
        <f t="shared" si="2"/>
        <v>1.6377481811953984</v>
      </c>
      <c r="H42" s="13">
        <f>(1+G42)/(1+MAX(G$2:G42))-1</f>
        <v>-0.36630070000000003</v>
      </c>
      <c r="I42" s="18" t="s">
        <v>121</v>
      </c>
      <c r="J42" s="14">
        <v>-2.1000000000000001E-2</v>
      </c>
      <c r="K42" s="15">
        <f t="shared" si="20"/>
        <v>2.6798502552662269</v>
      </c>
      <c r="L42" s="15">
        <f t="shared" si="4"/>
        <v>2.5891380227134566</v>
      </c>
      <c r="M42" s="13">
        <f>(1+L42)/(1+MAX(L$2:L42))-1</f>
        <v>-2.1000000000000019E-2</v>
      </c>
      <c r="N42" s="18" t="s">
        <v>103</v>
      </c>
      <c r="O42" s="16">
        <v>-0.1386</v>
      </c>
      <c r="P42" s="57" t="s">
        <v>101</v>
      </c>
      <c r="Q42" s="16">
        <v>0.28860000000000002</v>
      </c>
      <c r="R42" s="57" t="s">
        <v>111</v>
      </c>
      <c r="S42" s="16">
        <v>-3.4799999999999998E-2</v>
      </c>
      <c r="T42" s="14">
        <v>5.2403762986217739E-2</v>
      </c>
      <c r="U42" s="15">
        <f t="shared" si="21"/>
        <v>0.15310221113270983</v>
      </c>
      <c r="V42" s="15">
        <f t="shared" si="6"/>
        <v>0.11292815165261949</v>
      </c>
      <c r="W42" s="13">
        <f>(1+V42)/(1+MAX(V$2:V42))-1</f>
        <v>0</v>
      </c>
      <c r="X42" s="19"/>
      <c r="Y42" s="20">
        <f t="shared" si="7"/>
        <v>-9.6989999999999993E-2</v>
      </c>
      <c r="Z42" s="15">
        <f t="shared" si="22"/>
        <v>3.5973241437476595</v>
      </c>
      <c r="AA42" s="15">
        <f t="shared" si="9"/>
        <v>9.3124673737986985</v>
      </c>
      <c r="AB42" s="15">
        <f>(1+AA42)/(1+MAX(AA$2:AA42))-1</f>
        <v>-9.6990000000000021E-2</v>
      </c>
      <c r="AC42" s="58">
        <f t="shared" si="10"/>
        <v>10312.467373798701</v>
      </c>
      <c r="AF42" s="62"/>
      <c r="AG42" s="62"/>
      <c r="AH42" s="62"/>
      <c r="AI42" s="62"/>
    </row>
    <row r="43" spans="1:35" s="61" customFormat="1" outlineLevel="1" x14ac:dyDescent="0.3">
      <c r="A43" s="61" t="s">
        <v>663</v>
      </c>
      <c r="B43" s="55" t="str">
        <f t="shared" si="0"/>
        <v>2021-6</v>
      </c>
      <c r="C43" s="11">
        <v>44348</v>
      </c>
      <c r="D43" s="18" t="s">
        <v>106</v>
      </c>
      <c r="E43" s="14">
        <v>-6.1400000000000003E-2</v>
      </c>
      <c r="F43" s="15">
        <f t="shared" si="19"/>
        <v>0.20834756639727359</v>
      </c>
      <c r="G43" s="15">
        <f t="shared" si="2"/>
        <v>1.4757904428700011</v>
      </c>
      <c r="H43" s="13">
        <f>(1+G43)/(1+MAX(G$2:G43))-1</f>
        <v>-0.40520983702000002</v>
      </c>
      <c r="I43" s="18" t="s">
        <v>121</v>
      </c>
      <c r="J43" s="14">
        <v>-0.16220000000000001</v>
      </c>
      <c r="K43" s="15">
        <f t="shared" si="20"/>
        <v>2.082978543862045</v>
      </c>
      <c r="L43" s="15">
        <f t="shared" si="4"/>
        <v>2.006979835429334</v>
      </c>
      <c r="M43" s="13">
        <f>(1+L43)/(1+MAX(L$2:L43))-1</f>
        <v>-0.1797938</v>
      </c>
      <c r="N43" s="18" t="s">
        <v>103</v>
      </c>
      <c r="O43" s="16">
        <v>-0.34639999999999999</v>
      </c>
      <c r="P43" s="57" t="s">
        <v>102</v>
      </c>
      <c r="Q43" s="16">
        <v>-0.14399999999999999</v>
      </c>
      <c r="R43" s="57" t="s">
        <v>111</v>
      </c>
      <c r="S43" s="16">
        <v>-0.21970000000000001</v>
      </c>
      <c r="T43" s="14">
        <v>5.9726668377803596E-3</v>
      </c>
      <c r="U43" s="15">
        <f t="shared" si="21"/>
        <v>0.15998930646971354</v>
      </c>
      <c r="V43" s="15">
        <f t="shared" si="6"/>
        <v>0.11957530071682743</v>
      </c>
      <c r="W43" s="13">
        <f>(1+V43)/(1+MAX(V$2:V43))-1</f>
        <v>0</v>
      </c>
      <c r="X43" s="19"/>
      <c r="Y43" s="20">
        <f t="shared" si="7"/>
        <v>-0.16176000000000001</v>
      </c>
      <c r="Z43" s="15">
        <f t="shared" si="22"/>
        <v>2.8536609902550381</v>
      </c>
      <c r="AA43" s="15">
        <f t="shared" si="9"/>
        <v>7.6443226514130203</v>
      </c>
      <c r="AB43" s="15">
        <f>(1+AA43)/(1+MAX(AA$2:AA43))-1</f>
        <v>-0.24306089760000005</v>
      </c>
      <c r="AC43" s="58">
        <f t="shared" si="10"/>
        <v>8644.3226514130238</v>
      </c>
      <c r="AF43" s="62"/>
      <c r="AG43" s="62"/>
      <c r="AH43" s="62"/>
      <c r="AI43" s="62"/>
    </row>
    <row r="44" spans="1:35" s="61" customFormat="1" outlineLevel="1" x14ac:dyDescent="0.3">
      <c r="A44" s="61" t="s">
        <v>663</v>
      </c>
      <c r="B44" s="55" t="str">
        <f t="shared" si="0"/>
        <v>2021-7</v>
      </c>
      <c r="C44" s="11">
        <v>44378</v>
      </c>
      <c r="D44" s="18" t="s">
        <v>106</v>
      </c>
      <c r="E44" s="14">
        <v>0.18790000000000001</v>
      </c>
      <c r="F44" s="15">
        <f t="shared" si="19"/>
        <v>0.43539607412332115</v>
      </c>
      <c r="G44" s="15">
        <f t="shared" si="2"/>
        <v>1.9409914670852739</v>
      </c>
      <c r="H44" s="13">
        <f>(1+G44)/(1+MAX(G$2:G44))-1</f>
        <v>-0.29344876539605813</v>
      </c>
      <c r="I44" s="18" t="s">
        <v>121</v>
      </c>
      <c r="J44" s="14">
        <v>0.115</v>
      </c>
      <c r="K44" s="15">
        <f t="shared" si="20"/>
        <v>2.4375210764061799</v>
      </c>
      <c r="L44" s="15">
        <f t="shared" si="4"/>
        <v>2.3527825165037073</v>
      </c>
      <c r="M44" s="13">
        <f>(1+L44)/(1+MAX(L$2:L44))-1</f>
        <v>-8.5470087000000028E-2</v>
      </c>
      <c r="N44" s="18" t="s">
        <v>102</v>
      </c>
      <c r="O44" s="16">
        <v>9.9699999999999997E-2</v>
      </c>
      <c r="P44" s="57" t="s">
        <v>111</v>
      </c>
      <c r="Q44" s="16">
        <v>-0.18060000000000001</v>
      </c>
      <c r="R44" s="57" t="s">
        <v>135</v>
      </c>
      <c r="S44" s="16">
        <v>3.5700000000000003E-2</v>
      </c>
      <c r="T44" s="14">
        <v>-4.3898225658134837E-2</v>
      </c>
      <c r="U44" s="15">
        <f t="shared" si="21"/>
        <v>0.10906783413328269</v>
      </c>
      <c r="V44" s="15">
        <f t="shared" si="6"/>
        <v>7.0427931524686072E-2</v>
      </c>
      <c r="W44" s="13">
        <f>(1+V44)/(1+MAX(V$2:V44))-1</f>
        <v>-4.3898225658134726E-2</v>
      </c>
      <c r="X44" s="19"/>
      <c r="Y44" s="20">
        <f t="shared" si="7"/>
        <v>8.484333333333334E-2</v>
      </c>
      <c r="Z44" s="15">
        <f t="shared" si="22"/>
        <v>3.1806184342049102</v>
      </c>
      <c r="AA44" s="15">
        <f t="shared" si="9"/>
        <v>8.3777357995677395</v>
      </c>
      <c r="AB44" s="15">
        <f>(1+AA44)/(1+MAX(AA$2:AA44))-1</f>
        <v>-0.17883966102204274</v>
      </c>
      <c r="AC44" s="58">
        <f t="shared" si="10"/>
        <v>9377.735799567743</v>
      </c>
      <c r="AF44" s="62"/>
      <c r="AG44" s="62"/>
      <c r="AH44" s="62"/>
      <c r="AI44" s="62"/>
    </row>
    <row r="45" spans="1:35" s="61" customFormat="1" outlineLevel="1" x14ac:dyDescent="0.3">
      <c r="A45" s="61" t="s">
        <v>663</v>
      </c>
      <c r="B45" s="55" t="str">
        <f t="shared" si="0"/>
        <v>2021-8</v>
      </c>
      <c r="C45" s="11">
        <v>44409</v>
      </c>
      <c r="D45" s="18" t="s">
        <v>106</v>
      </c>
      <c r="E45" s="14">
        <v>0.1331</v>
      </c>
      <c r="F45" s="15">
        <f t="shared" si="19"/>
        <v>0.62644729158913526</v>
      </c>
      <c r="G45" s="15">
        <f t="shared" si="2"/>
        <v>2.3324374313543239</v>
      </c>
      <c r="H45" s="13">
        <f>(1+G45)/(1+MAX(G$2:G45))-1</f>
        <v>-0.19940679607027345</v>
      </c>
      <c r="I45" s="18" t="s">
        <v>121</v>
      </c>
      <c r="J45" s="14">
        <v>0.35389999999999999</v>
      </c>
      <c r="K45" s="15">
        <f t="shared" si="20"/>
        <v>3.6540597853463268</v>
      </c>
      <c r="L45" s="15">
        <f t="shared" si="4"/>
        <v>3.5393322490943691</v>
      </c>
      <c r="M45" s="13">
        <f>(1+L45)/(1+MAX(L$2:L45))-1</f>
        <v>0</v>
      </c>
      <c r="N45" s="18" t="s">
        <v>111</v>
      </c>
      <c r="O45" s="16">
        <v>0.3367</v>
      </c>
      <c r="P45" s="57" t="s">
        <v>108</v>
      </c>
      <c r="Q45" s="16">
        <v>0.24340000000000001</v>
      </c>
      <c r="R45" s="57" t="s">
        <v>135</v>
      </c>
      <c r="S45" s="16">
        <v>1.9457</v>
      </c>
      <c r="T45" s="14">
        <v>1.5717117043489159E-2</v>
      </c>
      <c r="U45" s="15">
        <f t="shared" si="21"/>
        <v>0.12649918309152453</v>
      </c>
      <c r="V45" s="15">
        <f t="shared" si="6"/>
        <v>8.725197261107942E-2</v>
      </c>
      <c r="W45" s="13">
        <f>(1+V45)/(1+MAX(V$2:V45))-1</f>
        <v>-2.8871062165316097E-2</v>
      </c>
      <c r="X45" s="19"/>
      <c r="Y45" s="20">
        <f t="shared" si="7"/>
        <v>0.48287333333333338</v>
      </c>
      <c r="Z45" s="15">
        <f t="shared" si="22"/>
        <v>5.1993275929242166</v>
      </c>
      <c r="AA45" s="15">
        <f t="shared" si="9"/>
        <v>12.905994344224347</v>
      </c>
      <c r="AB45" s="15">
        <f>(1+AA45)/(1+MAX(AA$2:AA45))-1</f>
        <v>0</v>
      </c>
      <c r="AC45" s="58">
        <f t="shared" si="10"/>
        <v>13905.994344224353</v>
      </c>
      <c r="AF45" s="62"/>
      <c r="AG45" s="62"/>
      <c r="AH45" s="62"/>
      <c r="AI45" s="62"/>
    </row>
    <row r="46" spans="1:35" s="61" customFormat="1" outlineLevel="1" x14ac:dyDescent="0.3">
      <c r="A46" s="61" t="s">
        <v>663</v>
      </c>
      <c r="B46" s="55" t="str">
        <f t="shared" si="0"/>
        <v>2021-9</v>
      </c>
      <c r="C46" s="11">
        <v>44440</v>
      </c>
      <c r="D46" s="18" t="s">
        <v>106</v>
      </c>
      <c r="E46" s="14">
        <v>-7.1599999999999997E-2</v>
      </c>
      <c r="F46" s="15">
        <f t="shared" si="19"/>
        <v>0.50999366551135328</v>
      </c>
      <c r="G46" s="15">
        <f t="shared" si="2"/>
        <v>2.0938349112693544</v>
      </c>
      <c r="H46" s="13">
        <f>(1+G46)/(1+MAX(G$2:G46))-1</f>
        <v>-0.25672926947164176</v>
      </c>
      <c r="I46" s="18" t="s">
        <v>121</v>
      </c>
      <c r="J46" s="14">
        <v>-0.1258</v>
      </c>
      <c r="K46" s="15">
        <f t="shared" si="20"/>
        <v>3.068579064349759</v>
      </c>
      <c r="L46" s="15">
        <f t="shared" si="4"/>
        <v>2.9682842521582975</v>
      </c>
      <c r="M46" s="13">
        <f>(1+L46)/(1+MAX(L$2:L46))-1</f>
        <v>-0.12580000000000002</v>
      </c>
      <c r="N46" s="18" t="s">
        <v>111</v>
      </c>
      <c r="O46" s="16">
        <v>-0.26650000000000001</v>
      </c>
      <c r="P46" s="57" t="s">
        <v>108</v>
      </c>
      <c r="Q46" s="16">
        <v>-0.26519999999999999</v>
      </c>
      <c r="R46" s="57" t="s">
        <v>135</v>
      </c>
      <c r="S46" s="16">
        <v>0.3004</v>
      </c>
      <c r="T46" s="14">
        <v>3.5444875190867253E-2</v>
      </c>
      <c r="U46" s="15">
        <f t="shared" si="21"/>
        <v>0.16642780603881757</v>
      </c>
      <c r="V46" s="15">
        <f t="shared" si="6"/>
        <v>0.12578948308130355</v>
      </c>
      <c r="W46" s="13">
        <f>(1+V46)/(1+MAX(V$2:V46))-1</f>
        <v>0</v>
      </c>
      <c r="X46" s="19"/>
      <c r="Y46" s="20">
        <f t="shared" si="7"/>
        <v>-9.0060000000000001E-2</v>
      </c>
      <c r="Z46" s="15">
        <f t="shared" si="22"/>
        <v>4.6410161499054619</v>
      </c>
      <c r="AA46" s="15">
        <f t="shared" si="9"/>
        <v>11.653620493583501</v>
      </c>
      <c r="AB46" s="15">
        <f>(1+AA46)/(1+MAX(AA$2:AA46))-1</f>
        <v>-9.0060000000000029E-2</v>
      </c>
      <c r="AC46" s="58">
        <f t="shared" si="10"/>
        <v>12653.620493583507</v>
      </c>
      <c r="AF46" s="62"/>
    </row>
    <row r="47" spans="1:35" s="61" customFormat="1" outlineLevel="1" x14ac:dyDescent="0.3">
      <c r="A47" s="61" t="s">
        <v>663</v>
      </c>
      <c r="B47" s="55" t="str">
        <f t="shared" si="0"/>
        <v>2021-10</v>
      </c>
      <c r="C47" s="11">
        <v>44470</v>
      </c>
      <c r="D47" s="18" t="s">
        <v>106</v>
      </c>
      <c r="E47" s="14">
        <v>0.40029999999999999</v>
      </c>
      <c r="F47" s="15">
        <f t="shared" si="19"/>
        <v>1.1144441298155483</v>
      </c>
      <c r="G47" s="15">
        <f t="shared" si="2"/>
        <v>3.332297026250477</v>
      </c>
      <c r="H47" s="13">
        <f>(1+G47)/(1+MAX(G$2:G47))-1</f>
        <v>0</v>
      </c>
      <c r="I47" s="18" t="s">
        <v>121</v>
      </c>
      <c r="J47" s="14">
        <v>0.42859999999999998</v>
      </c>
      <c r="K47" s="15">
        <f t="shared" si="20"/>
        <v>4.8123720513300654</v>
      </c>
      <c r="L47" s="15">
        <f t="shared" si="4"/>
        <v>4.669090882633343</v>
      </c>
      <c r="M47" s="13">
        <f>(1+L47)/(1+MAX(L$2:L47))-1</f>
        <v>0</v>
      </c>
      <c r="N47" s="18" t="s">
        <v>111</v>
      </c>
      <c r="O47" s="16">
        <v>0.37209999999999999</v>
      </c>
      <c r="P47" s="57" t="s">
        <v>108</v>
      </c>
      <c r="Q47" s="16">
        <v>0.15640000000000001</v>
      </c>
      <c r="R47" s="57" t="s">
        <v>135</v>
      </c>
      <c r="S47" s="16">
        <v>0.43490000000000001</v>
      </c>
      <c r="T47" s="14">
        <v>8.8012396887849786E-2</v>
      </c>
      <c r="U47" s="15">
        <f t="shared" si="21"/>
        <v>0.26908791304492974</v>
      </c>
      <c r="V47" s="15">
        <f t="shared" si="6"/>
        <v>0.22487291387842245</v>
      </c>
      <c r="W47" s="13">
        <f>(1+V47)/(1+MAX(V$2:V47))-1</f>
        <v>0</v>
      </c>
      <c r="X47" s="21"/>
      <c r="Y47" s="20">
        <f t="shared" si="7"/>
        <v>0.37712333333333337</v>
      </c>
      <c r="Z47" s="15">
        <f t="shared" si="22"/>
        <v>6.7683749637449768</v>
      </c>
      <c r="AA47" s="15">
        <f t="shared" si="9"/>
        <v>16.425596032858692</v>
      </c>
      <c r="AB47" s="15">
        <f>(1+AA47)/(1+MAX(AA$2:AA47))-1</f>
        <v>0</v>
      </c>
      <c r="AC47" s="58">
        <f t="shared" si="10"/>
        <v>17425.596032858699</v>
      </c>
    </row>
    <row r="48" spans="1:35" s="61" customFormat="1" outlineLevel="1" x14ac:dyDescent="0.3">
      <c r="A48" s="61" t="s">
        <v>663</v>
      </c>
      <c r="B48" s="55" t="str">
        <f t="shared" si="0"/>
        <v>2021-11</v>
      </c>
      <c r="C48" s="11">
        <v>44501</v>
      </c>
      <c r="D48" s="18" t="s">
        <v>106</v>
      </c>
      <c r="E48" s="14">
        <v>-7.0300000000000001E-2</v>
      </c>
      <c r="F48" s="15">
        <f t="shared" si="19"/>
        <v>0.96579870748951513</v>
      </c>
      <c r="G48" s="15">
        <f t="shared" si="2"/>
        <v>3.0277365453050686</v>
      </c>
      <c r="H48" s="13">
        <f>(1+G48)/(1+MAX(G$2:G48))-1</f>
        <v>-7.0299999999999918E-2</v>
      </c>
      <c r="I48" s="18" t="s">
        <v>121</v>
      </c>
      <c r="J48" s="14">
        <v>8.0100000000000005E-2</v>
      </c>
      <c r="K48" s="15">
        <f t="shared" si="20"/>
        <v>5.2779430526416036</v>
      </c>
      <c r="L48" s="15">
        <f t="shared" si="4"/>
        <v>5.1231850623322739</v>
      </c>
      <c r="M48" s="13">
        <f>(1+L48)/(1+MAX(L$2:L48))-1</f>
        <v>0</v>
      </c>
      <c r="N48" s="18" t="s">
        <v>111</v>
      </c>
      <c r="O48" s="16">
        <v>-0.23380000000000001</v>
      </c>
      <c r="P48" s="57" t="s">
        <v>108</v>
      </c>
      <c r="Q48" s="16">
        <v>-0.1095</v>
      </c>
      <c r="R48" s="57" t="s">
        <v>135</v>
      </c>
      <c r="S48" s="16">
        <v>3.09E-2</v>
      </c>
      <c r="T48" s="14">
        <v>-5.3620781262550272E-2</v>
      </c>
      <c r="U48" s="15">
        <f t="shared" si="21"/>
        <v>0.20103842765660107</v>
      </c>
      <c r="V48" s="15">
        <f t="shared" si="6"/>
        <v>0.15919427128892494</v>
      </c>
      <c r="W48" s="13">
        <f>(1+V48)/(1+MAX(V$2:V48))-1</f>
        <v>-5.3620781262550321E-2</v>
      </c>
      <c r="X48" s="21"/>
      <c r="Y48" s="20">
        <f t="shared" si="7"/>
        <v>-3.8713333333333343E-2</v>
      </c>
      <c r="Z48" s="15">
        <f t="shared" si="22"/>
        <v>6.4676352743151959</v>
      </c>
      <c r="AA48" s="15">
        <f t="shared" si="9"/>
        <v>15.750993125106621</v>
      </c>
      <c r="AB48" s="15">
        <f>(1+AA48)/(1+MAX(AA$2:AA48))-1</f>
        <v>-3.8713333333333377E-2</v>
      </c>
      <c r="AC48" s="58">
        <f t="shared" si="10"/>
        <v>16750.99312510663</v>
      </c>
    </row>
    <row r="49" spans="1:35" s="27" customFormat="1" ht="15" thickBot="1" x14ac:dyDescent="0.35">
      <c r="A49" s="27" t="s">
        <v>663</v>
      </c>
      <c r="B49" s="63" t="str">
        <f t="shared" si="0"/>
        <v>2021-12</v>
      </c>
      <c r="C49" s="22">
        <v>44531</v>
      </c>
      <c r="D49" s="29" t="s">
        <v>106</v>
      </c>
      <c r="E49" s="24">
        <v>-0.18770000000000001</v>
      </c>
      <c r="F49" s="25">
        <f t="shared" si="19"/>
        <v>0.59681829009373311</v>
      </c>
      <c r="G49" s="25">
        <f t="shared" si="2"/>
        <v>2.2717303957513075</v>
      </c>
      <c r="H49" s="26">
        <f>(1+G49)/(1+MAX(G$2:G49))-1</f>
        <v>-0.24480468999999994</v>
      </c>
      <c r="I49" s="29" t="s">
        <v>121</v>
      </c>
      <c r="J49" s="24">
        <v>-0.2049</v>
      </c>
      <c r="K49" s="25">
        <f t="shared" si="20"/>
        <v>3.9915925211553391</v>
      </c>
      <c r="L49" s="25">
        <f t="shared" si="4"/>
        <v>3.868544443060391</v>
      </c>
      <c r="M49" s="26">
        <f>(1+L49)/(1+MAX(L$2:L49))-1</f>
        <v>-0.20489999999999997</v>
      </c>
      <c r="N49" s="29" t="s">
        <v>112</v>
      </c>
      <c r="O49" s="141">
        <v>-9.1999999999999998E-2</v>
      </c>
      <c r="P49" s="142" t="s">
        <v>113</v>
      </c>
      <c r="Q49" s="141">
        <v>0.66679999999999995</v>
      </c>
      <c r="R49" s="142" t="s">
        <v>135</v>
      </c>
      <c r="S49" s="141">
        <v>-0.18390000000000001</v>
      </c>
      <c r="T49" s="24">
        <v>3.1738454993690657E-2</v>
      </c>
      <c r="U49" s="25">
        <f t="shared" si="21"/>
        <v>0.23915753173847287</v>
      </c>
      <c r="V49" s="25">
        <f t="shared" si="6"/>
        <v>0.19598530649717238</v>
      </c>
      <c r="W49" s="26">
        <f>(1+V49)/(1+MAX(V$2:V49))-1</f>
        <v>-2.3584167021687752E-2</v>
      </c>
      <c r="X49" s="31"/>
      <c r="Y49" s="32">
        <f t="shared" si="7"/>
        <v>-6.5659999999999996E-2</v>
      </c>
      <c r="Z49" s="25">
        <f t="shared" si="22"/>
        <v>5.9773103422036602</v>
      </c>
      <c r="AA49" s="25">
        <f t="shared" si="9"/>
        <v>14.65112291651212</v>
      </c>
      <c r="AB49" s="25">
        <f>(1+AA49)/(1+MAX(AA$2:AA49))-1</f>
        <v>-0.10183141586666677</v>
      </c>
      <c r="AC49" s="66">
        <f t="shared" si="10"/>
        <v>15651.122916512128</v>
      </c>
    </row>
    <row r="50" spans="1:35" s="54" customFormat="1" outlineLevel="1" x14ac:dyDescent="0.3">
      <c r="A50" s="54" t="s">
        <v>663</v>
      </c>
      <c r="B50" s="48" t="str">
        <f t="shared" si="0"/>
        <v>2022-1</v>
      </c>
      <c r="C50" s="1">
        <v>44562</v>
      </c>
      <c r="D50" s="8" t="s">
        <v>106</v>
      </c>
      <c r="E50" s="4">
        <v>-0.16889999999999999</v>
      </c>
      <c r="F50" s="5">
        <f>+E50</f>
        <v>-0.16889999999999999</v>
      </c>
      <c r="G50" s="5">
        <f t="shared" si="2"/>
        <v>1.7191351319089114</v>
      </c>
      <c r="H50" s="3">
        <f>(1+G50)/(1+MAX(G$2:G50))-1</f>
        <v>-0.37235717785900002</v>
      </c>
      <c r="I50" s="8" t="s">
        <v>121</v>
      </c>
      <c r="J50" s="4">
        <v>-0.27</v>
      </c>
      <c r="K50" s="5">
        <f>+J50</f>
        <v>-0.27</v>
      </c>
      <c r="L50" s="5">
        <f t="shared" si="4"/>
        <v>2.5540374434340856</v>
      </c>
      <c r="M50" s="3">
        <f>(1+L50)/(1+MAX(L$2:L50))-1</f>
        <v>-0.41957699999999998</v>
      </c>
      <c r="N50" s="8" t="s">
        <v>112</v>
      </c>
      <c r="O50" s="6">
        <v>-0.35949999999999999</v>
      </c>
      <c r="P50" s="50" t="s">
        <v>124</v>
      </c>
      <c r="Q50" s="6">
        <v>-0.36359999999999998</v>
      </c>
      <c r="R50" s="50" t="s">
        <v>135</v>
      </c>
      <c r="S50" s="6">
        <v>-0.4143</v>
      </c>
      <c r="T50" s="4">
        <v>9.4001879403669109E-2</v>
      </c>
      <c r="U50" s="5">
        <f>+T50</f>
        <v>9.4001879403669109E-2</v>
      </c>
      <c r="V50" s="5">
        <f t="shared" si="6"/>
        <v>0.30841017304707963</v>
      </c>
      <c r="W50" s="3">
        <f>(1+V50)/(1+MAX(V$2:V50))-1</f>
        <v>0</v>
      </c>
      <c r="X50" s="9"/>
      <c r="Y50" s="10">
        <f t="shared" si="7"/>
        <v>-0.28332333333333337</v>
      </c>
      <c r="Z50" s="5">
        <f>+Y50</f>
        <v>-0.28332333333333337</v>
      </c>
      <c r="AA50" s="5">
        <f t="shared" si="9"/>
        <v>10.216794601396185</v>
      </c>
      <c r="AB50" s="5">
        <f>(1+AA50)/(1+MAX(AA$2:AA50))-1</f>
        <v>-0.35630353301860318</v>
      </c>
      <c r="AC50" s="51">
        <f t="shared" si="10"/>
        <v>11216.79460139619</v>
      </c>
    </row>
    <row r="51" spans="1:35" s="61" customFormat="1" outlineLevel="1" x14ac:dyDescent="0.3">
      <c r="A51" s="61" t="s">
        <v>663</v>
      </c>
      <c r="B51" s="55" t="str">
        <f t="shared" si="0"/>
        <v>2022-2</v>
      </c>
      <c r="C51" s="11">
        <v>44593</v>
      </c>
      <c r="D51" s="18" t="s">
        <v>106</v>
      </c>
      <c r="E51" s="14">
        <v>0.12239999999999999</v>
      </c>
      <c r="F51" s="15">
        <f t="shared" ref="F51:F61" si="23">+(1+E51)*(1+F50)-1</f>
        <v>-6.717335999999996E-2</v>
      </c>
      <c r="G51" s="15">
        <f t="shared" si="2"/>
        <v>2.0519572720545622</v>
      </c>
      <c r="H51" s="13">
        <f>(1+G51)/(1+MAX(G$2:G51))-1</f>
        <v>-0.29553369642894156</v>
      </c>
      <c r="I51" s="18" t="s">
        <v>121</v>
      </c>
      <c r="J51" s="14">
        <v>8.5900000000000004E-2</v>
      </c>
      <c r="K51" s="15">
        <f t="shared" ref="K51:K61" si="24">+(1+J51)*(1+K50)-1</f>
        <v>-0.20729299999999995</v>
      </c>
      <c r="L51" s="15">
        <f t="shared" si="4"/>
        <v>2.8593292598250737</v>
      </c>
      <c r="M51" s="13">
        <f>(1+L51)/(1+MAX(L$2:L51))-1</f>
        <v>-0.36971866429999989</v>
      </c>
      <c r="N51" s="18" t="s">
        <v>112</v>
      </c>
      <c r="O51" s="16">
        <v>0.20499999999999999</v>
      </c>
      <c r="P51" s="57" t="s">
        <v>125</v>
      </c>
      <c r="Q51" s="16">
        <v>-0.23480000000000001</v>
      </c>
      <c r="R51" s="57" t="s">
        <v>124</v>
      </c>
      <c r="S51" s="16">
        <v>0.23810000000000001</v>
      </c>
      <c r="T51" s="14">
        <v>2.8433314794417019E-2</v>
      </c>
      <c r="U51" s="15">
        <f t="shared" ref="U51:U61" si="25">+(1+T51)*(1+U50)-1</f>
        <v>0.12510797922643735</v>
      </c>
      <c r="V51" s="15">
        <f t="shared" si="6"/>
        <v>0.34561261137754484</v>
      </c>
      <c r="W51" s="13">
        <f>(1+V51)/(1+MAX(V$2:V51))-1</f>
        <v>0</v>
      </c>
      <c r="X51" s="19"/>
      <c r="Y51" s="20">
        <f t="shared" si="7"/>
        <v>9.0263333333333334E-2</v>
      </c>
      <c r="Z51" s="15">
        <f t="shared" ref="Z51:Z61" si="26">+(1+Y51)*(1+Z50)-1</f>
        <v>-0.21863370847777774</v>
      </c>
      <c r="AA51" s="15">
        <f t="shared" si="9"/>
        <v>11.229259871433543</v>
      </c>
      <c r="AB51" s="15">
        <f>(1+AA51)/(1+MAX(AA$2:AA51))-1</f>
        <v>-0.29820134425397238</v>
      </c>
      <c r="AC51" s="58">
        <f t="shared" si="10"/>
        <v>12229.259871433549</v>
      </c>
    </row>
    <row r="52" spans="1:35" s="61" customFormat="1" outlineLevel="1" x14ac:dyDescent="0.3">
      <c r="A52" s="61" t="s">
        <v>663</v>
      </c>
      <c r="B52" s="55" t="str">
        <f t="shared" si="0"/>
        <v>2022-3</v>
      </c>
      <c r="C52" s="11">
        <v>44621</v>
      </c>
      <c r="D52" s="18" t="s">
        <v>106</v>
      </c>
      <c r="E52" s="14">
        <v>5.4300000000000001E-2</v>
      </c>
      <c r="F52" s="15">
        <f t="shared" si="23"/>
        <v>-1.6520873447999906E-2</v>
      </c>
      <c r="G52" s="15">
        <f t="shared" si="2"/>
        <v>2.2176785519271252</v>
      </c>
      <c r="H52" s="13">
        <f>(1+G52)/(1+MAX(G$2:G52))-1</f>
        <v>-0.2572811761450331</v>
      </c>
      <c r="I52" s="18" t="s">
        <v>121</v>
      </c>
      <c r="J52" s="14">
        <v>0.1242</v>
      </c>
      <c r="K52" s="15">
        <f t="shared" si="24"/>
        <v>-0.1088387905999999</v>
      </c>
      <c r="L52" s="15">
        <f t="shared" si="4"/>
        <v>3.338657953895348</v>
      </c>
      <c r="M52" s="13">
        <f>(1+L52)/(1+MAX(L$2:L52))-1</f>
        <v>-0.29143772240605992</v>
      </c>
      <c r="N52" s="18" t="s">
        <v>113</v>
      </c>
      <c r="O52" s="16">
        <v>0.36380000000000001</v>
      </c>
      <c r="P52" s="57" t="s">
        <v>125</v>
      </c>
      <c r="Q52" s="16">
        <v>9.2600000000000002E-2</v>
      </c>
      <c r="R52" s="57" t="s">
        <v>126</v>
      </c>
      <c r="S52" s="16">
        <v>-9.9400000000000002E-2</v>
      </c>
      <c r="T52" s="14">
        <v>6.3418076525683764E-2</v>
      </c>
      <c r="U52" s="15">
        <f t="shared" si="25"/>
        <v>0.196460163152677</v>
      </c>
      <c r="V52" s="15">
        <f t="shared" si="6"/>
        <v>0.4309487749398111</v>
      </c>
      <c r="W52" s="13">
        <f>(1+V52)/(1+MAX(V$2:V52))-1</f>
        <v>0</v>
      </c>
      <c r="X52" s="19"/>
      <c r="Y52" s="20">
        <f t="shared" si="7"/>
        <v>0.10115</v>
      </c>
      <c r="Z52" s="15">
        <f t="shared" si="26"/>
        <v>-0.13959850809030494</v>
      </c>
      <c r="AA52" s="15">
        <f t="shared" si="9"/>
        <v>12.466249507429048</v>
      </c>
      <c r="AB52" s="15">
        <f>(1+AA52)/(1+MAX(AA$2:AA52))-1</f>
        <v>-0.22721441022526156</v>
      </c>
      <c r="AC52" s="58">
        <f t="shared" si="10"/>
        <v>13466.249507429053</v>
      </c>
    </row>
    <row r="53" spans="1:35" s="61" customFormat="1" outlineLevel="1" x14ac:dyDescent="0.3">
      <c r="A53" s="61" t="s">
        <v>663</v>
      </c>
      <c r="B53" s="55" t="str">
        <f t="shared" si="0"/>
        <v>2022-4</v>
      </c>
      <c r="C53" s="11">
        <v>44652</v>
      </c>
      <c r="D53" s="18" t="s">
        <v>106</v>
      </c>
      <c r="E53" s="14">
        <v>-0.17180000000000001</v>
      </c>
      <c r="F53" s="15">
        <f t="shared" si="23"/>
        <v>-0.18548258738963352</v>
      </c>
      <c r="G53" s="15">
        <f t="shared" si="2"/>
        <v>1.6648813767060453</v>
      </c>
      <c r="H53" s="13">
        <f>(1+G53)/(1+MAX(G$2:G53))-1</f>
        <v>-0.38488027008331627</v>
      </c>
      <c r="I53" s="18" t="s">
        <v>121</v>
      </c>
      <c r="J53" s="14">
        <v>-0.16800000000000001</v>
      </c>
      <c r="K53" s="15">
        <f t="shared" si="24"/>
        <v>-0.25855387377919992</v>
      </c>
      <c r="L53" s="15">
        <f t="shared" si="4"/>
        <v>2.6097634176409295</v>
      </c>
      <c r="M53" s="13">
        <f>(1+L53)/(1+MAX(L$2:L53))-1</f>
        <v>-0.41047618504184191</v>
      </c>
      <c r="N53" s="18" t="s">
        <v>113</v>
      </c>
      <c r="O53" s="16">
        <v>-0.221</v>
      </c>
      <c r="P53" s="57" t="s">
        <v>125</v>
      </c>
      <c r="Q53" s="16">
        <v>-0.58550000000000002</v>
      </c>
      <c r="R53" s="57" t="s">
        <v>126</v>
      </c>
      <c r="S53" s="16">
        <v>4.7000000000000002E-3</v>
      </c>
      <c r="T53" s="14">
        <v>-5.8151034873458678E-2</v>
      </c>
      <c r="U53" s="15">
        <f t="shared" si="25"/>
        <v>0.12688476648048175</v>
      </c>
      <c r="V53" s="15">
        <f t="shared" si="6"/>
        <v>0.34773762282615328</v>
      </c>
      <c r="W53" s="13">
        <f>(1+V53)/(1+MAX(V$2:V53))-1</f>
        <v>-5.8151034873458629E-2</v>
      </c>
      <c r="X53" s="19"/>
      <c r="Y53" s="20">
        <f t="shared" si="7"/>
        <v>-0.20884666666666668</v>
      </c>
      <c r="Z53" s="15">
        <f t="shared" si="26"/>
        <v>-0.31929049167067169</v>
      </c>
      <c r="AA53" s="15">
        <f t="shared" si="9"/>
        <v>9.6538681853008494</v>
      </c>
      <c r="AB53" s="15">
        <f>(1+AA53)/(1+MAX(AA$2:AA53))-1</f>
        <v>-0.38860810469774976</v>
      </c>
      <c r="AC53" s="58">
        <f t="shared" si="10"/>
        <v>10653.868185300853</v>
      </c>
    </row>
    <row r="54" spans="1:35" s="61" customFormat="1" outlineLevel="1" x14ac:dyDescent="0.3">
      <c r="A54" s="61" t="s">
        <v>663</v>
      </c>
      <c r="B54" s="55" t="str">
        <f t="shared" si="0"/>
        <v>2022-5</v>
      </c>
      <c r="C54" s="11">
        <v>44682</v>
      </c>
      <c r="D54" s="18" t="s">
        <v>106</v>
      </c>
      <c r="E54" s="14">
        <v>-0.157</v>
      </c>
      <c r="F54" s="15">
        <f t="shared" si="23"/>
        <v>-0.3133618211694611</v>
      </c>
      <c r="G54" s="15">
        <f t="shared" si="2"/>
        <v>1.2464950005631961</v>
      </c>
      <c r="H54" s="13">
        <f>(1+G54)/(1+MAX(G$2:G54))-1</f>
        <v>-0.48145406768023569</v>
      </c>
      <c r="I54" s="18" t="s">
        <v>121</v>
      </c>
      <c r="J54" s="14">
        <v>-0.28860000000000002</v>
      </c>
      <c r="K54" s="15">
        <f t="shared" si="24"/>
        <v>-0.47253522580652285</v>
      </c>
      <c r="L54" s="15">
        <f t="shared" si="4"/>
        <v>1.5679856953097575</v>
      </c>
      <c r="M54" s="13">
        <f>(1+L54)/(1+MAX(L$2:L54))-1</f>
        <v>-0.58061275803876633</v>
      </c>
      <c r="N54" s="18" t="s">
        <v>113</v>
      </c>
      <c r="O54" s="16">
        <v>-0.42549999999999999</v>
      </c>
      <c r="P54" s="57" t="s">
        <v>125</v>
      </c>
      <c r="Q54" s="16">
        <v>-0.29770000000000002</v>
      </c>
      <c r="R54" s="57" t="s">
        <v>126</v>
      </c>
      <c r="S54" s="16">
        <v>-0.27039999999999997</v>
      </c>
      <c r="T54" s="14">
        <v>0.1017137843189103</v>
      </c>
      <c r="U54" s="15">
        <f t="shared" si="25"/>
        <v>0.24150448057054286</v>
      </c>
      <c r="V54" s="15">
        <f t="shared" si="6"/>
        <v>0.48482111671277339</v>
      </c>
      <c r="W54" s="13">
        <f>(1+V54)/(1+MAX(V$2:V54))-1</f>
        <v>0</v>
      </c>
      <c r="X54" s="19"/>
      <c r="Y54" s="20">
        <f t="shared" si="7"/>
        <v>-0.26616000000000001</v>
      </c>
      <c r="Z54" s="15">
        <f t="shared" si="26"/>
        <v>-0.50046813440760562</v>
      </c>
      <c r="AA54" s="15">
        <f t="shared" si="9"/>
        <v>6.8182346291011759</v>
      </c>
      <c r="AB54" s="15">
        <f>(1+AA54)/(1+MAX(AA$2:AA54))-1</f>
        <v>-0.55133617155139669</v>
      </c>
      <c r="AC54" s="58">
        <f t="shared" si="10"/>
        <v>7818.2346291011781</v>
      </c>
      <c r="AF54" s="62"/>
      <c r="AG54" s="62"/>
      <c r="AH54" s="62"/>
      <c r="AI54" s="62"/>
    </row>
    <row r="55" spans="1:35" s="61" customFormat="1" outlineLevel="1" x14ac:dyDescent="0.3">
      <c r="A55" s="61" t="s">
        <v>663</v>
      </c>
      <c r="B55" s="55" t="str">
        <f t="shared" si="0"/>
        <v>2022-6</v>
      </c>
      <c r="C55" s="11">
        <v>44713</v>
      </c>
      <c r="D55" s="18" t="s">
        <v>106</v>
      </c>
      <c r="E55" s="14">
        <v>-0.37769999999999998</v>
      </c>
      <c r="F55" s="15">
        <f t="shared" si="23"/>
        <v>-0.57270506131375565</v>
      </c>
      <c r="G55" s="15">
        <f t="shared" si="2"/>
        <v>0.39799383885047712</v>
      </c>
      <c r="H55" s="13">
        <f>(1+G55)/(1+MAX(G$2:G55))-1</f>
        <v>-0.67730886631741061</v>
      </c>
      <c r="I55" s="18" t="s">
        <v>121</v>
      </c>
      <c r="J55" s="14">
        <v>-0.45050000000000001</v>
      </c>
      <c r="K55" s="15">
        <f t="shared" si="24"/>
        <v>-0.71015810658068435</v>
      </c>
      <c r="L55" s="15">
        <f t="shared" si="4"/>
        <v>0.41110813957271164</v>
      </c>
      <c r="M55" s="13">
        <f>(1+L55)/(1+MAX(L$2:L55))-1</f>
        <v>-0.76954671054230206</v>
      </c>
      <c r="N55" s="18" t="s">
        <v>113</v>
      </c>
      <c r="O55" s="16">
        <v>-0.43890000000000001</v>
      </c>
      <c r="P55" s="57" t="s">
        <v>126</v>
      </c>
      <c r="Q55" s="16">
        <v>-0.2084</v>
      </c>
      <c r="R55" s="57" t="s">
        <v>137</v>
      </c>
      <c r="S55" s="16">
        <v>-7.7499999999999999E-2</v>
      </c>
      <c r="T55" s="14">
        <v>-0.1196410316750053</v>
      </c>
      <c r="U55" s="15">
        <f t="shared" si="25"/>
        <v>9.2969603685941538E-2</v>
      </c>
      <c r="V55" s="15">
        <f t="shared" si="6"/>
        <v>0.30717558645642384</v>
      </c>
      <c r="W55" s="13">
        <f>(1+V55)/(1+MAX(V$2:V55))-1</f>
        <v>-0.11964103167500517</v>
      </c>
      <c r="X55" s="19"/>
      <c r="Y55" s="20">
        <f t="shared" si="7"/>
        <v>-0.34509999999999996</v>
      </c>
      <c r="Z55" s="15">
        <f t="shared" si="26"/>
        <v>-0.67285658122354097</v>
      </c>
      <c r="AA55" s="15">
        <f t="shared" si="9"/>
        <v>4.1201618585983608</v>
      </c>
      <c r="AB55" s="15">
        <f>(1+AA55)/(1+MAX(AA$2:AA55))-1</f>
        <v>-0.70617005874900962</v>
      </c>
      <c r="AC55" s="58">
        <f t="shared" si="10"/>
        <v>5120.1618585983615</v>
      </c>
      <c r="AF55" s="62"/>
      <c r="AG55" s="62"/>
      <c r="AH55" s="62"/>
      <c r="AI55" s="62"/>
    </row>
    <row r="56" spans="1:35" s="61" customFormat="1" outlineLevel="1" x14ac:dyDescent="0.3">
      <c r="A56" s="61" t="s">
        <v>663</v>
      </c>
      <c r="B56" s="55" t="str">
        <f t="shared" si="0"/>
        <v>2022-7</v>
      </c>
      <c r="C56" s="11">
        <v>44743</v>
      </c>
      <c r="D56" s="18" t="s">
        <v>106</v>
      </c>
      <c r="E56" s="14">
        <v>0.17949999999999999</v>
      </c>
      <c r="F56" s="15">
        <f t="shared" si="23"/>
        <v>-0.49600561981957481</v>
      </c>
      <c r="G56" s="15">
        <f t="shared" si="2"/>
        <v>0.64893373292413781</v>
      </c>
      <c r="H56" s="13">
        <f>(1+G56)/(1+MAX(G$2:G56))-1</f>
        <v>-0.61938580782138586</v>
      </c>
      <c r="I56" s="18" t="s">
        <v>121</v>
      </c>
      <c r="J56" s="14">
        <v>0.57550000000000001</v>
      </c>
      <c r="K56" s="15">
        <f t="shared" si="24"/>
        <v>-0.54335409691786829</v>
      </c>
      <c r="L56" s="15">
        <f t="shared" si="4"/>
        <v>1.2232008738968072</v>
      </c>
      <c r="M56" s="13">
        <f>(1+L56)/(1+MAX(L$2:L56))-1</f>
        <v>-0.63692084245939684</v>
      </c>
      <c r="N56" s="18" t="s">
        <v>114</v>
      </c>
      <c r="O56" s="16">
        <v>6.4699999999999994E-2</v>
      </c>
      <c r="P56" s="57" t="s">
        <v>123</v>
      </c>
      <c r="Q56" s="16">
        <v>-1E-4</v>
      </c>
      <c r="R56" s="57" t="s">
        <v>137</v>
      </c>
      <c r="S56" s="16">
        <v>-0.20960000000000001</v>
      </c>
      <c r="T56" s="14">
        <v>7.5550087916341657E-2</v>
      </c>
      <c r="U56" s="15">
        <f t="shared" si="25"/>
        <v>0.17554355333430349</v>
      </c>
      <c r="V56" s="15">
        <f t="shared" si="6"/>
        <v>0.40593281693530203</v>
      </c>
      <c r="W56" s="13">
        <f>(1+V56)/(1+MAX(V$2:V56))-1</f>
        <v>-5.3129834220112082E-2</v>
      </c>
      <c r="X56" s="19"/>
      <c r="Y56" s="20">
        <f t="shared" si="7"/>
        <v>0.20716666666666664</v>
      </c>
      <c r="Z56" s="15">
        <f t="shared" si="26"/>
        <v>-0.60508336963368459</v>
      </c>
      <c r="AA56" s="15">
        <f t="shared" si="9"/>
        <v>5.1808887236379881</v>
      </c>
      <c r="AB56" s="15">
        <f>(1+AA56)/(1+MAX(AA$2:AA56))-1</f>
        <v>-0.64529828925317934</v>
      </c>
      <c r="AC56" s="58">
        <f t="shared" si="10"/>
        <v>6180.8887236379887</v>
      </c>
      <c r="AF56" s="62"/>
      <c r="AG56" s="62"/>
      <c r="AH56" s="62"/>
      <c r="AI56" s="62"/>
    </row>
    <row r="57" spans="1:35" s="61" customFormat="1" outlineLevel="1" x14ac:dyDescent="0.3">
      <c r="A57" s="61" t="s">
        <v>663</v>
      </c>
      <c r="B57" s="55" t="str">
        <f t="shared" si="0"/>
        <v>2022-8</v>
      </c>
      <c r="C57" s="11">
        <v>44774</v>
      </c>
      <c r="D57" s="18" t="s">
        <v>106</v>
      </c>
      <c r="E57" s="14">
        <v>-0.1409</v>
      </c>
      <c r="F57" s="15">
        <f t="shared" si="23"/>
        <v>-0.56701842798699675</v>
      </c>
      <c r="G57" s="15">
        <f t="shared" si="2"/>
        <v>0.41659896995512669</v>
      </c>
      <c r="H57" s="13">
        <f>(1+G57)/(1+MAX(G$2:G57))-1</f>
        <v>-0.67301434749935263</v>
      </c>
      <c r="I57" s="18" t="s">
        <v>121</v>
      </c>
      <c r="J57" s="14">
        <v>-7.5999999999999998E-2</v>
      </c>
      <c r="K57" s="15">
        <f t="shared" si="24"/>
        <v>-0.57805918555211022</v>
      </c>
      <c r="L57" s="15">
        <f t="shared" si="4"/>
        <v>1.0542376074806499</v>
      </c>
      <c r="M57" s="13">
        <f>(1+L57)/(1+MAX(L$2:L57))-1</f>
        <v>-0.6645148584324827</v>
      </c>
      <c r="N57" s="18" t="s">
        <v>114</v>
      </c>
      <c r="O57" s="16">
        <v>-8.0299999999999996E-2</v>
      </c>
      <c r="P57" s="57" t="s">
        <v>123</v>
      </c>
      <c r="Q57" s="16">
        <v>2.0000000000000001E-4</v>
      </c>
      <c r="R57" s="57" t="s">
        <v>137</v>
      </c>
      <c r="S57" s="16">
        <v>-0.12230000000000001</v>
      </c>
      <c r="T57" s="14">
        <v>1.5898950642857401E-2</v>
      </c>
      <c r="U57" s="15">
        <f t="shared" si="25"/>
        <v>0.19423346226729477</v>
      </c>
      <c r="V57" s="15">
        <f t="shared" si="6"/>
        <v>0.42828567339892976</v>
      </c>
      <c r="W57" s="13">
        <f>(1+V57)/(1+MAX(V$2:V57))-1</f>
        <v>-3.8075592189183549E-2</v>
      </c>
      <c r="X57" s="19"/>
      <c r="Y57" s="20">
        <f t="shared" si="7"/>
        <v>-9.2056666666666648E-2</v>
      </c>
      <c r="Z57" s="15">
        <f t="shared" si="26"/>
        <v>-0.64143807823643972</v>
      </c>
      <c r="AA57" s="15">
        <f t="shared" si="9"/>
        <v>4.611896710702287</v>
      </c>
      <c r="AB57" s="15">
        <f>(1+AA57)/(1+MAX(AA$2:AA57))-1</f>
        <v>-0.67795094640549591</v>
      </c>
      <c r="AC57" s="58">
        <f t="shared" si="10"/>
        <v>5611.8967107022872</v>
      </c>
      <c r="AF57" s="62"/>
      <c r="AG57" s="62"/>
      <c r="AH57" s="62"/>
      <c r="AI57" s="62"/>
    </row>
    <row r="58" spans="1:35" s="61" customFormat="1" outlineLevel="1" x14ac:dyDescent="0.3">
      <c r="A58" s="61" t="s">
        <v>663</v>
      </c>
      <c r="B58" s="55" t="str">
        <f t="shared" si="0"/>
        <v>2022-9</v>
      </c>
      <c r="C58" s="11">
        <v>44805</v>
      </c>
      <c r="D58" s="18" t="s">
        <v>106</v>
      </c>
      <c r="E58" s="14">
        <v>-3.0800000000000001E-2</v>
      </c>
      <c r="F58" s="15">
        <f t="shared" si="23"/>
        <v>-0.58035426040499727</v>
      </c>
      <c r="G58" s="15">
        <f t="shared" si="2"/>
        <v>0.37296772168050873</v>
      </c>
      <c r="H58" s="13">
        <f>(1+G58)/(1+MAX(G$2:G58))-1</f>
        <v>-0.68308550559637249</v>
      </c>
      <c r="I58" s="18" t="s">
        <v>121</v>
      </c>
      <c r="J58" s="14">
        <v>-0.14530000000000001</v>
      </c>
      <c r="K58" s="15">
        <f t="shared" si="24"/>
        <v>-0.63936718589138852</v>
      </c>
      <c r="L58" s="15">
        <f t="shared" si="4"/>
        <v>0.75575688311371159</v>
      </c>
      <c r="M58" s="13">
        <f>(1+L58)/(1+MAX(L$2:L58))-1</f>
        <v>-0.713260849502243</v>
      </c>
      <c r="N58" s="18" t="s">
        <v>114</v>
      </c>
      <c r="O58" s="16">
        <v>-3.7699999999999997E-2</v>
      </c>
      <c r="P58" s="57" t="s">
        <v>123</v>
      </c>
      <c r="Q58" s="16">
        <v>0</v>
      </c>
      <c r="R58" s="57" t="s">
        <v>137</v>
      </c>
      <c r="S58" s="16">
        <v>-0.27339999999999998</v>
      </c>
      <c r="T58" s="14">
        <v>-0.1041986967196625</v>
      </c>
      <c r="U58" s="15">
        <f t="shared" si="25"/>
        <v>6.9795891920032327E-2</v>
      </c>
      <c r="V58" s="15">
        <f t="shared" si="6"/>
        <v>0.27946016768739579</v>
      </c>
      <c r="W58" s="13">
        <f>(1+V58)/(1+MAX(V$2:V58))-1</f>
        <v>-0.13830686182590368</v>
      </c>
      <c r="X58" s="19"/>
      <c r="Y58" s="20">
        <f t="shared" si="7"/>
        <v>-9.4310000000000005E-2</v>
      </c>
      <c r="Z58" s="15">
        <f t="shared" si="26"/>
        <v>-0.67525405307796116</v>
      </c>
      <c r="AA58" s="15">
        <f t="shared" si="9"/>
        <v>4.0826387319159547</v>
      </c>
      <c r="AB58" s="15">
        <f>(1+AA58)/(1+MAX(AA$2:AA58))-1</f>
        <v>-0.70832339264999356</v>
      </c>
      <c r="AC58" s="58">
        <f t="shared" si="10"/>
        <v>5082.6387319159548</v>
      </c>
      <c r="AF58" s="62"/>
    </row>
    <row r="59" spans="1:35" s="61" customFormat="1" outlineLevel="1" x14ac:dyDescent="0.3">
      <c r="A59" s="61" t="s">
        <v>663</v>
      </c>
      <c r="B59" s="55" t="str">
        <f t="shared" si="0"/>
        <v>2022-10</v>
      </c>
      <c r="C59" s="11">
        <v>44835</v>
      </c>
      <c r="D59" s="18" t="s">
        <v>106</v>
      </c>
      <c r="E59" s="14">
        <v>5.4800000000000001E-2</v>
      </c>
      <c r="F59" s="15">
        <f t="shared" si="23"/>
        <v>-0.55735767387519108</v>
      </c>
      <c r="G59" s="15">
        <f t="shared" si="2"/>
        <v>0.44820635282860066</v>
      </c>
      <c r="H59" s="13">
        <f>(1+G59)/(1+MAX(G$2:G59))-1</f>
        <v>-0.66571859130305366</v>
      </c>
      <c r="I59" s="18" t="s">
        <v>121</v>
      </c>
      <c r="J59" s="14">
        <v>0.18429999999999999</v>
      </c>
      <c r="K59" s="15">
        <f t="shared" si="24"/>
        <v>-0.57290255825117153</v>
      </c>
      <c r="L59" s="15">
        <f t="shared" si="4"/>
        <v>1.0793428766715683</v>
      </c>
      <c r="M59" s="13">
        <f>(1+L59)/(1+MAX(L$2:L59))-1</f>
        <v>-0.66041482406550645</v>
      </c>
      <c r="N59" s="18" t="s">
        <v>115</v>
      </c>
      <c r="O59" s="16">
        <v>9.7500000000000003E-2</v>
      </c>
      <c r="P59" s="57" t="s">
        <v>123</v>
      </c>
      <c r="Q59" s="16">
        <v>-1E-4</v>
      </c>
      <c r="R59" s="57" t="s">
        <v>137</v>
      </c>
      <c r="S59" s="16">
        <v>-8.7800000000000003E-2</v>
      </c>
      <c r="T59" s="14">
        <v>0.1345196000093388</v>
      </c>
      <c r="U59" s="15">
        <f t="shared" si="25"/>
        <v>0.21370440739274876</v>
      </c>
      <c r="V59" s="15">
        <f t="shared" si="6"/>
        <v>0.45157263767258571</v>
      </c>
      <c r="W59" s="13">
        <f>(1+V59)/(1+MAX(V$2:V59))-1</f>
        <v>-2.2392245547932399E-2</v>
      </c>
      <c r="X59" s="21"/>
      <c r="Y59" s="20">
        <f t="shared" si="7"/>
        <v>7.3010000000000005E-2</v>
      </c>
      <c r="Z59" s="15">
        <f t="shared" si="26"/>
        <v>-0.65154435149318313</v>
      </c>
      <c r="AA59" s="15">
        <f t="shared" si="9"/>
        <v>4.453722185733139</v>
      </c>
      <c r="AB59" s="15">
        <f>(1+AA59)/(1+MAX(AA$2:AA59))-1</f>
        <v>-0.68702808354736955</v>
      </c>
      <c r="AC59" s="58">
        <f t="shared" si="10"/>
        <v>5453.7221857331388</v>
      </c>
    </row>
    <row r="60" spans="1:35" s="61" customFormat="1" outlineLevel="1" x14ac:dyDescent="0.3">
      <c r="A60" s="61" t="s">
        <v>663</v>
      </c>
      <c r="B60" s="55" t="str">
        <f t="shared" si="0"/>
        <v>2022-11</v>
      </c>
      <c r="C60" s="11">
        <v>44866</v>
      </c>
      <c r="D60" s="18" t="s">
        <v>106</v>
      </c>
      <c r="E60" s="14">
        <v>-0.1623</v>
      </c>
      <c r="F60" s="15">
        <f t="shared" si="23"/>
        <v>-0.62919852340524751</v>
      </c>
      <c r="G60" s="15">
        <f t="shared" si="2"/>
        <v>0.2131624617645187</v>
      </c>
      <c r="H60" s="13">
        <f>(1+G60)/(1+MAX(G$2:G60))-1</f>
        <v>-0.71997246393456815</v>
      </c>
      <c r="I60" s="18" t="s">
        <v>121</v>
      </c>
      <c r="J60" s="14">
        <v>-0.17610000000000001</v>
      </c>
      <c r="K60" s="15">
        <f t="shared" si="24"/>
        <v>-0.64811441774314016</v>
      </c>
      <c r="L60" s="15">
        <f t="shared" si="4"/>
        <v>0.71317059608970501</v>
      </c>
      <c r="M60" s="13">
        <f>(1+L60)/(1+MAX(L$2:L60))-1</f>
        <v>-0.72021577354757071</v>
      </c>
      <c r="N60" s="18" t="s">
        <v>115</v>
      </c>
      <c r="O60" s="16">
        <v>-0.39900000000000002</v>
      </c>
      <c r="P60" s="57" t="s">
        <v>123</v>
      </c>
      <c r="Q60" s="16">
        <v>0</v>
      </c>
      <c r="R60" s="57" t="s">
        <v>137</v>
      </c>
      <c r="S60" s="16">
        <v>0.7026</v>
      </c>
      <c r="T60" s="14">
        <v>4.1204720820030682E-2</v>
      </c>
      <c r="U60" s="15">
        <f t="shared" si="25"/>
        <v>0.26371475865740779</v>
      </c>
      <c r="V60" s="15">
        <f t="shared" si="6"/>
        <v>0.5113842829578803</v>
      </c>
      <c r="W60" s="13">
        <f>(1+V60)/(1+MAX(V$2:V60))-1</f>
        <v>0</v>
      </c>
      <c r="X60" s="21"/>
      <c r="Y60" s="20">
        <f t="shared" si="7"/>
        <v>-6.1039999999999997E-2</v>
      </c>
      <c r="Z60" s="15">
        <f t="shared" si="26"/>
        <v>-0.67281408427803924</v>
      </c>
      <c r="AA60" s="15">
        <f t="shared" si="9"/>
        <v>4.1208269835159888</v>
      </c>
      <c r="AB60" s="15">
        <f>(1+AA60)/(1+MAX(AA$2:AA60))-1</f>
        <v>-0.70613188932763804</v>
      </c>
      <c r="AC60" s="58">
        <f t="shared" si="10"/>
        <v>5120.8269835159881</v>
      </c>
    </row>
    <row r="61" spans="1:35" s="27" customFormat="1" ht="15" thickBot="1" x14ac:dyDescent="0.35">
      <c r="A61" s="27" t="s">
        <v>663</v>
      </c>
      <c r="B61" s="63" t="str">
        <f t="shared" si="0"/>
        <v>2022-12</v>
      </c>
      <c r="C61" s="22">
        <v>44896</v>
      </c>
      <c r="D61" s="29" t="s">
        <v>106</v>
      </c>
      <c r="E61" s="24">
        <v>-3.6200000000000003E-2</v>
      </c>
      <c r="F61" s="25">
        <f t="shared" si="23"/>
        <v>-0.64262153685797752</v>
      </c>
      <c r="G61" s="25">
        <f t="shared" si="2"/>
        <v>0.16924598064864305</v>
      </c>
      <c r="H61" s="26">
        <f>(1+G61)/(1+MAX(G$2:G61))-1</f>
        <v>-0.73010946074013683</v>
      </c>
      <c r="I61" s="29" t="s">
        <v>121</v>
      </c>
      <c r="J61" s="24">
        <v>-7.6300000000000007E-2</v>
      </c>
      <c r="K61" s="25">
        <f t="shared" si="24"/>
        <v>-0.67496328766933855</v>
      </c>
      <c r="L61" s="25">
        <f t="shared" si="4"/>
        <v>0.58245567960806044</v>
      </c>
      <c r="M61" s="26">
        <f>(1+L61)/(1+MAX(L$2:L61))-1</f>
        <v>-0.74156331002589115</v>
      </c>
      <c r="N61" s="29" t="s">
        <v>115</v>
      </c>
      <c r="O61" s="141">
        <v>-0.2772</v>
      </c>
      <c r="P61" s="142" t="s">
        <v>127</v>
      </c>
      <c r="Q61" s="141">
        <v>-8.5500000000000007E-2</v>
      </c>
      <c r="R61" s="142" t="s">
        <v>123</v>
      </c>
      <c r="S61" s="141">
        <v>0</v>
      </c>
      <c r="T61" s="24">
        <v>-1.771670676629505E-2</v>
      </c>
      <c r="U61" s="25">
        <f t="shared" si="25"/>
        <v>0.24132589484203515</v>
      </c>
      <c r="V61" s="25">
        <f t="shared" si="6"/>
        <v>0.48460753080552843</v>
      </c>
      <c r="W61" s="26">
        <f>(1+V61)/(1+MAX(V$2:V61))-1</f>
        <v>-1.7716706766294998E-2</v>
      </c>
      <c r="X61" s="31"/>
      <c r="Y61" s="32">
        <f t="shared" si="7"/>
        <v>-8.2110000000000016E-2</v>
      </c>
      <c r="Z61" s="25">
        <f t="shared" si="26"/>
        <v>-0.69967931981796938</v>
      </c>
      <c r="AA61" s="25">
        <f t="shared" si="9"/>
        <v>3.7003558798994911</v>
      </c>
      <c r="AB61" s="25">
        <f>(1+AA61)/(1+MAX(AA$2:AA61))-1</f>
        <v>-0.73026139989494565</v>
      </c>
      <c r="AC61" s="66">
        <f t="shared" si="10"/>
        <v>4700.35587989949</v>
      </c>
    </row>
    <row r="62" spans="1:35" s="54" customFormat="1" outlineLevel="1" x14ac:dyDescent="0.3">
      <c r="A62" s="54" t="s">
        <v>664</v>
      </c>
      <c r="B62" s="48" t="str">
        <f t="shared" si="0"/>
        <v>2023-1</v>
      </c>
      <c r="C62" s="1">
        <v>44927</v>
      </c>
      <c r="D62" s="8" t="s">
        <v>106</v>
      </c>
      <c r="E62" s="4">
        <v>0.39839999999999998</v>
      </c>
      <c r="F62" s="5">
        <f>+E62</f>
        <v>0.39839999999999998</v>
      </c>
      <c r="G62" s="5">
        <f t="shared" si="2"/>
        <v>0.6350735793390625</v>
      </c>
      <c r="H62" s="3">
        <f>(1+G62)/(1+MAX(G$2:G62))-1</f>
        <v>-0.62258506989900719</v>
      </c>
      <c r="I62" s="8" t="s">
        <v>121</v>
      </c>
      <c r="J62" s="4">
        <v>0.32569999999999999</v>
      </c>
      <c r="K62" s="5">
        <f>+J62</f>
        <v>0.32569999999999999</v>
      </c>
      <c r="L62" s="5">
        <f t="shared" si="4"/>
        <v>1.0978614944564056</v>
      </c>
      <c r="M62" s="3">
        <f>(1+L62)/(1+MAX(L$2:L62))-1</f>
        <v>-0.65739048010132395</v>
      </c>
      <c r="N62" s="8" t="s">
        <v>111</v>
      </c>
      <c r="O62" s="6">
        <v>0.36809999999999998</v>
      </c>
      <c r="P62" s="50" t="s">
        <v>127</v>
      </c>
      <c r="Q62" s="6">
        <v>1.3653999999999999</v>
      </c>
      <c r="R62" s="50" t="s">
        <v>126</v>
      </c>
      <c r="S62" s="6">
        <v>6.1100000000000002E-2</v>
      </c>
      <c r="T62" s="4">
        <v>4.0618857037133527E-3</v>
      </c>
      <c r="U62" s="5">
        <f>+T62</f>
        <v>4.0618857037133527E-3</v>
      </c>
      <c r="V62" s="5">
        <f t="shared" si="6"/>
        <v>0.49063783691053264</v>
      </c>
      <c r="W62" s="3">
        <f>(1+V62)/(1+MAX(V$2:V62))-1</f>
        <v>-1.3726784300512551E-2</v>
      </c>
      <c r="X62" s="9"/>
      <c r="Y62" s="10">
        <f t="shared" si="7"/>
        <v>0.45650999999999997</v>
      </c>
      <c r="Z62" s="5">
        <f>+Y62</f>
        <v>0.45650999999999997</v>
      </c>
      <c r="AA62" s="5">
        <f t="shared" si="9"/>
        <v>5.846115342632408</v>
      </c>
      <c r="AB62" s="5">
        <f>(1+AA62)/(1+MAX(AA$2:AA62))-1</f>
        <v>-0.60712303156098746</v>
      </c>
      <c r="AC62" s="51">
        <f t="shared" si="10"/>
        <v>6846.1153426324063</v>
      </c>
    </row>
    <row r="63" spans="1:35" s="61" customFormat="1" outlineLevel="1" x14ac:dyDescent="0.3">
      <c r="A63" s="61" t="s">
        <v>664</v>
      </c>
      <c r="B63" s="55" t="str">
        <f t="shared" si="0"/>
        <v>2023-2</v>
      </c>
      <c r="C63" s="11">
        <v>44958</v>
      </c>
      <c r="D63" s="18" t="s">
        <v>106</v>
      </c>
      <c r="E63" s="14">
        <v>2.9999999999999997E-4</v>
      </c>
      <c r="F63" s="15">
        <f t="shared" ref="F63:F73" si="27">+(1+E63)*(1+F62)-1</f>
        <v>0.39881951999999998</v>
      </c>
      <c r="G63" s="15">
        <f t="shared" si="2"/>
        <v>0.63556410141286412</v>
      </c>
      <c r="H63" s="13">
        <f>(1+G63)/(1+MAX(G$2:G63))-1</f>
        <v>-0.62247184541997691</v>
      </c>
      <c r="I63" s="18" t="s">
        <v>121</v>
      </c>
      <c r="J63" s="14">
        <v>1.2200000000000001E-2</v>
      </c>
      <c r="K63" s="15">
        <f t="shared" ref="K63:K73" si="28">+(1+J63)*(1+K62)-1</f>
        <v>0.34187353999999992</v>
      </c>
      <c r="L63" s="15">
        <f t="shared" si="4"/>
        <v>1.1234554046887739</v>
      </c>
      <c r="M63" s="13">
        <f>(1+L63)/(1+MAX(L$2:L63))-1</f>
        <v>-0.65321064395855999</v>
      </c>
      <c r="N63" s="18" t="s">
        <v>116</v>
      </c>
      <c r="O63" s="16">
        <v>-5.4999999999999997E-3</v>
      </c>
      <c r="P63" s="57" t="s">
        <v>127</v>
      </c>
      <c r="Q63" s="16">
        <v>0.2445</v>
      </c>
      <c r="R63" s="57" t="s">
        <v>126</v>
      </c>
      <c r="S63" s="16">
        <v>8.5300000000000001E-2</v>
      </c>
      <c r="T63" s="14">
        <v>-6.4292685001941519E-2</v>
      </c>
      <c r="U63" s="15">
        <f t="shared" ref="U63:U73" si="29">+(1+T63)*(1+U62)-1</f>
        <v>-6.0491948836290943E-2</v>
      </c>
      <c r="V63" s="15">
        <f t="shared" si="6"/>
        <v>0.39480072801006827</v>
      </c>
      <c r="W63" s="13">
        <f>(1+V63)/(1+MAX(V$2:V63))-1</f>
        <v>-7.7136937483331613E-2</v>
      </c>
      <c r="X63" s="19"/>
      <c r="Y63" s="20">
        <f t="shared" si="7"/>
        <v>4.6990000000000004E-2</v>
      </c>
      <c r="Z63" s="15">
        <f t="shared" ref="Z63:Z73" si="30">+(1+Y63)*(1+Z62)-1</f>
        <v>0.52495140490000014</v>
      </c>
      <c r="AA63" s="15">
        <f t="shared" si="9"/>
        <v>6.1678143025827055</v>
      </c>
      <c r="AB63" s="15">
        <f>(1+AA63)/(1+MAX(AA$2:AA63))-1</f>
        <v>-0.58866174281403816</v>
      </c>
      <c r="AC63" s="58">
        <f t="shared" si="10"/>
        <v>7167.8143025827039</v>
      </c>
    </row>
    <row r="64" spans="1:35" s="61" customFormat="1" outlineLevel="1" x14ac:dyDescent="0.3">
      <c r="A64" s="61" t="s">
        <v>664</v>
      </c>
      <c r="B64" s="55" t="str">
        <f t="shared" si="0"/>
        <v>2023-3</v>
      </c>
      <c r="C64" s="11">
        <v>44986</v>
      </c>
      <c r="D64" s="18" t="s">
        <v>106</v>
      </c>
      <c r="E64" s="14">
        <v>0.2303</v>
      </c>
      <c r="F64" s="15">
        <f t="shared" si="27"/>
        <v>0.72096765545599983</v>
      </c>
      <c r="G64" s="15">
        <f t="shared" si="2"/>
        <v>1.0122345139682465</v>
      </c>
      <c r="H64" s="13">
        <f>(1+G64)/(1+MAX(G$2:G64))-1</f>
        <v>-0.53552711142019771</v>
      </c>
      <c r="I64" s="18" t="s">
        <v>121</v>
      </c>
      <c r="J64" s="14">
        <v>0.1346</v>
      </c>
      <c r="K64" s="15">
        <f t="shared" si="28"/>
        <v>0.52248971848400005</v>
      </c>
      <c r="L64" s="15">
        <f t="shared" si="4"/>
        <v>1.4092725021598831</v>
      </c>
      <c r="M64" s="13">
        <f>(1+L64)/(1+MAX(L$2:L64))-1</f>
        <v>-0.60653279663538218</v>
      </c>
      <c r="N64" s="18" t="s">
        <v>116</v>
      </c>
      <c r="O64" s="16">
        <v>-4.3799999999999999E-2</v>
      </c>
      <c r="P64" s="57" t="s">
        <v>127</v>
      </c>
      <c r="Q64" s="16">
        <v>-0.15310000000000001</v>
      </c>
      <c r="R64" s="57" t="s">
        <v>126</v>
      </c>
      <c r="S64" s="16">
        <v>-0.1023</v>
      </c>
      <c r="T64" s="14">
        <v>2.455671284414096E-2</v>
      </c>
      <c r="U64" s="15">
        <f t="shared" si="29"/>
        <v>-3.7420719409105185E-2</v>
      </c>
      <c r="V64" s="15">
        <f t="shared" si="6"/>
        <v>0.42905244896261041</v>
      </c>
      <c r="W64" s="13">
        <f>(1+V64)/(1+MAX(V$2:V64))-1</f>
        <v>-5.4474454262645189E-2</v>
      </c>
      <c r="X64" s="19"/>
      <c r="Y64" s="20">
        <f t="shared" si="7"/>
        <v>6.9576666666666662E-2</v>
      </c>
      <c r="Z64" s="15">
        <f t="shared" si="30"/>
        <v>0.63105244048159248</v>
      </c>
      <c r="AA64" s="15">
        <f t="shared" si="9"/>
        <v>6.6665269290420675</v>
      </c>
      <c r="AB64" s="15">
        <f>(1+AA64)/(1+MAX(AA$2:AA64))-1</f>
        <v>-0.56004219800656285</v>
      </c>
      <c r="AC64" s="58">
        <f t="shared" si="10"/>
        <v>7666.5269290420665</v>
      </c>
    </row>
    <row r="65" spans="1:35" s="61" customFormat="1" outlineLevel="1" x14ac:dyDescent="0.3">
      <c r="A65" s="61" t="s">
        <v>664</v>
      </c>
      <c r="B65" s="55" t="str">
        <f t="shared" si="0"/>
        <v>2023-4</v>
      </c>
      <c r="C65" s="11">
        <v>45017</v>
      </c>
      <c r="D65" s="18" t="s">
        <v>106</v>
      </c>
      <c r="E65" s="14">
        <v>2.7799999999999998E-2</v>
      </c>
      <c r="F65" s="15">
        <f t="shared" si="27"/>
        <v>0.7688105562776768</v>
      </c>
      <c r="G65" s="15">
        <f t="shared" si="2"/>
        <v>1.068174633456564</v>
      </c>
      <c r="H65" s="13">
        <f>(1+G65)/(1+MAX(G$2:G65))-1</f>
        <v>-0.52261476511767913</v>
      </c>
      <c r="I65" s="18" t="s">
        <v>121</v>
      </c>
      <c r="J65" s="14">
        <v>3.0099999999999998E-2</v>
      </c>
      <c r="K65" s="15">
        <f t="shared" si="28"/>
        <v>0.56831665901036854</v>
      </c>
      <c r="L65" s="15">
        <f t="shared" si="4"/>
        <v>1.4817916044748958</v>
      </c>
      <c r="M65" s="13">
        <f>(1+L65)/(1+MAX(L$2:L65))-1</f>
        <v>-0.5946894338141071</v>
      </c>
      <c r="N65" s="18" t="s">
        <v>110</v>
      </c>
      <c r="O65" s="16">
        <v>-0.10059999999999999</v>
      </c>
      <c r="P65" s="57" t="s">
        <v>127</v>
      </c>
      <c r="Q65" s="16">
        <v>-4.8599999999999997E-2</v>
      </c>
      <c r="R65" s="57" t="s">
        <v>125</v>
      </c>
      <c r="S65" s="16">
        <v>0.74280000000000002</v>
      </c>
      <c r="T65" s="14">
        <v>8.0526879955675756E-3</v>
      </c>
      <c r="U65" s="15">
        <f t="shared" si="29"/>
        <v>-2.9669368791508832E-2</v>
      </c>
      <c r="V65" s="15">
        <f t="shared" si="6"/>
        <v>0.44056016246340812</v>
      </c>
      <c r="W65" s="13">
        <f>(1+V65)/(1+MAX(V$2:V65))-1</f>
        <v>-4.6860432050983558E-2</v>
      </c>
      <c r="X65" s="19"/>
      <c r="Y65" s="20">
        <f t="shared" si="7"/>
        <v>9.6516666666666667E-2</v>
      </c>
      <c r="Z65" s="15">
        <f t="shared" si="30"/>
        <v>0.78847618519540741</v>
      </c>
      <c r="AA65" s="15">
        <f t="shared" si="9"/>
        <v>7.4064745531434433</v>
      </c>
      <c r="AB65" s="15">
        <f>(1+AA65)/(1+MAX(AA$2:AA65))-1</f>
        <v>-0.51757893748416306</v>
      </c>
      <c r="AC65" s="58">
        <f t="shared" si="10"/>
        <v>8406.4745531434419</v>
      </c>
    </row>
    <row r="66" spans="1:35" s="61" customFormat="1" outlineLevel="1" x14ac:dyDescent="0.3">
      <c r="A66" s="61" t="s">
        <v>664</v>
      </c>
      <c r="B66" s="55" t="str">
        <f t="shared" ref="B66:B109" si="31">YEAR(C66)&amp;"-"&amp;MONTH(C66)</f>
        <v>2023-5</v>
      </c>
      <c r="C66" s="11">
        <v>45047</v>
      </c>
      <c r="D66" s="18" t="s">
        <v>106</v>
      </c>
      <c r="E66" s="14">
        <v>-7.0000000000000007E-2</v>
      </c>
      <c r="F66" s="15">
        <f t="shared" si="27"/>
        <v>0.64499381733823924</v>
      </c>
      <c r="G66" s="15">
        <f t="shared" si="2"/>
        <v>0.92340240911460447</v>
      </c>
      <c r="H66" s="13">
        <f>(1+G66)/(1+MAX(G$2:G66))-1</f>
        <v>-0.55603173155944163</v>
      </c>
      <c r="I66" s="18" t="s">
        <v>121</v>
      </c>
      <c r="J66" s="14">
        <v>-1.5E-3</v>
      </c>
      <c r="K66" s="15">
        <f t="shared" si="28"/>
        <v>0.565964184021853</v>
      </c>
      <c r="L66" s="15">
        <f t="shared" si="4"/>
        <v>1.4780689170681836</v>
      </c>
      <c r="M66" s="13">
        <f>(1+L66)/(1+MAX(L$2:L66))-1</f>
        <v>-0.59529739966338591</v>
      </c>
      <c r="N66" s="18" t="s">
        <v>110</v>
      </c>
      <c r="O66" s="16">
        <v>-0.1993</v>
      </c>
      <c r="P66" s="57" t="s">
        <v>127</v>
      </c>
      <c r="Q66" s="16">
        <v>-0.3634</v>
      </c>
      <c r="R66" s="57" t="s">
        <v>128</v>
      </c>
      <c r="S66" s="16">
        <v>0.39169999999999999</v>
      </c>
      <c r="T66" s="14">
        <v>-6.5908586882781617E-2</v>
      </c>
      <c r="U66" s="15">
        <f t="shared" si="29"/>
        <v>-9.3622489503537909E-2</v>
      </c>
      <c r="V66" s="15">
        <f t="shared" si="6"/>
        <v>0.34561487783581457</v>
      </c>
      <c r="W66" s="13">
        <f>(1+V66)/(1+MAX(V$2:V66))-1</f>
        <v>-0.1096805140765682</v>
      </c>
      <c r="X66" s="19"/>
      <c r="Y66" s="20">
        <f t="shared" si="7"/>
        <v>-4.4249999999999998E-2</v>
      </c>
      <c r="Z66" s="15">
        <f t="shared" si="30"/>
        <v>0.70933611400051055</v>
      </c>
      <c r="AA66" s="15">
        <f t="shared" si="9"/>
        <v>7.0344880541668466</v>
      </c>
      <c r="AB66" s="15">
        <f>(1+AA66)/(1+MAX(AA$2:AA66))-1</f>
        <v>-0.53892606950048882</v>
      </c>
      <c r="AC66" s="58">
        <f t="shared" si="10"/>
        <v>8034.4880541668444</v>
      </c>
      <c r="AF66" s="62"/>
      <c r="AG66" s="62"/>
      <c r="AH66" s="62"/>
      <c r="AI66" s="62"/>
    </row>
    <row r="67" spans="1:35" s="61" customFormat="1" outlineLevel="1" x14ac:dyDescent="0.3">
      <c r="A67" s="61" t="s">
        <v>664</v>
      </c>
      <c r="B67" s="55" t="str">
        <f t="shared" si="31"/>
        <v>2023-6</v>
      </c>
      <c r="C67" s="11">
        <v>45078</v>
      </c>
      <c r="D67" s="18" t="s">
        <v>106</v>
      </c>
      <c r="E67" s="14">
        <v>0.1197</v>
      </c>
      <c r="F67" s="15">
        <f t="shared" si="27"/>
        <v>0.84189957727362641</v>
      </c>
      <c r="G67" s="15">
        <f t="shared" ref="G67:G97" si="32">+(1+E67)*(1+G66)-1</f>
        <v>1.1536336774856224</v>
      </c>
      <c r="H67" s="13">
        <f>(1+G67)/(1+MAX(G$2:G67))-1</f>
        <v>-0.50288872982710686</v>
      </c>
      <c r="I67" s="18" t="s">
        <v>121</v>
      </c>
      <c r="J67" s="14">
        <v>3.15E-2</v>
      </c>
      <c r="K67" s="15">
        <f t="shared" si="28"/>
        <v>0.61529205581854152</v>
      </c>
      <c r="L67" s="15">
        <f t="shared" ref="L67:L97" si="33">+(1+J67)*(1+L66)-1</f>
        <v>1.5561280879558317</v>
      </c>
      <c r="M67" s="13">
        <f>(1+L67)/(1+MAX(L$2:L67))-1</f>
        <v>-0.5825492677527826</v>
      </c>
      <c r="N67" s="18" t="s">
        <v>110</v>
      </c>
      <c r="O67" s="16">
        <v>-0.14030000000000001</v>
      </c>
      <c r="P67" s="57" t="s">
        <v>125</v>
      </c>
      <c r="Q67" s="16">
        <v>-0.1943</v>
      </c>
      <c r="R67" s="57" t="s">
        <v>128</v>
      </c>
      <c r="S67" s="16">
        <v>-0.13969999999999999</v>
      </c>
      <c r="T67" s="14">
        <v>9.0834978448310566E-2</v>
      </c>
      <c r="U67" s="15">
        <f t="shared" si="29"/>
        <v>-1.1291707871558532E-2</v>
      </c>
      <c r="V67" s="15">
        <f t="shared" ref="V67:V97" si="34">+(1+T67)*(1+V66)-1</f>
        <v>0.46784377626375662</v>
      </c>
      <c r="W67" s="13">
        <f>(1+V67)/(1+MAX(V$2:V67))-1</f>
        <v>-2.8808362760602502E-2</v>
      </c>
      <c r="X67" s="19"/>
      <c r="Y67" s="20">
        <f t="shared" ref="Y67:Y101" si="35">E67*0.3+J67*0.3+AVERAGE(O67,Q67,S67)*0.4</f>
        <v>-1.7880000000000007E-2</v>
      </c>
      <c r="Z67" s="15">
        <f t="shared" si="30"/>
        <v>0.67877318428218136</v>
      </c>
      <c r="AA67" s="15">
        <f t="shared" ref="AA67:AA97" si="36">+(1+Y67)*(1+AA66)-1</f>
        <v>6.890831407758343</v>
      </c>
      <c r="AB67" s="15">
        <f>(1+AA67)/(1+MAX(AA$2:AA67))-1</f>
        <v>-0.54717007137782003</v>
      </c>
      <c r="AC67" s="58">
        <f t="shared" ref="AC67:AC97" si="37">AC66*(1+Y67)</f>
        <v>7890.8314077583409</v>
      </c>
      <c r="AF67" s="62"/>
      <c r="AG67" s="62"/>
      <c r="AH67" s="62"/>
      <c r="AI67" s="62"/>
    </row>
    <row r="68" spans="1:35" s="61" customFormat="1" outlineLevel="1" x14ac:dyDescent="0.3">
      <c r="A68" s="61" t="s">
        <v>664</v>
      </c>
      <c r="B68" s="55" t="str">
        <f t="shared" si="31"/>
        <v>2023-7</v>
      </c>
      <c r="C68" s="11">
        <v>45108</v>
      </c>
      <c r="D68" s="18" t="s">
        <v>106</v>
      </c>
      <c r="E68" s="14">
        <v>-4.0899999999999999E-2</v>
      </c>
      <c r="F68" s="15">
        <f t="shared" si="27"/>
        <v>0.7665658845631349</v>
      </c>
      <c r="G68" s="15">
        <f t="shared" si="32"/>
        <v>1.0655500600764602</v>
      </c>
      <c r="H68" s="13">
        <f>(1+G68)/(1+MAX(G$2:G68))-1</f>
        <v>-0.52322058077717826</v>
      </c>
      <c r="I68" s="18" t="s">
        <v>121</v>
      </c>
      <c r="J68" s="14">
        <v>-3.9800000000000002E-2</v>
      </c>
      <c r="K68" s="15">
        <f t="shared" si="28"/>
        <v>0.55100343199696344</v>
      </c>
      <c r="L68" s="15">
        <f t="shared" si="33"/>
        <v>1.4543941900551896</v>
      </c>
      <c r="M68" s="13">
        <f>(1+L68)/(1+MAX(L$2:L68))-1</f>
        <v>-0.59916380689622173</v>
      </c>
      <c r="N68" s="18" t="s">
        <v>110</v>
      </c>
      <c r="O68" s="16">
        <v>-8.4099999999999994E-2</v>
      </c>
      <c r="P68" s="57" t="s">
        <v>125</v>
      </c>
      <c r="Q68" s="16">
        <v>-0.14050000000000001</v>
      </c>
      <c r="R68" s="57" t="s">
        <v>128</v>
      </c>
      <c r="S68" s="16">
        <v>0.34699999999999998</v>
      </c>
      <c r="T68" s="14">
        <v>4.1415973538649557E-2</v>
      </c>
      <c r="U68" s="15">
        <f t="shared" si="29"/>
        <v>2.9656608592676381E-2</v>
      </c>
      <c r="V68" s="15">
        <f t="shared" si="34"/>
        <v>0.52863595526036766</v>
      </c>
      <c r="W68" s="13">
        <f>(1+V68)/(1+MAX(V$2:V68))-1</f>
        <v>0</v>
      </c>
      <c r="X68" s="19"/>
      <c r="Y68" s="20">
        <f t="shared" si="35"/>
        <v>-7.8900000000000081E-3</v>
      </c>
      <c r="Z68" s="15">
        <f t="shared" si="30"/>
        <v>0.66552766385819506</v>
      </c>
      <c r="AA68" s="15">
        <f t="shared" si="36"/>
        <v>6.8285727479511298</v>
      </c>
      <c r="AB68" s="15">
        <f>(1+AA68)/(1+MAX(AA$2:AA68))-1</f>
        <v>-0.55074289951464905</v>
      </c>
      <c r="AC68" s="58">
        <f t="shared" si="37"/>
        <v>7828.5727479511279</v>
      </c>
      <c r="AF68" s="62"/>
      <c r="AG68" s="62"/>
      <c r="AH68" s="62"/>
      <c r="AI68" s="62"/>
    </row>
    <row r="69" spans="1:35" s="61" customFormat="1" outlineLevel="1" x14ac:dyDescent="0.3">
      <c r="A69" s="61" t="s">
        <v>664</v>
      </c>
      <c r="B69" s="55" t="str">
        <f t="shared" si="31"/>
        <v>2023-8</v>
      </c>
      <c r="C69" s="11">
        <v>45139</v>
      </c>
      <c r="D69" s="18" t="s">
        <v>106</v>
      </c>
      <c r="E69" s="14">
        <v>-0.1129</v>
      </c>
      <c r="F69" s="15">
        <f t="shared" si="27"/>
        <v>0.56712059619595689</v>
      </c>
      <c r="G69" s="15">
        <f t="shared" si="32"/>
        <v>0.83234945829382778</v>
      </c>
      <c r="H69" s="13">
        <f>(1+G69)/(1+MAX(G$2:G69))-1</f>
        <v>-0.57704897720743475</v>
      </c>
      <c r="I69" s="18" t="s">
        <v>121</v>
      </c>
      <c r="J69" s="14">
        <v>-0.1134</v>
      </c>
      <c r="K69" s="15">
        <f t="shared" si="28"/>
        <v>0.37511964280850796</v>
      </c>
      <c r="L69" s="15">
        <f t="shared" si="33"/>
        <v>1.1760658889029312</v>
      </c>
      <c r="M69" s="13">
        <f>(1+L69)/(1+MAX(L$2:L69))-1</f>
        <v>-0.64461863119419016</v>
      </c>
      <c r="N69" s="18" t="s">
        <v>105</v>
      </c>
      <c r="O69" s="16">
        <v>-0.16400000000000001</v>
      </c>
      <c r="P69" s="57" t="s">
        <v>125</v>
      </c>
      <c r="Q69" s="16">
        <v>-0.21560000000000001</v>
      </c>
      <c r="R69" s="57" t="s">
        <v>128</v>
      </c>
      <c r="S69" s="16">
        <v>-0.1875</v>
      </c>
      <c r="T69" s="14">
        <v>-1.524589176452412E-2</v>
      </c>
      <c r="U69" s="15">
        <f t="shared" si="29"/>
        <v>1.3958575383445471E-2</v>
      </c>
      <c r="V69" s="15">
        <f t="shared" si="34"/>
        <v>0.50533053693910834</v>
      </c>
      <c r="W69" s="13">
        <f>(1+V69)/(1+MAX(V$2:V69))-1</f>
        <v>-1.5245891764523956E-2</v>
      </c>
      <c r="X69" s="19"/>
      <c r="Y69" s="20">
        <f t="shared" si="35"/>
        <v>-0.14350333333333337</v>
      </c>
      <c r="Z69" s="15">
        <f t="shared" si="30"/>
        <v>0.42651889233566465</v>
      </c>
      <c r="AA69" s="15">
        <f t="shared" si="36"/>
        <v>5.7051464633776492</v>
      </c>
      <c r="AB69" s="15">
        <f>(1+AA69)/(1+MAX(AA$2:AA69))-1</f>
        <v>-0.61521279095796522</v>
      </c>
      <c r="AC69" s="58">
        <f t="shared" si="37"/>
        <v>6705.1464633776477</v>
      </c>
      <c r="AF69" s="62"/>
      <c r="AG69" s="62"/>
      <c r="AH69" s="62"/>
      <c r="AI69" s="62"/>
    </row>
    <row r="70" spans="1:35" s="61" customFormat="1" outlineLevel="1" x14ac:dyDescent="0.3">
      <c r="A70" s="61" t="s">
        <v>664</v>
      </c>
      <c r="B70" s="55" t="str">
        <f t="shared" si="31"/>
        <v>2023-9</v>
      </c>
      <c r="C70" s="11">
        <v>45170</v>
      </c>
      <c r="D70" s="18" t="s">
        <v>106</v>
      </c>
      <c r="E70" s="14">
        <v>0.04</v>
      </c>
      <c r="F70" s="15">
        <f t="shared" si="27"/>
        <v>0.62980542004379525</v>
      </c>
      <c r="G70" s="15">
        <f t="shared" si="32"/>
        <v>0.905643436625581</v>
      </c>
      <c r="H70" s="13">
        <f>(1+G70)/(1+MAX(G$2:G70))-1</f>
        <v>-0.56013093629573218</v>
      </c>
      <c r="I70" s="18" t="s">
        <v>121</v>
      </c>
      <c r="J70" s="14">
        <v>1.55E-2</v>
      </c>
      <c r="K70" s="15">
        <f t="shared" si="28"/>
        <v>0.39643399727203987</v>
      </c>
      <c r="L70" s="15">
        <f t="shared" si="33"/>
        <v>1.2097949101809267</v>
      </c>
      <c r="M70" s="13">
        <f>(1+L70)/(1+MAX(L$2:L70))-1</f>
        <v>-0.63911021997770012</v>
      </c>
      <c r="N70" s="18" t="s">
        <v>105</v>
      </c>
      <c r="O70" s="16">
        <v>0.1295</v>
      </c>
      <c r="P70" s="57" t="s">
        <v>125</v>
      </c>
      <c r="Q70" s="16">
        <v>0.1183</v>
      </c>
      <c r="R70" s="57" t="s">
        <v>128</v>
      </c>
      <c r="S70" s="16">
        <v>-7.7000000000000002E-3</v>
      </c>
      <c r="T70" s="14">
        <v>-4.7129914562501707E-2</v>
      </c>
      <c r="U70" s="15">
        <f t="shared" si="29"/>
        <v>-3.382920564429226E-2</v>
      </c>
      <c r="V70" s="15">
        <f t="shared" si="34"/>
        <v>0.43438443734484333</v>
      </c>
      <c r="W70" s="13">
        <f>(1+V70)/(1+MAX(V$2:V70))-1</f>
        <v>-6.1657268750734517E-2</v>
      </c>
      <c r="X70" s="19"/>
      <c r="Y70" s="20">
        <f t="shared" si="35"/>
        <v>4.8663333333333329E-2</v>
      </c>
      <c r="Z70" s="15">
        <f t="shared" si="30"/>
        <v>0.49593805669969249</v>
      </c>
      <c r="AA70" s="15">
        <f t="shared" si="36"/>
        <v>6.0314412407738169</v>
      </c>
      <c r="AB70" s="15">
        <f>(1+AA70)/(1+MAX(AA$2:AA70))-1</f>
        <v>-0.5964877627419497</v>
      </c>
      <c r="AC70" s="58">
        <f t="shared" si="37"/>
        <v>7031.4412407738146</v>
      </c>
      <c r="AF70" s="62"/>
    </row>
    <row r="71" spans="1:35" s="61" customFormat="1" outlineLevel="1" x14ac:dyDescent="0.3">
      <c r="A71" s="61" t="s">
        <v>664</v>
      </c>
      <c r="B71" s="55" t="str">
        <f t="shared" si="31"/>
        <v>2023-10</v>
      </c>
      <c r="C71" s="11">
        <v>45200</v>
      </c>
      <c r="D71" s="18" t="s">
        <v>106</v>
      </c>
      <c r="E71" s="14">
        <v>0.28549999999999998</v>
      </c>
      <c r="F71" s="15">
        <f t="shared" si="27"/>
        <v>1.0951148674662985</v>
      </c>
      <c r="G71" s="15">
        <f t="shared" si="32"/>
        <v>1.4497046377821841</v>
      </c>
      <c r="H71" s="13">
        <f>(1+G71)/(1+MAX(G$2:G71))-1</f>
        <v>-0.43454831860816379</v>
      </c>
      <c r="I71" s="18" t="s">
        <v>121</v>
      </c>
      <c r="J71" s="14">
        <v>8.6900000000000005E-2</v>
      </c>
      <c r="K71" s="15">
        <f t="shared" si="28"/>
        <v>0.51778411163498017</v>
      </c>
      <c r="L71" s="15">
        <f t="shared" si="33"/>
        <v>1.4018260878756492</v>
      </c>
      <c r="M71" s="13">
        <f>(1+L71)/(1+MAX(L$2:L71))-1</f>
        <v>-0.60774889809376231</v>
      </c>
      <c r="N71" s="18" t="s">
        <v>105</v>
      </c>
      <c r="O71" s="16">
        <v>4.4900000000000002E-2</v>
      </c>
      <c r="P71" s="57" t="s">
        <v>128</v>
      </c>
      <c r="Q71" s="16">
        <v>0.54890000000000005</v>
      </c>
      <c r="R71" s="57" t="s">
        <v>137</v>
      </c>
      <c r="S71" s="16">
        <v>0.22020000000000001</v>
      </c>
      <c r="T71" s="14">
        <v>-6.2374894835068861E-3</v>
      </c>
      <c r="U71" s="15">
        <f t="shared" si="29"/>
        <v>-3.9855685813357522E-2</v>
      </c>
      <c r="V71" s="15">
        <f t="shared" si="34"/>
        <v>0.42543747950159894</v>
      </c>
      <c r="W71" s="13">
        <f>(1+V71)/(1+MAX(V$2:V71))-1</f>
        <v>-6.7510171668827001E-2</v>
      </c>
      <c r="X71" s="21"/>
      <c r="Y71" s="20">
        <f t="shared" si="35"/>
        <v>0.22025333333333336</v>
      </c>
      <c r="Z71" s="15">
        <f t="shared" si="30"/>
        <v>0.82542340014798898</v>
      </c>
      <c r="AA71" s="15">
        <f t="shared" si="36"/>
        <v>7.5801396121917204</v>
      </c>
      <c r="AB71" s="15">
        <f>(1+AA71)/(1+MAX(AA$2:AA71))-1</f>
        <v>-0.50761284744507318</v>
      </c>
      <c r="AC71" s="58">
        <f t="shared" si="37"/>
        <v>8580.1396121917169</v>
      </c>
    </row>
    <row r="72" spans="1:35" s="61" customFormat="1" outlineLevel="1" x14ac:dyDescent="0.3">
      <c r="A72" s="61" t="s">
        <v>664</v>
      </c>
      <c r="B72" s="55" t="str">
        <f t="shared" si="31"/>
        <v>2023-11</v>
      </c>
      <c r="C72" s="11">
        <v>45231</v>
      </c>
      <c r="D72" s="18" t="s">
        <v>106</v>
      </c>
      <c r="E72" s="14">
        <v>8.7800000000000003E-2</v>
      </c>
      <c r="F72" s="15">
        <f t="shared" si="27"/>
        <v>1.2790659528298396</v>
      </c>
      <c r="G72" s="15">
        <f t="shared" si="32"/>
        <v>1.6647887049794599</v>
      </c>
      <c r="H72" s="13">
        <f>(1+G72)/(1+MAX(G$2:G72))-1</f>
        <v>-0.38490166098196055</v>
      </c>
      <c r="I72" s="18" t="s">
        <v>121</v>
      </c>
      <c r="J72" s="14">
        <v>0.13</v>
      </c>
      <c r="K72" s="15">
        <f t="shared" si="28"/>
        <v>0.71509604614752753</v>
      </c>
      <c r="L72" s="15">
        <f t="shared" si="33"/>
        <v>1.7140634792994836</v>
      </c>
      <c r="M72" s="13">
        <f>(1+L72)/(1+MAX(L$2:L72))-1</f>
        <v>-0.55675625484595148</v>
      </c>
      <c r="N72" s="18" t="s">
        <v>105</v>
      </c>
      <c r="O72" s="16">
        <v>-9.5100000000000004E-2</v>
      </c>
      <c r="P72" s="57" t="s">
        <v>128</v>
      </c>
      <c r="Q72" s="16">
        <v>2.3776000000000002</v>
      </c>
      <c r="R72" s="57" t="s">
        <v>137</v>
      </c>
      <c r="S72" s="16">
        <v>0.1938</v>
      </c>
      <c r="T72" s="14">
        <v>0.103491882601249</v>
      </c>
      <c r="U72" s="15">
        <f t="shared" si="29"/>
        <v>5.9511456830703136E-2</v>
      </c>
      <c r="V72" s="15">
        <f t="shared" si="34"/>
        <v>0.57295868778559855</v>
      </c>
      <c r="W72" s="13">
        <f>(1+V72)/(1+MAX(V$2:V72))-1</f>
        <v>0</v>
      </c>
      <c r="X72" s="21"/>
      <c r="Y72" s="20">
        <f t="shared" si="35"/>
        <v>0.39551333333333338</v>
      </c>
      <c r="Z72" s="15">
        <f t="shared" si="30"/>
        <v>1.5474026938851875</v>
      </c>
      <c r="AA72" s="15">
        <f t="shared" si="36"/>
        <v>10.973699230675042</v>
      </c>
      <c r="AB72" s="15">
        <f>(1+AA72)/(1+MAX(AA$2:AA72))-1</f>
        <v>-0.3128671634475656</v>
      </c>
      <c r="AC72" s="58">
        <f t="shared" si="37"/>
        <v>11973.699230675038</v>
      </c>
    </row>
    <row r="73" spans="1:35" s="27" customFormat="1" ht="15" thickBot="1" x14ac:dyDescent="0.35">
      <c r="A73" s="27" t="s">
        <v>664</v>
      </c>
      <c r="B73" s="63" t="str">
        <f t="shared" si="31"/>
        <v>2023-12</v>
      </c>
      <c r="C73" s="22">
        <v>45261</v>
      </c>
      <c r="D73" s="29" t="s">
        <v>106</v>
      </c>
      <c r="E73" s="24">
        <v>0.1207</v>
      </c>
      <c r="F73" s="25">
        <f t="shared" si="27"/>
        <v>1.5541492133364012</v>
      </c>
      <c r="G73" s="25">
        <f t="shared" si="32"/>
        <v>1.9864287016704809</v>
      </c>
      <c r="H73" s="26">
        <f>(1+G73)/(1+MAX(G$2:G73))-1</f>
        <v>-0.31065929146248317</v>
      </c>
      <c r="I73" s="29" t="s">
        <v>121</v>
      </c>
      <c r="J73" s="24">
        <v>0.1115</v>
      </c>
      <c r="K73" s="25">
        <f t="shared" si="28"/>
        <v>0.9063292552929767</v>
      </c>
      <c r="L73" s="25">
        <f t="shared" si="33"/>
        <v>2.0166815572413759</v>
      </c>
      <c r="M73" s="26">
        <f>(1+L73)/(1+MAX(L$2:L73))-1</f>
        <v>-0.50733457726127495</v>
      </c>
      <c r="N73" s="29" t="s">
        <v>105</v>
      </c>
      <c r="O73" s="141">
        <v>0.1701</v>
      </c>
      <c r="P73" s="142" t="s">
        <v>128</v>
      </c>
      <c r="Q73" s="141">
        <v>-7.4899999999999994E-2</v>
      </c>
      <c r="R73" s="142" t="s">
        <v>137</v>
      </c>
      <c r="S73" s="141">
        <v>0.49480000000000002</v>
      </c>
      <c r="T73" s="24">
        <v>4.2903297039834858E-2</v>
      </c>
      <c r="U73" s="25">
        <f t="shared" si="29"/>
        <v>0.10496799158021886</v>
      </c>
      <c r="V73" s="25">
        <f t="shared" si="34"/>
        <v>0.64044380159905301</v>
      </c>
      <c r="W73" s="26">
        <f>(1+V73)/(1+MAX(V$2:V73))-1</f>
        <v>0</v>
      </c>
      <c r="X73" s="31"/>
      <c r="Y73" s="32">
        <f t="shared" si="35"/>
        <v>0.14832666666666666</v>
      </c>
      <c r="Z73" s="25">
        <f t="shared" si="30"/>
        <v>1.9252504441268643</v>
      </c>
      <c r="AA73" s="25">
        <f t="shared" si="36"/>
        <v>12.749718125230302</v>
      </c>
      <c r="AB73" s="25">
        <f>(1+AA73)/(1+MAX(AA$2:AA73))-1</f>
        <v>-0.21094704024453148</v>
      </c>
      <c r="AC73" s="66">
        <f t="shared" si="37"/>
        <v>13749.718125230298</v>
      </c>
    </row>
    <row r="74" spans="1:35" s="54" customFormat="1" outlineLevel="1" x14ac:dyDescent="0.3">
      <c r="A74" s="54" t="s">
        <v>664</v>
      </c>
      <c r="B74" s="48" t="str">
        <f t="shared" si="31"/>
        <v>2024-1</v>
      </c>
      <c r="C74" s="1">
        <v>45292</v>
      </c>
      <c r="D74" s="8" t="s">
        <v>106</v>
      </c>
      <c r="E74" s="4">
        <v>7.4999999999999997E-3</v>
      </c>
      <c r="F74" s="5">
        <f>+E74</f>
        <v>7.4999999999999997E-3</v>
      </c>
      <c r="G74" s="5">
        <f t="shared" si="32"/>
        <v>2.0088269169330095</v>
      </c>
      <c r="H74" s="3">
        <f>(1+G74)/(1+MAX(G$2:G74))-1</f>
        <v>-0.3054892361484518</v>
      </c>
      <c r="I74" s="8" t="s">
        <v>121</v>
      </c>
      <c r="J74" s="4">
        <v>5.0000000000000001E-4</v>
      </c>
      <c r="K74" s="5">
        <f>+J74</f>
        <v>5.0000000000000001E-4</v>
      </c>
      <c r="L74" s="5">
        <f t="shared" si="33"/>
        <v>2.0181898980199966</v>
      </c>
      <c r="M74" s="3">
        <f>(1+L74)/(1+MAX(L$2:L74))-1</f>
        <v>-0.50708824454990564</v>
      </c>
      <c r="N74" s="8" t="s">
        <v>117</v>
      </c>
      <c r="O74" s="6">
        <v>-3.8399999999999997E-2</v>
      </c>
      <c r="P74" s="50" t="s">
        <v>128</v>
      </c>
      <c r="Q74" s="6">
        <v>0.75770000000000004</v>
      </c>
      <c r="R74" s="50" t="s">
        <v>137</v>
      </c>
      <c r="S74" s="6">
        <v>-0.36870000000000003</v>
      </c>
      <c r="T74" s="4">
        <v>3.5665838086957342E-2</v>
      </c>
      <c r="U74" s="5">
        <f>+T74</f>
        <v>3.5665838086957342E-2</v>
      </c>
      <c r="V74" s="5">
        <f t="shared" si="34"/>
        <v>0.69895160461763783</v>
      </c>
      <c r="W74" s="3">
        <f>(1+V74)/(1+MAX(V$2:V74))-1</f>
        <v>0</v>
      </c>
      <c r="X74" s="9"/>
      <c r="Y74" s="10">
        <f t="shared" si="35"/>
        <v>4.9146666666666672E-2</v>
      </c>
      <c r="Z74" s="5">
        <f>+Y74</f>
        <v>4.9146666666666672E-2</v>
      </c>
      <c r="AA74" s="5">
        <f t="shared" si="36"/>
        <v>13.425470938691621</v>
      </c>
      <c r="AB74" s="5">
        <f>(1+AA74)/(1+MAX(AA$2:AA74))-1</f>
        <v>-0.17216771744908266</v>
      </c>
      <c r="AC74" s="51">
        <f t="shared" si="37"/>
        <v>14425.470938691617</v>
      </c>
    </row>
    <row r="75" spans="1:35" s="61" customFormat="1" outlineLevel="1" x14ac:dyDescent="0.3">
      <c r="A75" s="61" t="s">
        <v>664</v>
      </c>
      <c r="B75" s="55" t="str">
        <f t="shared" si="31"/>
        <v>2024-2</v>
      </c>
      <c r="C75" s="11">
        <v>45323</v>
      </c>
      <c r="D75" s="18" t="s">
        <v>106</v>
      </c>
      <c r="E75" s="14">
        <v>0.43719999999999998</v>
      </c>
      <c r="F75" s="15">
        <f t="shared" ref="F75:F85" si="38">+(1+E75)*(1+F74)-1</f>
        <v>0.44797900000000013</v>
      </c>
      <c r="G75" s="15">
        <f t="shared" si="32"/>
        <v>3.3242860450161213</v>
      </c>
      <c r="H75" s="13">
        <f>(1+G75)/(1+MAX(G$2:G75))-1</f>
        <v>-1.8491301925549486E-3</v>
      </c>
      <c r="I75" s="18" t="s">
        <v>121</v>
      </c>
      <c r="J75" s="14">
        <v>0.46410000000000001</v>
      </c>
      <c r="K75" s="15">
        <f t="shared" ref="K75:K85" si="39">+(1+J75)*(1+K74)-1</f>
        <v>0.46483204999999983</v>
      </c>
      <c r="L75" s="15">
        <f t="shared" si="33"/>
        <v>3.4189318296910765</v>
      </c>
      <c r="M75" s="13">
        <f>(1+L75)/(1+MAX(L$2:L75))-1</f>
        <v>-0.2783278988455169</v>
      </c>
      <c r="N75" s="18" t="s">
        <v>117</v>
      </c>
      <c r="O75" s="16">
        <v>0.30270000000000002</v>
      </c>
      <c r="P75" s="57" t="s">
        <v>128</v>
      </c>
      <c r="Q75" s="16">
        <v>0.32200000000000001</v>
      </c>
      <c r="R75" s="57" t="s">
        <v>137</v>
      </c>
      <c r="S75" s="16">
        <v>2.1930999999999998</v>
      </c>
      <c r="T75" s="14">
        <v>4.6453875532407977E-2</v>
      </c>
      <c r="U75" s="15">
        <f t="shared" ref="U75:U85" si="40">+(1+T75)*(1+U74)-1</f>
        <v>8.3776530022615869E-2</v>
      </c>
      <c r="V75" s="15">
        <f t="shared" si="34"/>
        <v>0.77787449099413042</v>
      </c>
      <c r="W75" s="13">
        <f>(1+V75)/(1+MAX(V$2:V75))-1</f>
        <v>0</v>
      </c>
      <c r="X75" s="19"/>
      <c r="Y75" s="20">
        <f t="shared" si="35"/>
        <v>0.64609666666666676</v>
      </c>
      <c r="Z75" s="15">
        <f t="shared" ref="Z75:Z85" si="41">+(1+Y75)*(1+Z74)-1</f>
        <v>0.72699683084444455</v>
      </c>
      <c r="AA75" s="15">
        <f t="shared" si="36"/>
        <v>22.74571962727715</v>
      </c>
      <c r="AB75" s="15">
        <f>(1+AA75)/(1+MAX(AA$2:AA75))-1</f>
        <v>0</v>
      </c>
      <c r="AC75" s="58">
        <f t="shared" si="37"/>
        <v>23745.719627277143</v>
      </c>
    </row>
    <row r="76" spans="1:35" s="61" customFormat="1" outlineLevel="1" x14ac:dyDescent="0.3">
      <c r="A76" s="61" t="s">
        <v>664</v>
      </c>
      <c r="B76" s="55" t="str">
        <f t="shared" si="31"/>
        <v>2024-3</v>
      </c>
      <c r="C76" s="11">
        <v>45352</v>
      </c>
      <c r="D76" s="18" t="s">
        <v>106</v>
      </c>
      <c r="E76" s="14">
        <v>0.1656</v>
      </c>
      <c r="F76" s="15">
        <f t="shared" si="38"/>
        <v>0.68776432240000007</v>
      </c>
      <c r="G76" s="15">
        <f t="shared" si="32"/>
        <v>4.0403878140707912</v>
      </c>
      <c r="H76" s="13">
        <f>(1+G76)/(1+MAX(G$2:G76))-1</f>
        <v>0</v>
      </c>
      <c r="I76" s="18" t="s">
        <v>121</v>
      </c>
      <c r="J76" s="14">
        <v>9.1499999999999998E-2</v>
      </c>
      <c r="K76" s="15">
        <f t="shared" si="39"/>
        <v>0.59886418257499963</v>
      </c>
      <c r="L76" s="15">
        <f t="shared" si="33"/>
        <v>3.8232640921078094</v>
      </c>
      <c r="M76" s="13">
        <f>(1+L76)/(1+MAX(L$2:L76))-1</f>
        <v>-0.21229490158988185</v>
      </c>
      <c r="N76" s="18" t="s">
        <v>117</v>
      </c>
      <c r="O76" s="16">
        <v>0.62470000000000003</v>
      </c>
      <c r="P76" s="57" t="s">
        <v>128</v>
      </c>
      <c r="Q76" s="16">
        <v>-0.1552</v>
      </c>
      <c r="R76" s="57" t="s">
        <v>137</v>
      </c>
      <c r="S76" s="16">
        <v>0.1208</v>
      </c>
      <c r="T76" s="14">
        <v>1.9830281219844981E-2</v>
      </c>
      <c r="U76" s="15">
        <f t="shared" si="40"/>
        <v>0.10526812339243219</v>
      </c>
      <c r="V76" s="15">
        <f t="shared" si="34"/>
        <v>0.81313024212413287</v>
      </c>
      <c r="W76" s="13">
        <f>(1+V76)/(1+MAX(V$2:V76))-1</f>
        <v>0</v>
      </c>
      <c r="X76" s="19"/>
      <c r="Y76" s="20">
        <f t="shared" si="35"/>
        <v>0.15583666666666668</v>
      </c>
      <c r="Z76" s="15">
        <f t="shared" si="41"/>
        <v>0.99612626030713991</v>
      </c>
      <c r="AA76" s="15">
        <f t="shared" si="36"/>
        <v>26.446173421593262</v>
      </c>
      <c r="AB76" s="15">
        <f>(1+AA76)/(1+MAX(AA$2:AA76))-1</f>
        <v>0</v>
      </c>
      <c r="AC76" s="58">
        <f t="shared" si="37"/>
        <v>27446.173421593256</v>
      </c>
    </row>
    <row r="77" spans="1:35" s="61" customFormat="1" outlineLevel="1" x14ac:dyDescent="0.3">
      <c r="A77" s="61" t="s">
        <v>664</v>
      </c>
      <c r="B77" s="55" t="str">
        <f t="shared" si="31"/>
        <v>2024-4</v>
      </c>
      <c r="C77" s="11">
        <v>45383</v>
      </c>
      <c r="D77" s="18" t="s">
        <v>106</v>
      </c>
      <c r="E77" s="14">
        <v>-0.15</v>
      </c>
      <c r="F77" s="15">
        <f t="shared" si="38"/>
        <v>0.43459967403999999</v>
      </c>
      <c r="G77" s="15">
        <f t="shared" si="32"/>
        <v>3.2843296419601726</v>
      </c>
      <c r="H77" s="13">
        <f>(1+G77)/(1+MAX(G$2:G77))-1</f>
        <v>-0.15000000000000002</v>
      </c>
      <c r="I77" s="18" t="s">
        <v>121</v>
      </c>
      <c r="J77" s="14">
        <v>-0.17419999999999999</v>
      </c>
      <c r="K77" s="15">
        <f t="shared" si="39"/>
        <v>0.32034204197043459</v>
      </c>
      <c r="L77" s="15">
        <f t="shared" si="33"/>
        <v>2.983051487262629</v>
      </c>
      <c r="M77" s="13">
        <f>(1+L77)/(1+MAX(L$2:L77))-1</f>
        <v>-0.34951312973292437</v>
      </c>
      <c r="N77" s="18" t="s">
        <v>118</v>
      </c>
      <c r="O77" s="16">
        <v>-0.4219</v>
      </c>
      <c r="P77" s="57" t="s">
        <v>129</v>
      </c>
      <c r="Q77" s="16">
        <v>-0.34089999999999998</v>
      </c>
      <c r="R77" s="57" t="s">
        <v>128</v>
      </c>
      <c r="S77" s="16">
        <v>-0.25740000000000002</v>
      </c>
      <c r="T77" s="14">
        <v>-5.2075956328575868E-2</v>
      </c>
      <c r="U77" s="15">
        <f t="shared" si="40"/>
        <v>4.7710228867280824E-2</v>
      </c>
      <c r="V77" s="15">
        <f t="shared" si="34"/>
        <v>0.71870975081725641</v>
      </c>
      <c r="W77" s="13">
        <f>(1+V77)/(1+MAX(V$2:V77))-1</f>
        <v>-5.2075956328575868E-2</v>
      </c>
      <c r="X77" s="19"/>
      <c r="Y77" s="20">
        <f t="shared" si="35"/>
        <v>-0.23328666666666667</v>
      </c>
      <c r="Z77" s="15">
        <f t="shared" si="41"/>
        <v>0.53045661879428829</v>
      </c>
      <c r="AA77" s="15">
        <f t="shared" si="36"/>
        <v>20.04334711131451</v>
      </c>
      <c r="AB77" s="15">
        <f>(1+AA77)/(1+MAX(AA$2:AA77))-1</f>
        <v>-0.23328666666666664</v>
      </c>
      <c r="AC77" s="58">
        <f t="shared" si="37"/>
        <v>21043.347111314506</v>
      </c>
    </row>
    <row r="78" spans="1:35" s="61" customFormat="1" outlineLevel="1" x14ac:dyDescent="0.3">
      <c r="A78" s="61" t="s">
        <v>664</v>
      </c>
      <c r="B78" s="55" t="str">
        <f t="shared" si="31"/>
        <v>2024-5</v>
      </c>
      <c r="C78" s="11">
        <v>45413</v>
      </c>
      <c r="D78" s="18" t="s">
        <v>106</v>
      </c>
      <c r="E78" s="14">
        <v>0.113</v>
      </c>
      <c r="F78" s="15">
        <f t="shared" si="38"/>
        <v>0.59670943720652003</v>
      </c>
      <c r="G78" s="15">
        <f t="shared" si="32"/>
        <v>3.7684588915016723</v>
      </c>
      <c r="H78" s="13">
        <f>(1+G78)/(1+MAX(G$2:G78))-1</f>
        <v>-5.3949999999999942E-2</v>
      </c>
      <c r="I78" s="18" t="s">
        <v>121</v>
      </c>
      <c r="J78" s="14">
        <v>0.2482</v>
      </c>
      <c r="K78" s="15">
        <f t="shared" si="39"/>
        <v>0.64805093678749648</v>
      </c>
      <c r="L78" s="15">
        <f t="shared" si="33"/>
        <v>3.9716448664012134</v>
      </c>
      <c r="M78" s="13">
        <f>(1+L78)/(1+MAX(L$2:L78))-1</f>
        <v>-0.18806228853263629</v>
      </c>
      <c r="N78" s="18" t="s">
        <v>118</v>
      </c>
      <c r="O78" s="16">
        <v>0.21859999999999999</v>
      </c>
      <c r="P78" s="57" t="s">
        <v>128</v>
      </c>
      <c r="Q78" s="16">
        <v>2E-3</v>
      </c>
      <c r="R78" s="57" t="s">
        <v>137</v>
      </c>
      <c r="S78" s="16">
        <v>6.4799999999999996E-2</v>
      </c>
      <c r="T78" s="14">
        <v>7.00625353893366E-2</v>
      </c>
      <c r="U78" s="15">
        <f t="shared" si="40"/>
        <v>0.12111546385506444</v>
      </c>
      <c r="V78" s="15">
        <f t="shared" si="34"/>
        <v>0.83912691355788804</v>
      </c>
      <c r="W78" s="13">
        <f>(1+V78)/(1+MAX(V$2:V78))-1</f>
        <v>0</v>
      </c>
      <c r="X78" s="19"/>
      <c r="Y78" s="20">
        <f t="shared" si="35"/>
        <v>0.14641333333333334</v>
      </c>
      <c r="Z78" s="15">
        <f t="shared" si="41"/>
        <v>0.75453587387402266</v>
      </c>
      <c r="AA78" s="15">
        <f t="shared" si="36"/>
        <v>23.124373706372438</v>
      </c>
      <c r="AB78" s="15">
        <f>(1+AA78)/(1+MAX(AA$2:AA78))-1</f>
        <v>-0.12102961182222216</v>
      </c>
      <c r="AC78" s="58">
        <f t="shared" si="37"/>
        <v>24124.373706372433</v>
      </c>
      <c r="AF78" s="62"/>
      <c r="AG78" s="62"/>
      <c r="AH78" s="62"/>
      <c r="AI78" s="62"/>
    </row>
    <row r="79" spans="1:35" s="61" customFormat="1" outlineLevel="1" x14ac:dyDescent="0.3">
      <c r="A79" s="61" t="s">
        <v>664</v>
      </c>
      <c r="B79" s="55" t="str">
        <f t="shared" si="31"/>
        <v>2024-6</v>
      </c>
      <c r="C79" s="11">
        <v>45444</v>
      </c>
      <c r="D79" s="18" t="s">
        <v>106</v>
      </c>
      <c r="E79" s="14">
        <v>-7.1300000000000002E-2</v>
      </c>
      <c r="F79" s="15">
        <f t="shared" si="38"/>
        <v>0.48286405433369506</v>
      </c>
      <c r="G79" s="15">
        <f t="shared" si="32"/>
        <v>3.4284677725376032</v>
      </c>
      <c r="H79" s="13">
        <f>(1+G79)/(1+MAX(G$2:G79))-1</f>
        <v>-0.12140336499999993</v>
      </c>
      <c r="I79" s="18" t="s">
        <v>121</v>
      </c>
      <c r="J79" s="14">
        <v>-8.6999999999999994E-2</v>
      </c>
      <c r="K79" s="15">
        <f t="shared" si="39"/>
        <v>0.50467050528698443</v>
      </c>
      <c r="L79" s="15">
        <f t="shared" si="33"/>
        <v>3.5391117630243079</v>
      </c>
      <c r="M79" s="13">
        <f>(1+L79)/(1+MAX(L$2:L79))-1</f>
        <v>-0.25870086943029691</v>
      </c>
      <c r="N79" s="18" t="s">
        <v>110</v>
      </c>
      <c r="O79" s="16">
        <v>-0.33200000000000002</v>
      </c>
      <c r="P79" s="57" t="s">
        <v>130</v>
      </c>
      <c r="Q79" s="16">
        <v>-0.2</v>
      </c>
      <c r="R79" s="57" t="s">
        <v>118</v>
      </c>
      <c r="S79" s="16">
        <v>1.83E-2</v>
      </c>
      <c r="T79" s="14">
        <v>5.4949923835700083E-2</v>
      </c>
      <c r="U79" s="15">
        <f t="shared" si="40"/>
        <v>0.1827206732049258</v>
      </c>
      <c r="V79" s="15">
        <f t="shared" si="34"/>
        <v>0.94018679738208011</v>
      </c>
      <c r="W79" s="13">
        <f>(1+V79)/(1+MAX(V$2:V79))-1</f>
        <v>0</v>
      </c>
      <c r="X79" s="19"/>
      <c r="Y79" s="20">
        <f t="shared" si="35"/>
        <v>-0.11598333333333333</v>
      </c>
      <c r="Z79" s="15">
        <f t="shared" si="41"/>
        <v>0.55103895476920051</v>
      </c>
      <c r="AA79" s="15">
        <f t="shared" si="36"/>
        <v>20.326348429328341</v>
      </c>
      <c r="AB79" s="15">
        <f>(1+AA79)/(1+MAX(AA$2:AA79))-1</f>
        <v>-0.22297552734437476</v>
      </c>
      <c r="AC79" s="58">
        <f t="shared" si="37"/>
        <v>21326.348429328336</v>
      </c>
      <c r="AF79" s="62"/>
      <c r="AG79" s="62"/>
      <c r="AH79" s="62"/>
      <c r="AI79" s="62"/>
    </row>
    <row r="80" spans="1:35" s="61" customFormat="1" outlineLevel="1" x14ac:dyDescent="0.3">
      <c r="A80" s="61" t="s">
        <v>664</v>
      </c>
      <c r="B80" s="55" t="str">
        <f t="shared" si="31"/>
        <v>2024-7</v>
      </c>
      <c r="C80" s="11">
        <v>45474</v>
      </c>
      <c r="D80" s="18" t="s">
        <v>106</v>
      </c>
      <c r="E80" s="14">
        <v>3.1E-2</v>
      </c>
      <c r="F80" s="15">
        <f t="shared" si="38"/>
        <v>0.52883284001803954</v>
      </c>
      <c r="G80" s="15">
        <f t="shared" si="32"/>
        <v>3.5657502734862687</v>
      </c>
      <c r="H80" s="13">
        <f>(1+G80)/(1+MAX(G$2:G80))-1</f>
        <v>-9.4166869314999957E-2</v>
      </c>
      <c r="I80" s="18" t="s">
        <v>121</v>
      </c>
      <c r="J80" s="14">
        <v>-5.8700000000000002E-2</v>
      </c>
      <c r="K80" s="15">
        <f t="shared" si="39"/>
        <v>0.41634634662663839</v>
      </c>
      <c r="L80" s="15">
        <f t="shared" si="33"/>
        <v>3.2726659025347811</v>
      </c>
      <c r="M80" s="13">
        <f>(1+L80)/(1+MAX(L$2:L80))-1</f>
        <v>-0.30221512839473852</v>
      </c>
      <c r="N80" s="18" t="s">
        <v>110</v>
      </c>
      <c r="O80" s="16">
        <v>-0.19259999999999999</v>
      </c>
      <c r="P80" s="57" t="s">
        <v>119</v>
      </c>
      <c r="Q80" s="16">
        <v>-0.2273</v>
      </c>
      <c r="R80" s="57" t="s">
        <v>130</v>
      </c>
      <c r="S80" s="16">
        <v>-8.3299999999999999E-2</v>
      </c>
      <c r="T80" s="14">
        <v>-1.5662601843354721E-2</v>
      </c>
      <c r="U80" s="15">
        <f t="shared" si="40"/>
        <v>0.16419619020861242</v>
      </c>
      <c r="V80" s="15">
        <f t="shared" si="34"/>
        <v>0.90979842407295086</v>
      </c>
      <c r="W80" s="13">
        <f>(1+V80)/(1+MAX(V$2:V80))-1</f>
        <v>-1.5662601843354773E-2</v>
      </c>
      <c r="X80" s="19"/>
      <c r="Y80" s="20">
        <f t="shared" si="35"/>
        <v>-7.5403333333333322E-2</v>
      </c>
      <c r="Z80" s="15">
        <f t="shared" si="41"/>
        <v>0.43408544744975375</v>
      </c>
      <c r="AA80" s="15">
        <f t="shared" si="36"/>
        <v>18.718270669928888</v>
      </c>
      <c r="AB80" s="15">
        <f>(1+AA80)/(1+MAX(AA$2:AA80))-1</f>
        <v>-0.28156576266418443</v>
      </c>
      <c r="AC80" s="58">
        <f t="shared" si="37"/>
        <v>19718.270669928883</v>
      </c>
      <c r="AF80" s="62"/>
      <c r="AG80" s="62"/>
      <c r="AH80" s="62"/>
      <c r="AI80" s="62"/>
    </row>
    <row r="81" spans="1:35" s="61" customFormat="1" outlineLevel="1" x14ac:dyDescent="0.3">
      <c r="A81" s="61" t="s">
        <v>664</v>
      </c>
      <c r="B81" s="55" t="str">
        <f t="shared" si="31"/>
        <v>2024-8</v>
      </c>
      <c r="C81" s="11">
        <v>45505</v>
      </c>
      <c r="D81" s="18" t="s">
        <v>106</v>
      </c>
      <c r="E81" s="14">
        <v>-8.7400000000000005E-2</v>
      </c>
      <c r="F81" s="15">
        <f t="shared" si="38"/>
        <v>0.39521284980046278</v>
      </c>
      <c r="G81" s="15">
        <f t="shared" si="32"/>
        <v>3.1667036995835689</v>
      </c>
      <c r="H81" s="13">
        <f>(1+G81)/(1+MAX(G$2:G81))-1</f>
        <v>-0.17333668493686893</v>
      </c>
      <c r="I81" s="18" t="s">
        <v>121</v>
      </c>
      <c r="J81" s="14">
        <v>-0.22220000000000001</v>
      </c>
      <c r="K81" s="15">
        <f t="shared" si="39"/>
        <v>0.10163418840619931</v>
      </c>
      <c r="L81" s="15">
        <f t="shared" si="33"/>
        <v>2.323279538991553</v>
      </c>
      <c r="M81" s="13">
        <f>(1+L81)/(1+MAX(L$2:L81))-1</f>
        <v>-0.45726292686542758</v>
      </c>
      <c r="N81" s="18" t="s">
        <v>119</v>
      </c>
      <c r="O81" s="16">
        <v>-0.31990000000000002</v>
      </c>
      <c r="P81" s="57" t="s">
        <v>130</v>
      </c>
      <c r="Q81" s="16">
        <v>-0.2727</v>
      </c>
      <c r="R81" s="57" t="s">
        <v>126</v>
      </c>
      <c r="S81" s="16">
        <v>-0.1981</v>
      </c>
      <c r="T81" s="14">
        <v>1.241351023422221E-2</v>
      </c>
      <c r="U81" s="15">
        <f t="shared" si="40"/>
        <v>0.17864795153040958</v>
      </c>
      <c r="V81" s="15">
        <f t="shared" si="34"/>
        <v>0.93350572635548179</v>
      </c>
      <c r="W81" s="13">
        <f>(1+V81)/(1+MAX(V$2:V81))-1</f>
        <v>-3.4435194774097289E-3</v>
      </c>
      <c r="X81" s="19"/>
      <c r="Y81" s="20">
        <f t="shared" si="35"/>
        <v>-0.19830666666666666</v>
      </c>
      <c r="Z81" s="15">
        <f t="shared" si="41"/>
        <v>0.149696742650818</v>
      </c>
      <c r="AA81" s="15">
        <f t="shared" si="36"/>
        <v>14.80800614094419</v>
      </c>
      <c r="AB81" s="15">
        <f>(1+AA81)/(1+MAX(AA$2:AA81))-1</f>
        <v>-0.42403606148945883</v>
      </c>
      <c r="AC81" s="58">
        <f t="shared" si="37"/>
        <v>15808.006140944186</v>
      </c>
      <c r="AF81" s="62"/>
      <c r="AG81" s="62"/>
      <c r="AH81" s="62"/>
      <c r="AI81" s="62"/>
    </row>
    <row r="82" spans="1:35" s="61" customFormat="1" outlineLevel="1" x14ac:dyDescent="0.3">
      <c r="A82" s="61" t="s">
        <v>664</v>
      </c>
      <c r="B82" s="55" t="str">
        <f t="shared" si="31"/>
        <v>2024-9</v>
      </c>
      <c r="C82" s="11">
        <v>45536</v>
      </c>
      <c r="D82" s="18" t="s">
        <v>106</v>
      </c>
      <c r="E82" s="14">
        <v>7.3899999999999993E-2</v>
      </c>
      <c r="F82" s="15">
        <f t="shared" si="38"/>
        <v>0.49831907940071707</v>
      </c>
      <c r="G82" s="15">
        <f t="shared" si="32"/>
        <v>3.474623102982795</v>
      </c>
      <c r="H82" s="13">
        <f>(1+G82)/(1+MAX(G$2:G82))-1</f>
        <v>-0.11224626595370346</v>
      </c>
      <c r="I82" s="18" t="s">
        <v>121</v>
      </c>
      <c r="J82" s="14">
        <v>3.5700000000000003E-2</v>
      </c>
      <c r="K82" s="15">
        <f t="shared" si="39"/>
        <v>0.14096252893230066</v>
      </c>
      <c r="L82" s="15">
        <f t="shared" si="33"/>
        <v>2.4419206185335516</v>
      </c>
      <c r="M82" s="13">
        <f>(1+L82)/(1+MAX(L$2:L82))-1</f>
        <v>-0.4378872133545233</v>
      </c>
      <c r="N82" s="18" t="s">
        <v>119</v>
      </c>
      <c r="O82" s="16">
        <v>0.18959999999999999</v>
      </c>
      <c r="P82" s="57" t="s">
        <v>130</v>
      </c>
      <c r="Q82" s="16">
        <v>0.25</v>
      </c>
      <c r="R82" s="57" t="s">
        <v>126</v>
      </c>
      <c r="S82" s="16">
        <v>5.4300000000000001E-2</v>
      </c>
      <c r="T82" s="14">
        <v>3.2450008764541738E-2</v>
      </c>
      <c r="U82" s="15">
        <f t="shared" si="40"/>
        <v>0.21689508788788059</v>
      </c>
      <c r="V82" s="15">
        <f t="shared" si="34"/>
        <v>0.99624800412200898</v>
      </c>
      <c r="W82" s="13">
        <f>(1+V82)/(1+MAX(V$2:V82))-1</f>
        <v>0</v>
      </c>
      <c r="X82" s="19"/>
      <c r="Y82" s="20">
        <f t="shared" si="35"/>
        <v>9.873333333333334E-2</v>
      </c>
      <c r="Z82" s="15">
        <f t="shared" si="41"/>
        <v>0.26321013437520868</v>
      </c>
      <c r="AA82" s="15">
        <f t="shared" si="36"/>
        <v>16.368783280593412</v>
      </c>
      <c r="AB82" s="15">
        <f>(1+AA82)/(1+MAX(AA$2:AA82))-1</f>
        <v>-0.36716922196051816</v>
      </c>
      <c r="AC82" s="58">
        <f t="shared" si="37"/>
        <v>17368.783280593409</v>
      </c>
      <c r="AF82" s="62"/>
    </row>
    <row r="83" spans="1:35" s="61" customFormat="1" outlineLevel="1" x14ac:dyDescent="0.3">
      <c r="A83" s="61" t="s">
        <v>664</v>
      </c>
      <c r="B83" s="55" t="str">
        <f t="shared" si="31"/>
        <v>2024-10</v>
      </c>
      <c r="C83" s="11">
        <v>45566</v>
      </c>
      <c r="D83" s="18" t="s">
        <v>106</v>
      </c>
      <c r="E83" s="14">
        <v>0.1087</v>
      </c>
      <c r="F83" s="15">
        <f t="shared" si="38"/>
        <v>0.6611863633315751</v>
      </c>
      <c r="G83" s="15">
        <f t="shared" si="32"/>
        <v>3.9610146342770252</v>
      </c>
      <c r="H83" s="13">
        <f>(1+G83)/(1+MAX(G$2:G83))-1</f>
        <v>-1.5747435062871018E-2</v>
      </c>
      <c r="I83" s="18" t="s">
        <v>121</v>
      </c>
      <c r="J83" s="14">
        <v>-3.3500000000000002E-2</v>
      </c>
      <c r="K83" s="15">
        <f t="shared" si="39"/>
        <v>0.10274028421306869</v>
      </c>
      <c r="L83" s="15">
        <f t="shared" si="33"/>
        <v>2.3266162778126778</v>
      </c>
      <c r="M83" s="13">
        <f>(1+L83)/(1+MAX(L$2:L83))-1</f>
        <v>-0.45671799170714666</v>
      </c>
      <c r="N83" s="18" t="s">
        <v>119</v>
      </c>
      <c r="O83" s="16">
        <v>-7.85E-2</v>
      </c>
      <c r="P83" s="57" t="s">
        <v>130</v>
      </c>
      <c r="Q83" s="16">
        <v>-0.1</v>
      </c>
      <c r="R83" s="57" t="s">
        <v>126</v>
      </c>
      <c r="S83" s="16">
        <v>-0.1532</v>
      </c>
      <c r="T83" s="14">
        <v>2.1868723822922261E-2</v>
      </c>
      <c r="U83" s="15">
        <f t="shared" si="40"/>
        <v>0.24350703048637135</v>
      </c>
      <c r="V83" s="15">
        <f t="shared" si="34"/>
        <v>1.0399034004062129</v>
      </c>
      <c r="W83" s="13">
        <f>(1+V83)/(1+MAX(V$2:V83))-1</f>
        <v>0</v>
      </c>
      <c r="X83" s="21"/>
      <c r="Y83" s="20">
        <f t="shared" si="35"/>
        <v>-2.1666666666666664E-2</v>
      </c>
      <c r="Z83" s="15">
        <f t="shared" si="41"/>
        <v>0.23584058146374587</v>
      </c>
      <c r="AA83" s="15">
        <f t="shared" si="36"/>
        <v>15.992459642847223</v>
      </c>
      <c r="AB83" s="15">
        <f>(1+AA83)/(1+MAX(AA$2:AA83))-1</f>
        <v>-0.3808805554847069</v>
      </c>
      <c r="AC83" s="58">
        <f t="shared" si="37"/>
        <v>16992.459642847218</v>
      </c>
    </row>
    <row r="84" spans="1:35" s="61" customFormat="1" outlineLevel="1" x14ac:dyDescent="0.3">
      <c r="A84" s="61" t="s">
        <v>664</v>
      </c>
      <c r="B84" s="55" t="str">
        <f t="shared" si="31"/>
        <v>2024-11</v>
      </c>
      <c r="C84" s="11">
        <v>45597</v>
      </c>
      <c r="D84" s="18" t="s">
        <v>106</v>
      </c>
      <c r="E84" s="14">
        <v>0.37359999999999999</v>
      </c>
      <c r="F84" s="15">
        <f t="shared" si="38"/>
        <v>1.2818055886722513</v>
      </c>
      <c r="G84" s="15">
        <f t="shared" si="32"/>
        <v>5.8144497016429213</v>
      </c>
      <c r="H84" s="13">
        <f>(1+G84)/(1+MAX(G$2:G84))-1</f>
        <v>0</v>
      </c>
      <c r="I84" s="18" t="s">
        <v>121</v>
      </c>
      <c r="J84" s="14">
        <v>0.47299999999999998</v>
      </c>
      <c r="K84" s="15">
        <f t="shared" si="39"/>
        <v>0.62433643864585009</v>
      </c>
      <c r="L84" s="15">
        <f t="shared" si="33"/>
        <v>3.9001057772180738</v>
      </c>
      <c r="M84" s="13">
        <f>(1+L84)/(1+MAX(L$2:L84))-1</f>
        <v>-0.19974560178462719</v>
      </c>
      <c r="N84" s="18" t="s">
        <v>119</v>
      </c>
      <c r="O84" s="16">
        <v>0.77939999999999998</v>
      </c>
      <c r="P84" s="57" t="s">
        <v>130</v>
      </c>
      <c r="Q84" s="16">
        <v>1.2222</v>
      </c>
      <c r="R84" s="57" t="s">
        <v>126</v>
      </c>
      <c r="S84" s="16">
        <v>0.41089999999999999</v>
      </c>
      <c r="T84" s="14">
        <v>8.6830726573344563E-2</v>
      </c>
      <c r="U84" s="15">
        <f t="shared" si="40"/>
        <v>0.35148164944256499</v>
      </c>
      <c r="V84" s="15">
        <f t="shared" si="34"/>
        <v>1.2170296948029207</v>
      </c>
      <c r="W84" s="13">
        <f>(1+V84)/(1+MAX(V$2:V84))-1</f>
        <v>0</v>
      </c>
      <c r="X84" s="21"/>
      <c r="Y84" s="20">
        <f t="shared" si="35"/>
        <v>0.57564666666666664</v>
      </c>
      <c r="Z84" s="15">
        <f t="shared" si="41"/>
        <v>0.94724809271474619</v>
      </c>
      <c r="AA84" s="15">
        <f t="shared" si="36"/>
        <v>25.774112394720085</v>
      </c>
      <c r="AB84" s="15">
        <f>(1+AA84)/(1+MAX(AA$2:AA84))-1</f>
        <v>-2.4486510980959997E-2</v>
      </c>
      <c r="AC84" s="58">
        <f t="shared" si="37"/>
        <v>26774.112394720076</v>
      </c>
    </row>
    <row r="85" spans="1:35" s="27" customFormat="1" ht="15" thickBot="1" x14ac:dyDescent="0.35">
      <c r="A85" s="27" t="s">
        <v>664</v>
      </c>
      <c r="B85" s="63" t="str">
        <f t="shared" si="31"/>
        <v>2024-12</v>
      </c>
      <c r="C85" s="22">
        <v>45627</v>
      </c>
      <c r="D85" s="29" t="s">
        <v>106</v>
      </c>
      <c r="E85" s="24">
        <v>-3.1300000000000001E-2</v>
      </c>
      <c r="F85" s="25">
        <f t="shared" si="38"/>
        <v>1.2103850737468096</v>
      </c>
      <c r="G85" s="25">
        <f t="shared" si="32"/>
        <v>5.6011574259814978</v>
      </c>
      <c r="H85" s="26">
        <f>(1+G85)/(1+MAX(G$2:G85))-1</f>
        <v>-3.1299999999999994E-2</v>
      </c>
      <c r="I85" s="29" t="s">
        <v>121</v>
      </c>
      <c r="J85" s="24">
        <v>-0.1007</v>
      </c>
      <c r="K85" s="25">
        <f t="shared" si="39"/>
        <v>0.46076575927421293</v>
      </c>
      <c r="L85" s="25">
        <f t="shared" si="33"/>
        <v>3.4066651254522133</v>
      </c>
      <c r="M85" s="26">
        <f>(1+L85)/(1+MAX(L$2:L85))-1</f>
        <v>-0.28033121968491537</v>
      </c>
      <c r="N85" s="29" t="s">
        <v>103</v>
      </c>
      <c r="O85" s="141">
        <v>0.45660000000000001</v>
      </c>
      <c r="P85" s="142" t="s">
        <v>118</v>
      </c>
      <c r="Q85" s="141">
        <v>-0.1047</v>
      </c>
      <c r="R85" s="142" t="s">
        <v>131</v>
      </c>
      <c r="S85" s="141">
        <v>0.182</v>
      </c>
      <c r="T85" s="24">
        <v>-4.6671005850319247E-2</v>
      </c>
      <c r="U85" s="25">
        <f t="shared" si="40"/>
        <v>0.28840664147483186</v>
      </c>
      <c r="V85" s="25">
        <f t="shared" si="34"/>
        <v>1.1135586889464419</v>
      </c>
      <c r="W85" s="26">
        <f>(1+V85)/(1+MAX(V$2:V85))-1</f>
        <v>-4.6671005850319247E-2</v>
      </c>
      <c r="X85" s="31"/>
      <c r="Y85" s="32">
        <f t="shared" si="35"/>
        <v>3.158666666666668E-2</v>
      </c>
      <c r="Z85" s="25">
        <f t="shared" si="41"/>
        <v>1.0087551691366294</v>
      </c>
      <c r="AA85" s="25">
        <f t="shared" si="36"/>
        <v>26.619817358227976</v>
      </c>
      <c r="AB85" s="25">
        <f>(1+AA85)/(1+MAX(AA$2:AA85))-1</f>
        <v>0</v>
      </c>
      <c r="AC85" s="66">
        <f t="shared" si="37"/>
        <v>27619.817358227967</v>
      </c>
    </row>
    <row r="86" spans="1:35" s="54" customFormat="1" outlineLevel="1" x14ac:dyDescent="0.3">
      <c r="A86" s="54" t="s">
        <v>664</v>
      </c>
      <c r="B86" s="48" t="str">
        <f t="shared" si="31"/>
        <v>2025-1</v>
      </c>
      <c r="C86" s="1">
        <v>45658</v>
      </c>
      <c r="D86" s="8" t="s">
        <v>106</v>
      </c>
      <c r="E86" s="4">
        <v>9.6070821673295725E-2</v>
      </c>
      <c r="F86" s="5">
        <f>+E86</f>
        <v>9.6070821673295725E-2</v>
      </c>
      <c r="G86" s="5">
        <f t="shared" si="32"/>
        <v>6.2353360438903183</v>
      </c>
      <c r="H86" s="3">
        <f>(1+G86)/(1+MAX(G$2:G86))-1</f>
        <v>0</v>
      </c>
      <c r="I86" s="8" t="s">
        <v>121</v>
      </c>
      <c r="J86" s="4">
        <v>-1.028245317782717E-2</v>
      </c>
      <c r="K86" s="5">
        <f>+J86</f>
        <v>-1.028245317782717E-2</v>
      </c>
      <c r="L86" s="5">
        <f t="shared" si="33"/>
        <v>3.3613537976293868</v>
      </c>
      <c r="M86" s="3">
        <f>(1+L86)/(1+MAX(L$2:L86))-1</f>
        <v>-0.28773118022204924</v>
      </c>
      <c r="N86" s="8" t="s">
        <v>103</v>
      </c>
      <c r="O86" s="6">
        <v>7.8299999999999995E-2</v>
      </c>
      <c r="P86" s="50" t="s">
        <v>658</v>
      </c>
      <c r="Q86" s="6">
        <v>-0.3241</v>
      </c>
      <c r="R86" s="50" t="s">
        <v>138</v>
      </c>
      <c r="S86" s="6">
        <v>0.46050000000000002</v>
      </c>
      <c r="T86" s="4">
        <f t="shared" ref="T86:T97" si="42">AVERAGE(O86,S86)</f>
        <v>0.26940000000000003</v>
      </c>
      <c r="U86" s="5">
        <f>+T86</f>
        <v>0.26940000000000003</v>
      </c>
      <c r="V86" s="5">
        <f t="shared" si="34"/>
        <v>1.6829513997486134</v>
      </c>
      <c r="W86" s="3">
        <f>(1+V86)/(1+MAX(V$2:V86))-1</f>
        <v>0</v>
      </c>
      <c r="X86" s="9"/>
      <c r="Y86" s="10">
        <f t="shared" si="35"/>
        <v>5.4363177215307229E-2</v>
      </c>
      <c r="Z86" s="5">
        <f>+Y86</f>
        <v>5.4363177215307229E-2</v>
      </c>
      <c r="AA86" s="5">
        <f t="shared" si="36"/>
        <v>28.121318383927743</v>
      </c>
      <c r="AB86" s="5">
        <f>(1+AA86)/(1+MAX(AA$2:AA86))-1</f>
        <v>0</v>
      </c>
      <c r="AC86" s="51">
        <f t="shared" si="37"/>
        <v>29121.318383927734</v>
      </c>
    </row>
    <row r="87" spans="1:35" s="61" customFormat="1" outlineLevel="1" x14ac:dyDescent="0.3">
      <c r="A87" s="61" t="s">
        <v>664</v>
      </c>
      <c r="B87" s="55" t="str">
        <f t="shared" si="31"/>
        <v>2025-2</v>
      </c>
      <c r="C87" s="11">
        <v>45689</v>
      </c>
      <c r="D87" s="18" t="s">
        <v>106</v>
      </c>
      <c r="E87" s="14">
        <v>-0.17608526437187269</v>
      </c>
      <c r="F87" s="15">
        <f t="shared" ref="F87:F97" si="43">+(1+E87)*(1+F86)-1</f>
        <v>-9.6931098731342202E-2</v>
      </c>
      <c r="G87" s="15">
        <f t="shared" si="32"/>
        <v>4.9612999837825527</v>
      </c>
      <c r="H87" s="13">
        <f>(1+G87)/(1+MAX(G$2:G87))-1</f>
        <v>-0.17608526437187266</v>
      </c>
      <c r="I87" s="18" t="s">
        <v>121</v>
      </c>
      <c r="J87" s="14">
        <v>-0.32149018327136059</v>
      </c>
      <c r="K87" s="15">
        <f t="shared" ref="K87:K97" si="44">+(1+J87)*(1+K86)-1</f>
        <v>-0.32846692869256888</v>
      </c>
      <c r="L87" s="15">
        <f t="shared" si="33"/>
        <v>1.9592213659182707</v>
      </c>
      <c r="M87" s="13">
        <f>(1+L87)/(1+MAX(L$2:L87))-1</f>
        <v>-0.51671861363093829</v>
      </c>
      <c r="N87" s="18" t="s">
        <v>103</v>
      </c>
      <c r="O87" s="16">
        <v>-0.42070000000000002</v>
      </c>
      <c r="P87" s="57" t="s">
        <v>132</v>
      </c>
      <c r="Q87" s="16">
        <v>-0.30830000000000002</v>
      </c>
      <c r="R87" s="57" t="s">
        <v>138</v>
      </c>
      <c r="S87" s="16">
        <v>-0.29299999999999998</v>
      </c>
      <c r="T87" s="14">
        <f t="shared" si="42"/>
        <v>-0.35685</v>
      </c>
      <c r="U87" s="15">
        <f t="shared" ref="U87:U97" si="45">+(1+T87)*(1+U86)-1</f>
        <v>-0.18358538999999996</v>
      </c>
      <c r="V87" s="15">
        <f t="shared" si="34"/>
        <v>0.72554019274832071</v>
      </c>
      <c r="W87" s="13">
        <f>(1+V87)/(1+MAX(V$2:V87))-1</f>
        <v>-0.35685</v>
      </c>
      <c r="X87" s="19"/>
      <c r="Y87" s="20">
        <f t="shared" si="35"/>
        <v>-0.28553930095963664</v>
      </c>
      <c r="Z87" s="15">
        <f t="shared" ref="Z87:Z97" si="46">+(1+Y87)*(1+Z86)-1</f>
        <v>-0.24669894736433307</v>
      </c>
      <c r="AA87" s="15">
        <f t="shared" si="36"/>
        <v>19.806037489558001</v>
      </c>
      <c r="AB87" s="15">
        <f>(1+AA87)/(1+MAX(AA$2:AA87))-1</f>
        <v>-0.28553930095963664</v>
      </c>
      <c r="AC87" s="58">
        <f t="shared" si="37"/>
        <v>20806.037489557992</v>
      </c>
    </row>
    <row r="88" spans="1:35" s="61" customFormat="1" outlineLevel="1" x14ac:dyDescent="0.3">
      <c r="A88" s="61" t="s">
        <v>664</v>
      </c>
      <c r="B88" s="55" t="str">
        <f t="shared" si="31"/>
        <v>2025-3</v>
      </c>
      <c r="C88" s="11">
        <v>45717</v>
      </c>
      <c r="D88" s="18" t="s">
        <v>106</v>
      </c>
      <c r="E88" s="14">
        <v>-2.1619399346929021E-2</v>
      </c>
      <c r="F88" s="15">
        <f t="shared" si="43"/>
        <v>-0.11645490594566177</v>
      </c>
      <c r="G88" s="15">
        <f t="shared" si="32"/>
        <v>4.8324202588063159</v>
      </c>
      <c r="H88" s="13">
        <f>(1+G88)/(1+MAX(G$2:G88))-1</f>
        <v>-0.19389780606923657</v>
      </c>
      <c r="I88" s="18" t="s">
        <v>121</v>
      </c>
      <c r="J88" s="14">
        <v>-0.1851844659770511</v>
      </c>
      <c r="K88" s="15">
        <f t="shared" si="44"/>
        <v>-0.45282442188856442</v>
      </c>
      <c r="L88" s="15">
        <f t="shared" si="33"/>
        <v>1.411219537562816</v>
      </c>
      <c r="M88" s="13">
        <f>(1+L88)/(1+MAX(L$2:L88))-1</f>
        <v>-0.60621481908234198</v>
      </c>
      <c r="N88" s="18" t="s">
        <v>120</v>
      </c>
      <c r="O88" s="16">
        <v>-0.26300000000000001</v>
      </c>
      <c r="P88" s="57" t="s">
        <v>132</v>
      </c>
      <c r="Q88" s="16">
        <v>-0.11459999999999999</v>
      </c>
      <c r="R88" s="57" t="s">
        <v>138</v>
      </c>
      <c r="S88" s="16">
        <v>-6.4500000000000002E-2</v>
      </c>
      <c r="T88" s="14">
        <f t="shared" si="42"/>
        <v>-0.16375000000000001</v>
      </c>
      <c r="U88" s="15">
        <f t="shared" si="45"/>
        <v>-0.31727328238749997</v>
      </c>
      <c r="V88" s="15">
        <f t="shared" si="34"/>
        <v>0.44298298618578302</v>
      </c>
      <c r="W88" s="13">
        <f>(1+V88)/(1+MAX(V$2:V88))-1</f>
        <v>-0.46216581250000011</v>
      </c>
      <c r="X88" s="19"/>
      <c r="Y88" s="20">
        <f t="shared" si="35"/>
        <v>-0.1209878262638607</v>
      </c>
      <c r="Z88" s="15">
        <f t="shared" si="46"/>
        <v>-0.33783920424500058</v>
      </c>
      <c r="AA88" s="15">
        <f t="shared" si="36"/>
        <v>17.288760240531985</v>
      </c>
      <c r="AB88" s="15">
        <f>(1+AA88)/(1+MAX(AA$2:AA88))-1</f>
        <v>-0.37198034788748857</v>
      </c>
      <c r="AC88" s="58">
        <f t="shared" si="37"/>
        <v>18288.760240531978</v>
      </c>
    </row>
    <row r="89" spans="1:35" s="61" customFormat="1" outlineLevel="1" x14ac:dyDescent="0.3">
      <c r="A89" s="61" t="s">
        <v>664</v>
      </c>
      <c r="B89" s="55" t="str">
        <f t="shared" si="31"/>
        <v>2025-4</v>
      </c>
      <c r="C89" s="11">
        <v>45748</v>
      </c>
      <c r="D89" s="18" t="s">
        <v>106</v>
      </c>
      <c r="E89" s="14">
        <v>0.14123018539860019</v>
      </c>
      <c r="F89" s="15">
        <f t="shared" si="43"/>
        <v>8.3283314956561494E-3</v>
      </c>
      <c r="G89" s="15">
        <f t="shared" si="32"/>
        <v>5.6561340532800841</v>
      </c>
      <c r="H89" s="13">
        <f>(1+G89)/(1+MAX(G$2:G89))-1</f>
        <v>-8.0051843770176379E-2</v>
      </c>
      <c r="I89" s="18" t="s">
        <v>121</v>
      </c>
      <c r="J89" s="14">
        <v>-1.6290055367711779E-2</v>
      </c>
      <c r="K89" s="15">
        <f t="shared" si="44"/>
        <v>-0.46173794235185939</v>
      </c>
      <c r="L89" s="15">
        <f t="shared" si="33"/>
        <v>1.3719406377922092</v>
      </c>
      <c r="M89" s="13">
        <f>(1+L89)/(1+MAX(L$2:L89))-1</f>
        <v>-0.61262960148247503</v>
      </c>
      <c r="N89" s="18" t="s">
        <v>120</v>
      </c>
      <c r="O89" s="16">
        <v>6.0699999999999997E-2</v>
      </c>
      <c r="P89" s="57" t="s">
        <v>132</v>
      </c>
      <c r="Q89" s="16">
        <v>-2.3599999999999999E-2</v>
      </c>
      <c r="R89" s="57" t="s">
        <v>138</v>
      </c>
      <c r="S89" s="16">
        <v>-3.3999999999999998E-3</v>
      </c>
      <c r="T89" s="14">
        <f t="shared" si="42"/>
        <v>2.8649999999999998E-2</v>
      </c>
      <c r="U89" s="15">
        <f t="shared" si="45"/>
        <v>-0.29771316192790176</v>
      </c>
      <c r="V89" s="15">
        <f t="shared" si="34"/>
        <v>0.4843244487400058</v>
      </c>
      <c r="W89" s="13">
        <f>(1+V89)/(1+MAX(V$2:V89))-1</f>
        <v>-0.44675686302812501</v>
      </c>
      <c r="X89" s="19"/>
      <c r="Y89" s="20">
        <f t="shared" si="35"/>
        <v>4.1975372342599862E-2</v>
      </c>
      <c r="Z89" s="15">
        <f t="shared" si="46"/>
        <v>-0.31004475829251221</v>
      </c>
      <c r="AA89" s="15">
        <f t="shared" si="36"/>
        <v>18.056437761312853</v>
      </c>
      <c r="AB89" s="15">
        <f>(1+AA89)/(1+MAX(AA$2:AA89))-1</f>
        <v>-0.34561898915159583</v>
      </c>
      <c r="AC89" s="58">
        <f t="shared" si="37"/>
        <v>19056.437761312845</v>
      </c>
    </row>
    <row r="90" spans="1:35" s="61" customFormat="1" outlineLevel="1" x14ac:dyDescent="0.3">
      <c r="A90" s="61" t="s">
        <v>664</v>
      </c>
      <c r="B90" s="55" t="str">
        <f t="shared" si="31"/>
        <v>2025-5</v>
      </c>
      <c r="C90" s="11">
        <v>45778</v>
      </c>
      <c r="D90" s="18" t="s">
        <v>106</v>
      </c>
      <c r="E90" s="14">
        <v>0.1107215668635064</v>
      </c>
      <c r="F90" s="15">
        <f t="shared" si="43"/>
        <v>0.11997202427172038</v>
      </c>
      <c r="G90" s="15">
        <f t="shared" si="32"/>
        <v>6.3931116449127972</v>
      </c>
      <c r="H90" s="13">
        <f>(1+G90)/(1+MAX(G$2:G90))-1</f>
        <v>0</v>
      </c>
      <c r="I90" s="18" t="s">
        <v>121</v>
      </c>
      <c r="J90" s="14">
        <v>0.4099242388772808</v>
      </c>
      <c r="K90" s="15">
        <f t="shared" si="44"/>
        <v>-0.24109127805392627</v>
      </c>
      <c r="L90" s="15">
        <f t="shared" si="33"/>
        <v>2.3442565984012727</v>
      </c>
      <c r="M90" s="13">
        <f>(1+L90)/(1+MAX(L$2:L90))-1</f>
        <v>-0.45383708570658954</v>
      </c>
      <c r="N90" s="18" t="s">
        <v>120</v>
      </c>
      <c r="O90" s="16">
        <v>-7.9100000000000004E-2</v>
      </c>
      <c r="P90" s="57" t="s">
        <v>132</v>
      </c>
      <c r="Q90" s="16">
        <v>-2.4799999999999999E-2</v>
      </c>
      <c r="R90" s="57" t="s">
        <v>138</v>
      </c>
      <c r="S90" s="16">
        <v>-6.6E-3</v>
      </c>
      <c r="T90" s="14">
        <f t="shared" si="42"/>
        <v>-4.2849999999999999E-2</v>
      </c>
      <c r="U90" s="15">
        <f t="shared" si="45"/>
        <v>-0.32780615293929116</v>
      </c>
      <c r="V90" s="15">
        <f t="shared" si="34"/>
        <v>0.42072114611149636</v>
      </c>
      <c r="W90" s="13">
        <f>(1+V90)/(1+MAX(V$2:V90))-1</f>
        <v>-0.47046333144736996</v>
      </c>
      <c r="X90" s="19"/>
      <c r="Y90" s="20">
        <f t="shared" si="35"/>
        <v>0.14146040838890284</v>
      </c>
      <c r="Z90" s="15">
        <f t="shared" si="46"/>
        <v>-0.21244340803050688</v>
      </c>
      <c r="AA90" s="15">
        <f t="shared" si="36"/>
        <v>20.752169229465878</v>
      </c>
      <c r="AB90" s="15">
        <f>(1+AA90)/(1+MAX(AA$2:AA90))-1</f>
        <v>-0.25304998411503754</v>
      </c>
      <c r="AC90" s="58">
        <f t="shared" si="37"/>
        <v>21752.169229465871</v>
      </c>
      <c r="AF90" s="62"/>
      <c r="AG90" s="62"/>
      <c r="AH90" s="62"/>
      <c r="AI90" s="62"/>
    </row>
    <row r="91" spans="1:35" s="61" customFormat="1" outlineLevel="1" x14ac:dyDescent="0.3">
      <c r="A91" s="61" t="s">
        <v>664</v>
      </c>
      <c r="B91" s="55" t="str">
        <f t="shared" si="31"/>
        <v>2025-6</v>
      </c>
      <c r="C91" s="11">
        <v>45809</v>
      </c>
      <c r="D91" s="18" t="s">
        <v>106</v>
      </c>
      <c r="E91" s="14">
        <v>2.3865516830480219E-2</v>
      </c>
      <c r="F91" s="15">
        <f t="shared" si="43"/>
        <v>0.14670073546664408</v>
      </c>
      <c r="G91" s="15">
        <f t="shared" si="32"/>
        <v>6.5695520753040828</v>
      </c>
      <c r="H91" s="13">
        <f>(1+G91)/(1+MAX(G$2:G91))-1</f>
        <v>0</v>
      </c>
      <c r="I91" s="18" t="s">
        <v>121</v>
      </c>
      <c r="J91" s="14">
        <v>-1.685313320350279E-2</v>
      </c>
      <c r="K91" s="15">
        <f t="shared" si="44"/>
        <v>-0.25388126783418352</v>
      </c>
      <c r="L91" s="15">
        <f t="shared" si="33"/>
        <v>2.2878953964817228</v>
      </c>
      <c r="M91" s="13">
        <f>(1+L91)/(1+MAX(L$2:L91))-1</f>
        <v>-0.46304164205198972</v>
      </c>
      <c r="N91" s="18" t="s">
        <v>120</v>
      </c>
      <c r="O91" s="16">
        <v>-0.13120000000000001</v>
      </c>
      <c r="P91" s="57" t="s">
        <v>132</v>
      </c>
      <c r="Q91" s="16">
        <v>-0.12520000000000001</v>
      </c>
      <c r="R91" s="57" t="s">
        <v>138</v>
      </c>
      <c r="S91" s="16">
        <v>-1.4E-3</v>
      </c>
      <c r="T91" s="14">
        <f t="shared" si="42"/>
        <v>-6.6300000000000012E-2</v>
      </c>
      <c r="U91" s="15">
        <f t="shared" si="45"/>
        <v>-0.37237260499941616</v>
      </c>
      <c r="V91" s="15">
        <f t="shared" si="34"/>
        <v>0.32652733412430401</v>
      </c>
      <c r="W91" s="13">
        <f>(1+V91)/(1+MAX(V$2:V91))-1</f>
        <v>-0.50557161257240935</v>
      </c>
      <c r="X91" s="19"/>
      <c r="Y91" s="20">
        <f t="shared" si="35"/>
        <v>-3.2269618245240113E-2</v>
      </c>
      <c r="Z91" s="15">
        <f t="shared" si="46"/>
        <v>-0.23785755859988478</v>
      </c>
      <c r="AA91" s="15">
        <f t="shared" si="36"/>
        <v>20.050235032425157</v>
      </c>
      <c r="AB91" s="15">
        <f>(1+AA91)/(1+MAX(AA$2:AA91))-1</f>
        <v>-0.27715377597592128</v>
      </c>
      <c r="AC91" s="58">
        <f t="shared" si="37"/>
        <v>21050.235032425149</v>
      </c>
      <c r="AF91" s="62"/>
      <c r="AG91" s="62"/>
      <c r="AH91" s="62"/>
      <c r="AI91" s="62"/>
    </row>
    <row r="92" spans="1:35" s="61" customFormat="1" outlineLevel="1" x14ac:dyDescent="0.3">
      <c r="A92" s="61" t="s">
        <v>664</v>
      </c>
      <c r="B92" s="55" t="str">
        <f t="shared" si="31"/>
        <v>2025-7</v>
      </c>
      <c r="C92" s="11">
        <v>45839</v>
      </c>
      <c r="D92" s="18" t="s">
        <v>106</v>
      </c>
      <c r="E92" s="14">
        <v>8.0485743681527833E-2</v>
      </c>
      <c r="F92" s="15">
        <f t="shared" si="43"/>
        <v>0.23899379694083178</v>
      </c>
      <c r="G92" s="15">
        <f t="shared" si="32"/>
        <v>7.1787931034209844</v>
      </c>
      <c r="H92" s="13">
        <f>(1+G92)/(1+MAX(G$2:G92))-1</f>
        <v>0</v>
      </c>
      <c r="I92" s="18" t="s">
        <v>121</v>
      </c>
      <c r="J92" s="14">
        <v>0.48673265938492372</v>
      </c>
      <c r="K92" s="15">
        <f t="shared" si="44"/>
        <v>0.10927908688979193</v>
      </c>
      <c r="L92" s="15">
        <f t="shared" si="33"/>
        <v>3.8882214665907195</v>
      </c>
      <c r="M92" s="13">
        <f>(1+L92)/(1+MAX(L$2:L92))-1</f>
        <v>-0.20168647250899296</v>
      </c>
      <c r="N92" s="18" t="s">
        <v>114</v>
      </c>
      <c r="O92" s="16">
        <v>0.19159999999999999</v>
      </c>
      <c r="P92" s="57" t="s">
        <v>132</v>
      </c>
      <c r="Q92" s="16">
        <v>0.72919999999999996</v>
      </c>
      <c r="R92" s="57" t="s">
        <v>138</v>
      </c>
      <c r="S92" s="16">
        <v>0.38650000000000001</v>
      </c>
      <c r="T92" s="14">
        <f t="shared" si="42"/>
        <v>0.28905000000000003</v>
      </c>
      <c r="U92" s="15">
        <f t="shared" si="45"/>
        <v>-0.19095690647449737</v>
      </c>
      <c r="V92" s="15">
        <f t="shared" si="34"/>
        <v>0.70996006005293411</v>
      </c>
      <c r="W92" s="13">
        <f>(1+V92)/(1+MAX(V$2:V92))-1</f>
        <v>-0.36265708718646428</v>
      </c>
      <c r="X92" s="19"/>
      <c r="Y92" s="20">
        <f t="shared" si="35"/>
        <v>0.34447218758660214</v>
      </c>
      <c r="Z92" s="15">
        <f t="shared" si="46"/>
        <v>2.4679315441806571E-2</v>
      </c>
      <c r="AA92" s="15">
        <f t="shared" si="36"/>
        <v>27.301455543256779</v>
      </c>
      <c r="AB92" s="15">
        <f>(1+AA92)/(1+MAX(AA$2:AA92))-1</f>
        <v>-2.8153355897631793E-2</v>
      </c>
      <c r="AC92" s="58">
        <f t="shared" si="37"/>
        <v>28301.455543256769</v>
      </c>
      <c r="AF92" s="62"/>
      <c r="AG92" s="62"/>
      <c r="AH92" s="62"/>
      <c r="AI92" s="62"/>
    </row>
    <row r="93" spans="1:35" s="61" customFormat="1" outlineLevel="1" x14ac:dyDescent="0.3">
      <c r="A93" s="61" t="s">
        <v>664</v>
      </c>
      <c r="B93" s="55" t="str">
        <f t="shared" si="31"/>
        <v>2025-8</v>
      </c>
      <c r="C93" s="11">
        <v>45870</v>
      </c>
      <c r="D93" s="18" t="s">
        <v>106</v>
      </c>
      <c r="E93" s="14">
        <v>-6.4975889262707476E-2</v>
      </c>
      <c r="F93" s="15">
        <f t="shared" si="43"/>
        <v>0.15848907319362282</v>
      </c>
      <c r="G93" s="15">
        <f t="shared" si="32"/>
        <v>6.6473687484305071</v>
      </c>
      <c r="H93" s="13">
        <f>(1+G93)/(1+MAX(G$2:G93))-1</f>
        <v>-6.4975889262707476E-2</v>
      </c>
      <c r="I93" s="18" t="s">
        <v>121</v>
      </c>
      <c r="J93" s="14">
        <v>0.18754830611988149</v>
      </c>
      <c r="K93" s="15">
        <f t="shared" si="44"/>
        <v>0.31732250065018119</v>
      </c>
      <c r="L93" s="15">
        <f t="shared" si="33"/>
        <v>4.8049991225886517</v>
      </c>
      <c r="M93" s="13">
        <f>(1+L93)/(1+MAX(L$2:L93))-1</f>
        <v>-5.1964122675467128E-2</v>
      </c>
      <c r="N93" s="18" t="s">
        <v>120</v>
      </c>
      <c r="O93" s="16">
        <v>-0.14779999999999999</v>
      </c>
      <c r="P93" s="57" t="s">
        <v>114</v>
      </c>
      <c r="Q93" s="16">
        <v>2.64E-2</v>
      </c>
      <c r="R93" s="57" t="s">
        <v>138</v>
      </c>
      <c r="S93" s="16">
        <v>-0.10199999999999999</v>
      </c>
      <c r="T93" s="14">
        <f t="shared" si="42"/>
        <v>-0.12489999999999998</v>
      </c>
      <c r="U93" s="15">
        <f t="shared" si="45"/>
        <v>-0.29200638885583263</v>
      </c>
      <c r="V93" s="15">
        <f t="shared" si="34"/>
        <v>0.4963860485523226</v>
      </c>
      <c r="W93" s="13">
        <f>(1+V93)/(1+MAX(V$2:V93))-1</f>
        <v>-0.44226121699687493</v>
      </c>
      <c r="X93" s="19"/>
      <c r="Y93" s="20">
        <f t="shared" si="35"/>
        <v>6.9850583904855351E-3</v>
      </c>
      <c r="Z93" s="15">
        <f t="shared" si="46"/>
        <v>3.1836760291690469E-2</v>
      </c>
      <c r="AA93" s="15">
        <f t="shared" si="36"/>
        <v>27.499142862762159</v>
      </c>
      <c r="AB93" s="15">
        <f>(1+AA93)/(1+MAX(AA$2:AA93))-1</f>
        <v>-2.1364950341979272E-2</v>
      </c>
      <c r="AC93" s="58">
        <f t="shared" si="37"/>
        <v>28499.14286276215</v>
      </c>
      <c r="AF93" s="62"/>
      <c r="AG93" s="62"/>
      <c r="AH93" s="62"/>
      <c r="AI93" s="62"/>
    </row>
    <row r="94" spans="1:35" s="61" customFormat="1" outlineLevel="1" x14ac:dyDescent="0.3">
      <c r="A94" s="61" t="s">
        <v>664</v>
      </c>
      <c r="B94" s="55" t="str">
        <f t="shared" si="31"/>
        <v>2025-9</v>
      </c>
      <c r="C94" s="11">
        <v>45901</v>
      </c>
      <c r="D94" s="18" t="s">
        <v>106</v>
      </c>
      <c r="E94" s="14">
        <v>5.3765260876786243E-2</v>
      </c>
      <c r="F94" s="15">
        <f t="shared" si="43"/>
        <v>0.22077554043678416</v>
      </c>
      <c r="G94" s="15">
        <f t="shared" si="32"/>
        <v>7.0585315242108564</v>
      </c>
      <c r="H94" s="13">
        <f>(1+G94)/(1+MAX(G$2:G94))-1</f>
        <v>-1.4704074022831803E-2</v>
      </c>
      <c r="I94" s="18" t="s">
        <v>121</v>
      </c>
      <c r="J94" s="14">
        <v>-5.559463889533689E-2</v>
      </c>
      <c r="K94" s="15">
        <f t="shared" si="44"/>
        <v>0.24408643191783219</v>
      </c>
      <c r="L94" s="15">
        <f t="shared" si="33"/>
        <v>4.4822722925805882</v>
      </c>
      <c r="M94" s="13">
        <f>(1+L94)/(1+MAX(L$2:L94))-1</f>
        <v>-0.10466983493514848</v>
      </c>
      <c r="N94" s="18" t="s">
        <v>120</v>
      </c>
      <c r="O94" s="16">
        <v>-2.2200000000000001E-2</v>
      </c>
      <c r="P94" s="57" t="s">
        <v>114</v>
      </c>
      <c r="Q94" s="16">
        <v>-2.5000000000000001E-2</v>
      </c>
      <c r="R94" s="57" t="s">
        <v>138</v>
      </c>
      <c r="S94" s="16">
        <v>2.1000000000000001E-2</v>
      </c>
      <c r="T94" s="14">
        <f>AVERAGE(O94,S94)</f>
        <v>-5.9999999999999984E-4</v>
      </c>
      <c r="U94" s="15">
        <f t="shared" si="45"/>
        <v>-0.29243118502251919</v>
      </c>
      <c r="V94" s="15">
        <f t="shared" si="34"/>
        <v>0.49548821692319112</v>
      </c>
      <c r="W94" s="13">
        <f>(1+V94)/(1+MAX(V$2:V94))-1</f>
        <v>-0.44259586026667685</v>
      </c>
      <c r="X94" s="19"/>
      <c r="Y94" s="20">
        <f t="shared" si="35"/>
        <v>-4.0421467388985291E-3</v>
      </c>
      <c r="Z94" s="15">
        <f t="shared" si="46"/>
        <v>2.766592469600182E-2</v>
      </c>
      <c r="AA94" s="15">
        <f t="shared" si="36"/>
        <v>27.383945145378039</v>
      </c>
      <c r="AB94" s="15">
        <f>(1+AA94)/(1+MAX(AA$2:AA94))-1</f>
        <v>-2.5320736816526357E-2</v>
      </c>
      <c r="AC94" s="58">
        <f t="shared" si="37"/>
        <v>28383.945145378031</v>
      </c>
      <c r="AF94" s="62"/>
    </row>
    <row r="95" spans="1:35" s="61" customFormat="1" outlineLevel="1" x14ac:dyDescent="0.3">
      <c r="A95" s="61" t="s">
        <v>664</v>
      </c>
      <c r="B95" s="55" t="str">
        <f t="shared" si="31"/>
        <v>2025-10</v>
      </c>
      <c r="C95" s="11">
        <v>45931</v>
      </c>
      <c r="D95" s="18" t="s">
        <v>106</v>
      </c>
      <c r="E95" s="14">
        <v>-3.9453588451788917E-2</v>
      </c>
      <c r="F95" s="15">
        <f t="shared" si="43"/>
        <v>0.17261156467238115</v>
      </c>
      <c r="G95" s="15">
        <f t="shared" si="32"/>
        <v>6.7405935379288744</v>
      </c>
      <c r="H95" s="13">
        <f>(1+G95)/(1+MAX(G$2:G95))-1</f>
        <v>-5.3577533989559223E-2</v>
      </c>
      <c r="I95" s="18" t="s">
        <v>121</v>
      </c>
      <c r="J95" s="14">
        <v>-7.2088822873278446E-2</v>
      </c>
      <c r="K95" s="15">
        <f t="shared" si="44"/>
        <v>0.15440170548825871</v>
      </c>
      <c r="L95" s="15">
        <f t="shared" si="33"/>
        <v>4.087061736337664</v>
      </c>
      <c r="M95" s="13">
        <f>(1+L95)/(1+MAX(L$2:L95))-1</f>
        <v>-0.16921313261761173</v>
      </c>
      <c r="N95" s="18" t="s">
        <v>114</v>
      </c>
      <c r="O95" s="16">
        <v>-0.1</v>
      </c>
      <c r="P95" s="57" t="s">
        <v>132</v>
      </c>
      <c r="Q95" s="16">
        <v>-0.15110000000000001</v>
      </c>
      <c r="R95" s="57" t="s">
        <v>138</v>
      </c>
      <c r="S95" s="16">
        <v>-0.1067</v>
      </c>
      <c r="T95" s="14">
        <f t="shared" si="42"/>
        <v>-0.10335</v>
      </c>
      <c r="U95" s="15">
        <f t="shared" si="45"/>
        <v>-0.36555842205044187</v>
      </c>
      <c r="V95" s="15">
        <f t="shared" si="34"/>
        <v>0.34092950970417935</v>
      </c>
      <c r="W95" s="13">
        <f>(1+V95)/(1+MAX(V$2:V95))-1</f>
        <v>-0.50020357810811578</v>
      </c>
      <c r="X95" s="21"/>
      <c r="Y95" s="20">
        <f t="shared" si="35"/>
        <v>-8.1169390064186886E-2</v>
      </c>
      <c r="Z95" s="15">
        <f t="shared" si="46"/>
        <v>-5.5749091601321243E-2</v>
      </c>
      <c r="AA95" s="15">
        <f t="shared" si="36"/>
        <v>25.080037630312365</v>
      </c>
      <c r="AB95" s="15">
        <f>(1+AA95)/(1+MAX(AA$2:AA95))-1</f>
        <v>-0.10443485811733999</v>
      </c>
      <c r="AC95" s="58">
        <f t="shared" si="37"/>
        <v>26080.037630312359</v>
      </c>
    </row>
    <row r="96" spans="1:35" s="61" customFormat="1" outlineLevel="1" x14ac:dyDescent="0.3">
      <c r="A96" s="61" t="s">
        <v>664</v>
      </c>
      <c r="B96" s="55" t="str">
        <f t="shared" si="31"/>
        <v>2025-11</v>
      </c>
      <c r="C96" s="11">
        <v>45962</v>
      </c>
      <c r="D96" s="18" t="s">
        <v>164</v>
      </c>
      <c r="E96" s="14">
        <v>-0.1749</v>
      </c>
      <c r="F96" s="15">
        <f t="shared" si="43"/>
        <v>-3.2478197988818347E-2</v>
      </c>
      <c r="G96" s="15">
        <f t="shared" si="32"/>
        <v>5.3867637281451142</v>
      </c>
      <c r="H96" s="13">
        <f>(1+G96)/(1+MAX(G$2:G96))-1</f>
        <v>-0.21910682329478526</v>
      </c>
      <c r="I96" s="18" t="s">
        <v>166</v>
      </c>
      <c r="J96" s="14">
        <v>-0.22220000000000001</v>
      </c>
      <c r="K96" s="15">
        <f t="shared" si="44"/>
        <v>-0.10210635347123231</v>
      </c>
      <c r="L96" s="15">
        <f t="shared" si="33"/>
        <v>2.9567166185234353</v>
      </c>
      <c r="M96" s="13">
        <f>(1+L96)/(1+MAX(L$2:L96))-1</f>
        <v>-0.35381397454997832</v>
      </c>
      <c r="N96" s="18" t="s">
        <v>102</v>
      </c>
      <c r="O96" s="16">
        <v>-0.19600000000000001</v>
      </c>
      <c r="P96" s="57" t="s">
        <v>138</v>
      </c>
      <c r="Q96" s="16">
        <v>-0.14069999999999999</v>
      </c>
      <c r="R96" s="57" t="s">
        <v>657</v>
      </c>
      <c r="S96" s="16">
        <v>5.3199999999999997E-2</v>
      </c>
      <c r="T96" s="14">
        <f t="shared" si="42"/>
        <v>-7.1400000000000005E-2</v>
      </c>
      <c r="U96" s="15">
        <f t="shared" si="45"/>
        <v>-0.41085755071604035</v>
      </c>
      <c r="V96" s="15">
        <f t="shared" si="34"/>
        <v>0.24518714271130082</v>
      </c>
      <c r="W96" s="13">
        <f>(1+V96)/(1+MAX(V$2:V96))-1</f>
        <v>-0.53588904263119641</v>
      </c>
      <c r="X96" s="21"/>
      <c r="Y96" s="20">
        <f t="shared" si="35"/>
        <v>-0.15692999999999999</v>
      </c>
      <c r="Z96" s="15">
        <f t="shared" si="46"/>
        <v>-0.2039303866563259</v>
      </c>
      <c r="AA96" s="15">
        <f t="shared" si="36"/>
        <v>20.987297324987445</v>
      </c>
      <c r="AB96" s="15">
        <f>(1+AA96)/(1+MAX(AA$2:AA96))-1</f>
        <v>-0.24497589583298585</v>
      </c>
      <c r="AC96" s="58">
        <f t="shared" si="37"/>
        <v>21987.297324987441</v>
      </c>
    </row>
    <row r="97" spans="1:35" s="27" customFormat="1" ht="15" thickBot="1" x14ac:dyDescent="0.35">
      <c r="A97" s="27" t="s">
        <v>664</v>
      </c>
      <c r="B97" s="63" t="str">
        <f t="shared" si="31"/>
        <v>2025-12</v>
      </c>
      <c r="C97" s="22">
        <v>45992</v>
      </c>
      <c r="D97" s="29" t="s">
        <v>164</v>
      </c>
      <c r="E97" s="24">
        <v>-3.1899999999999998E-2</v>
      </c>
      <c r="F97" s="25">
        <f t="shared" si="43"/>
        <v>-6.3342143472975065E-2</v>
      </c>
      <c r="G97" s="25">
        <f t="shared" si="32"/>
        <v>5.1830259652172845</v>
      </c>
      <c r="H97" s="26">
        <f>(1+G97)/(1+MAX(G$2:G97))-1</f>
        <v>-0.24401731563168172</v>
      </c>
      <c r="I97" s="29" t="s">
        <v>166</v>
      </c>
      <c r="J97" s="24">
        <v>-8.3999999999999995E-3</v>
      </c>
      <c r="K97" s="25">
        <f t="shared" si="44"/>
        <v>-0.10964866010207397</v>
      </c>
      <c r="L97" s="25">
        <f t="shared" si="33"/>
        <v>2.9234801989278387</v>
      </c>
      <c r="M97" s="26">
        <f>(1+L97)/(1+MAX(L$2:L97))-1</f>
        <v>-0.35924193716375841</v>
      </c>
      <c r="N97" s="29" t="s">
        <v>656</v>
      </c>
      <c r="O97" s="141">
        <v>-0.23089999999999999</v>
      </c>
      <c r="P97" s="142" t="s">
        <v>138</v>
      </c>
      <c r="Q97" s="141">
        <v>-0.15920000000000001</v>
      </c>
      <c r="R97" s="142" t="s">
        <v>657</v>
      </c>
      <c r="S97" s="141">
        <v>0.18329999999999999</v>
      </c>
      <c r="T97" s="24">
        <f t="shared" si="42"/>
        <v>-2.3800000000000002E-2</v>
      </c>
      <c r="U97" s="25">
        <f t="shared" si="45"/>
        <v>-0.4248791410089986</v>
      </c>
      <c r="V97" s="25">
        <f t="shared" si="34"/>
        <v>0.21555168871477171</v>
      </c>
      <c r="W97" s="26">
        <f>(1+V97)/(1+MAX(V$2:V97))-1</f>
        <v>-0.54693488341657392</v>
      </c>
      <c r="X97" s="31"/>
      <c r="Y97" s="32">
        <f t="shared" si="35"/>
        <v>-3.9663333333333335E-2</v>
      </c>
      <c r="Z97" s="25">
        <f t="shared" si="46"/>
        <v>-0.23550516108691388</v>
      </c>
      <c r="AA97" s="25">
        <f t="shared" si="36"/>
        <v>20.11520782208736</v>
      </c>
      <c r="AB97" s="25">
        <f>(1+AA97)/(1+MAX(AA$2:AA97))-1</f>
        <v>-0.27492266855126346</v>
      </c>
      <c r="AC97" s="66">
        <f t="shared" si="37"/>
        <v>21115.207822087355</v>
      </c>
    </row>
    <row r="98" spans="1:35" s="54" customFormat="1" outlineLevel="1" x14ac:dyDescent="0.3">
      <c r="A98" s="54" t="s">
        <v>664</v>
      </c>
      <c r="B98" s="48" t="str">
        <f t="shared" si="31"/>
        <v>2026-1</v>
      </c>
      <c r="C98" s="1">
        <v>46023</v>
      </c>
      <c r="D98" s="8" t="s">
        <v>164</v>
      </c>
      <c r="E98" s="4">
        <v>-0.11799999999999999</v>
      </c>
      <c r="F98" s="5">
        <f>+E98</f>
        <v>-0.11799999999999999</v>
      </c>
      <c r="G98" s="5">
        <f>+(1+E98)*(1+G97)-1</f>
        <v>4.4534289013216446</v>
      </c>
      <c r="H98" s="3">
        <f>(1+G98)/(1+MAX(G$2:G98))-1</f>
        <v>-0.33322327238714333</v>
      </c>
      <c r="I98" s="8" t="s">
        <v>166</v>
      </c>
      <c r="J98" s="4">
        <v>-0.191</v>
      </c>
      <c r="K98" s="5">
        <f>+J98</f>
        <v>-0.191</v>
      </c>
      <c r="L98" s="5">
        <f>+(1+J98)*(1+L97)-1</f>
        <v>2.1740954809326212</v>
      </c>
      <c r="M98" s="3">
        <f>(1+L98)/(1+MAX(L$2:L98))-1</f>
        <v>-0.48162672716548061</v>
      </c>
      <c r="N98" s="8" t="s">
        <v>656</v>
      </c>
      <c r="O98" s="6">
        <v>4.6100000000000002E-2</v>
      </c>
      <c r="P98" s="50" t="s">
        <v>138</v>
      </c>
      <c r="Q98" s="6">
        <v>-0.122</v>
      </c>
      <c r="R98" s="50" t="s">
        <v>657</v>
      </c>
      <c r="S98" s="6">
        <v>-0.42009999999999997</v>
      </c>
      <c r="T98" s="4">
        <f t="shared" ref="T98:T105" si="47">AVERAGE(O98,S98)</f>
        <v>-0.187</v>
      </c>
      <c r="U98" s="5">
        <f>+T98</f>
        <v>-0.187</v>
      </c>
      <c r="V98" s="5">
        <f>+(1+T98)*(1+V97)-1</f>
        <v>-1.1756477074890692E-2</v>
      </c>
      <c r="W98" s="3">
        <f>(1+V98)/(1+MAX(V$2:V98))-1</f>
        <v>-0.63165806021767468</v>
      </c>
      <c r="X98" s="9"/>
      <c r="Y98" s="10">
        <f t="shared" si="35"/>
        <v>-0.15883333333333333</v>
      </c>
      <c r="Z98" s="5">
        <f>+Y98</f>
        <v>-0.15883333333333333</v>
      </c>
      <c r="AA98" s="5">
        <f t="shared" ref="AA98:AA103" si="48">+(1+Y98)*(1+AA97)-1</f>
        <v>16.76140897967915</v>
      </c>
      <c r="AB98" s="5">
        <f>(1+AA98)/(1+MAX(AA$2:AA98))-1</f>
        <v>-0.39008911802970447</v>
      </c>
      <c r="AC98" s="51">
        <f t="shared" ref="AC98:AC103" si="49">AC97*(1+Y98)</f>
        <v>17761.408979679145</v>
      </c>
    </row>
    <row r="99" spans="1:35" s="61" customFormat="1" outlineLevel="1" x14ac:dyDescent="0.3">
      <c r="A99" s="61" t="s">
        <v>664</v>
      </c>
      <c r="B99" s="55" t="str">
        <f t="shared" si="31"/>
        <v>2026-2</v>
      </c>
      <c r="C99" s="11">
        <v>46054</v>
      </c>
      <c r="D99" s="18" t="s">
        <v>164</v>
      </c>
      <c r="E99" s="14">
        <v>-0.1361</v>
      </c>
      <c r="F99" s="15">
        <f>+(1+E99)*(1+F98)-1</f>
        <v>-0.23804020000000004</v>
      </c>
      <c r="G99" s="15">
        <f>+(1+E99)*(1+G98)-1</f>
        <v>3.711217227851769</v>
      </c>
      <c r="H99" s="13">
        <f>(1+G99)/(1+MAX(G$2:G99))-1</f>
        <v>-0.42397158501525312</v>
      </c>
      <c r="I99" s="18" t="s">
        <v>166</v>
      </c>
      <c r="J99" s="14">
        <v>-0.18529999999999999</v>
      </c>
      <c r="K99" s="15">
        <f>+(1+J99)*(1+K98)-1</f>
        <v>-0.34090770000000004</v>
      </c>
      <c r="L99" s="15">
        <f>+(1+J99)*(1+L98)-1</f>
        <v>1.5859355883158064</v>
      </c>
      <c r="M99" s="13">
        <f>(1+L99)/(1+MAX(L$2:L99))-1</f>
        <v>-0.57768129462171713</v>
      </c>
      <c r="N99" s="18" t="s">
        <v>105</v>
      </c>
      <c r="O99" s="16">
        <v>-8.3799999999999999E-2</v>
      </c>
      <c r="P99" s="57" t="s">
        <v>656</v>
      </c>
      <c r="Q99" s="16">
        <v>-0.24779999999999999</v>
      </c>
      <c r="R99" s="57" t="s">
        <v>657</v>
      </c>
      <c r="S99" s="16">
        <v>-0.26290000000000002</v>
      </c>
      <c r="T99" s="14">
        <f t="shared" si="47"/>
        <v>-0.17335</v>
      </c>
      <c r="U99" s="15">
        <f>+(1+T99)*(1+U98)-1</f>
        <v>-0.32793355000000002</v>
      </c>
      <c r="V99" s="15">
        <f>+(1+T99)*(1+V98)-1</f>
        <v>-0.18306849177395834</v>
      </c>
      <c r="W99" s="13">
        <f>(1+V99)/(1+MAX(V$2:V99))-1</f>
        <v>-0.69551013547894069</v>
      </c>
      <c r="X99" s="19"/>
      <c r="Y99" s="20">
        <f t="shared" si="35"/>
        <v>-0.17568666666666666</v>
      </c>
      <c r="Z99" s="15">
        <f t="shared" ref="Z99:Z104" si="50">+(1+Y99)*(1+Z98)-1</f>
        <v>-0.30661510111111112</v>
      </c>
      <c r="AA99" s="15">
        <f t="shared" si="48"/>
        <v>13.640966240735919</v>
      </c>
      <c r="AB99" s="15">
        <f>(1+AA99)/(1+MAX(AA$2:AA99))-1</f>
        <v>-0.49724232784679245</v>
      </c>
      <c r="AC99" s="58">
        <f t="shared" si="49"/>
        <v>14640.966240735916</v>
      </c>
    </row>
    <row r="100" spans="1:35" s="61" customFormat="1" outlineLevel="1" x14ac:dyDescent="0.3">
      <c r="A100" s="61" t="s">
        <v>664</v>
      </c>
      <c r="B100" s="55" t="str">
        <f t="shared" si="31"/>
        <v>2026-3</v>
      </c>
      <c r="C100" s="11">
        <v>46082</v>
      </c>
      <c r="D100" s="18" t="s">
        <v>164</v>
      </c>
      <c r="E100" s="14">
        <v>4.9000000000000002E-2</v>
      </c>
      <c r="F100" s="15">
        <f>+(1+E100)*(1+F99)-1</f>
        <v>-0.20070416980000005</v>
      </c>
      <c r="G100" s="15">
        <f>+(1+E100)*(1+G99)-1</f>
        <v>3.9420668720165057</v>
      </c>
      <c r="H100" s="13">
        <f>(1+G100)/(1+MAX(G$2:G100))-1</f>
        <v>-0.39574619268100042</v>
      </c>
      <c r="I100" s="18" t="s">
        <v>166</v>
      </c>
      <c r="J100" s="14">
        <v>0.1031</v>
      </c>
      <c r="K100" s="15">
        <f>+(1+J100)*(1+K99)-1</f>
        <v>-0.27295528387000001</v>
      </c>
      <c r="L100" s="15">
        <f>+(1+J100)*(1+L99)-1</f>
        <v>1.8525455474711658</v>
      </c>
      <c r="M100" s="13">
        <f>(1+L100)/(1+MAX(L$2:L100))-1</f>
        <v>-0.53414023609721617</v>
      </c>
      <c r="N100" s="18" t="s">
        <v>105</v>
      </c>
      <c r="O100" s="16">
        <v>5.0200000000000002E-2</v>
      </c>
      <c r="P100" s="57" t="s">
        <v>656</v>
      </c>
      <c r="Q100" s="16">
        <v>2.3400000000000001E-2</v>
      </c>
      <c r="R100" s="57" t="s">
        <v>657</v>
      </c>
      <c r="S100" s="16">
        <v>0.1628</v>
      </c>
      <c r="T100" s="14">
        <f t="shared" si="47"/>
        <v>0.1065</v>
      </c>
      <c r="U100" s="15">
        <f>+(1+T100)*(1+U99)-1</f>
        <v>-0.25635847307500004</v>
      </c>
      <c r="V100" s="15">
        <f>+(1+T100)*(1+V99)-1</f>
        <v>-9.6065286147884899E-2</v>
      </c>
      <c r="W100" s="13">
        <f>(1+V100)/(1+MAX(V$2:V100))-1</f>
        <v>-0.66308196490744797</v>
      </c>
      <c r="X100" s="19"/>
      <c r="Y100" s="20">
        <f t="shared" si="35"/>
        <v>7.7149999999999996E-2</v>
      </c>
      <c r="Z100" s="15">
        <f t="shared" si="50"/>
        <v>-0.25312045616183332</v>
      </c>
      <c r="AA100" s="15">
        <f t="shared" si="48"/>
        <v>14.770516786208695</v>
      </c>
      <c r="AB100" s="15">
        <f>(1+AA100)/(1+MAX(AA$2:AA100))-1</f>
        <v>-0.45845457344017249</v>
      </c>
      <c r="AC100" s="58">
        <f t="shared" si="49"/>
        <v>15770.516786208693</v>
      </c>
    </row>
    <row r="101" spans="1:35" s="61" customFormat="1" outlineLevel="1" x14ac:dyDescent="0.3">
      <c r="A101" s="61" t="s">
        <v>664</v>
      </c>
      <c r="B101" s="55" t="str">
        <f t="shared" si="31"/>
        <v>2026-4</v>
      </c>
      <c r="C101" s="11">
        <v>46113</v>
      </c>
      <c r="D101" s="18" t="s">
        <v>164</v>
      </c>
      <c r="E101" s="14">
        <v>9.6799999999999997E-2</v>
      </c>
      <c r="F101" s="15">
        <f>+(1+E101)*(1+F100)-1</f>
        <v>-0.12333233343664007</v>
      </c>
      <c r="G101" s="15">
        <f>+(1+E101)*(1+G100)-1</f>
        <v>4.4204589452277032</v>
      </c>
      <c r="H101" s="13">
        <f>(1+G101)/(1+MAX(G$2:G101))-1</f>
        <v>-0.33725442413252138</v>
      </c>
      <c r="I101" s="18" t="s">
        <v>166</v>
      </c>
      <c r="J101" s="14">
        <v>5.1400000000000001E-2</v>
      </c>
      <c r="K101" s="15">
        <f>+(1+J101)*(1+K100)-1</f>
        <v>-0.23558518546091789</v>
      </c>
      <c r="L101" s="15">
        <f>+(1+J101)*(1+L100)-1</f>
        <v>1.9991663886111839</v>
      </c>
      <c r="M101" s="13">
        <f>(1+L101)/(1+MAX(L$2:L101))-1</f>
        <v>-0.51019504423261308</v>
      </c>
      <c r="N101" s="18" t="s">
        <v>655</v>
      </c>
      <c r="O101" s="16">
        <v>-4.0099999999999997E-2</v>
      </c>
      <c r="P101" s="57" t="s">
        <v>656</v>
      </c>
      <c r="Q101" s="16">
        <v>6.5100000000000005E-2</v>
      </c>
      <c r="R101" s="57" t="s">
        <v>657</v>
      </c>
      <c r="S101" s="16">
        <v>0.38529999999999998</v>
      </c>
      <c r="T101" s="14">
        <f t="shared" si="47"/>
        <v>0.17259999999999998</v>
      </c>
      <c r="U101" s="15">
        <f>+(1+T101)*(1+U100)-1</f>
        <v>-0.12800594552774502</v>
      </c>
      <c r="V101" s="15">
        <f>+(1+T101)*(1+V100)-1</f>
        <v>5.9953845462990207E-2</v>
      </c>
      <c r="W101" s="13">
        <f>(1+V101)/(1+MAX(V$2:V101))-1</f>
        <v>-0.60492991205047342</v>
      </c>
      <c r="X101" s="19"/>
      <c r="Y101" s="20">
        <f t="shared" si="35"/>
        <v>9.9166666666666681E-2</v>
      </c>
      <c r="Z101" s="15">
        <f t="shared" si="50"/>
        <v>-0.17905490139788183</v>
      </c>
      <c r="AA101" s="15">
        <f t="shared" si="48"/>
        <v>16.334426367507724</v>
      </c>
      <c r="AB101" s="15">
        <f>(1+AA101)/(1+MAX(AA$2:AA101))-1</f>
        <v>-0.4047513186396563</v>
      </c>
      <c r="AC101" s="58">
        <f t="shared" si="49"/>
        <v>17334.42636750772</v>
      </c>
    </row>
    <row r="102" spans="1:35" s="61" customFormat="1" outlineLevel="1" x14ac:dyDescent="0.3">
      <c r="A102" s="61" t="s">
        <v>664</v>
      </c>
      <c r="B102" s="55" t="str">
        <f t="shared" si="31"/>
        <v>2026-5</v>
      </c>
      <c r="C102" s="11">
        <v>46143</v>
      </c>
      <c r="D102" s="18" t="s">
        <v>164</v>
      </c>
      <c r="E102" s="14">
        <v>-3.3099999999999997E-2</v>
      </c>
      <c r="F102" s="15">
        <f t="shared" ref="F102:F104" si="51">+(1+E102)*(1+F101)-1</f>
        <v>-0.15235003319988727</v>
      </c>
      <c r="G102" s="15">
        <f t="shared" ref="G102:G104" si="52">+(1+E102)*(1+G101)-1</f>
        <v>4.2410417541406664</v>
      </c>
      <c r="H102" s="13">
        <f>(1+G102)/(1+MAX(G$2:G102))-1</f>
        <v>-0.35919130269373489</v>
      </c>
      <c r="I102" s="18" t="s">
        <v>166</v>
      </c>
      <c r="J102" s="14">
        <v>-0.10920000000000001</v>
      </c>
      <c r="K102" s="15">
        <f t="shared" ref="K102:K104" si="53">+(1+J102)*(1+K101)-1</f>
        <v>-0.31905928320858568</v>
      </c>
      <c r="L102" s="15">
        <f t="shared" ref="L102:L104" si="54">+(1+J102)*(1+L101)-1</f>
        <v>1.6716574189748425</v>
      </c>
      <c r="M102" s="13">
        <f>(1+L102)/(1+MAX(L$2:L102))-1</f>
        <v>-0.56368174540241167</v>
      </c>
      <c r="N102" s="18" t="s">
        <v>655</v>
      </c>
      <c r="O102" s="16">
        <v>-0.1792</v>
      </c>
      <c r="P102" s="57" t="s">
        <v>656</v>
      </c>
      <c r="Q102" s="16">
        <v>0.1348</v>
      </c>
      <c r="R102" s="57" t="s">
        <v>657</v>
      </c>
      <c r="S102" s="16">
        <v>0.62060000000000004</v>
      </c>
      <c r="T102" s="14">
        <f t="shared" si="47"/>
        <v>0.22070000000000001</v>
      </c>
      <c r="U102" s="15">
        <f t="shared" ref="U102:U104" si="55">+(1+T102)*(1+U101)-1</f>
        <v>6.4443142294281497E-2</v>
      </c>
      <c r="V102" s="15">
        <f t="shared" ref="V102:V104" si="56">+(1+T102)*(1+V101)-1</f>
        <v>0.29388565915667209</v>
      </c>
      <c r="W102" s="13">
        <f>(1+V102)/(1+MAX(V$2:V102))-1</f>
        <v>-0.51773794364001291</v>
      </c>
      <c r="X102" s="19"/>
      <c r="Y102" s="20">
        <f>E102*0.3+J102*0.3+AVERAGE(O102,Q102,S102)*0.4</f>
        <v>3.4136666666666683E-2</v>
      </c>
      <c r="Z102" s="15">
        <f t="shared" si="50"/>
        <v>-0.1510305722152675</v>
      </c>
      <c r="AA102" s="15">
        <f t="shared" si="48"/>
        <v>16.926165902273215</v>
      </c>
      <c r="AB102" s="15">
        <f>(1+AA102)/(1+MAX(AA$2:AA102))-1</f>
        <v>-0.38443151282028531</v>
      </c>
      <c r="AC102" s="58">
        <f t="shared" si="49"/>
        <v>17926.165902273209</v>
      </c>
      <c r="AF102" s="62"/>
      <c r="AG102" s="62"/>
      <c r="AH102" s="62"/>
      <c r="AI102" s="62"/>
    </row>
    <row r="103" spans="1:35" s="61" customFormat="1" outlineLevel="1" x14ac:dyDescent="0.3">
      <c r="A103" s="61" t="s">
        <v>664</v>
      </c>
      <c r="B103" s="55" t="str">
        <f t="shared" si="31"/>
        <v>2026-6</v>
      </c>
      <c r="C103" s="11">
        <v>46174</v>
      </c>
      <c r="D103" s="18" t="s">
        <v>164</v>
      </c>
      <c r="E103" s="14">
        <v>-0.18809999999999999</v>
      </c>
      <c r="F103" s="15">
        <f t="shared" si="51"/>
        <v>-0.31179299195498844</v>
      </c>
      <c r="G103" s="15">
        <f t="shared" si="52"/>
        <v>3.255201800186807</v>
      </c>
      <c r="H103" s="13">
        <f>(1+G103)/(1+MAX(G$2:G103))-1</f>
        <v>-0.47972741865704338</v>
      </c>
      <c r="I103" s="18" t="s">
        <v>166</v>
      </c>
      <c r="J103" s="14">
        <v>-0.2011</v>
      </c>
      <c r="K103" s="15">
        <f t="shared" si="53"/>
        <v>-0.45599646135533911</v>
      </c>
      <c r="L103" s="15">
        <f t="shared" si="54"/>
        <v>1.1343871120190014</v>
      </c>
      <c r="M103" s="13">
        <f>(1+L103)/(1+MAX(L$2:L103))-1</f>
        <v>-0.65142534640198679</v>
      </c>
      <c r="N103" s="18" t="s">
        <v>114</v>
      </c>
      <c r="O103" s="16">
        <v>-8.4199999999999997E-2</v>
      </c>
      <c r="P103" s="57" t="s">
        <v>656</v>
      </c>
      <c r="Q103" s="16">
        <v>-0.17419999999999999</v>
      </c>
      <c r="R103" s="57" t="s">
        <v>657</v>
      </c>
      <c r="S103" s="16">
        <v>-0.28220000000000001</v>
      </c>
      <c r="T103" s="14">
        <f t="shared" si="47"/>
        <v>-0.1832</v>
      </c>
      <c r="U103" s="15">
        <f t="shared" si="55"/>
        <v>-0.13056284137403096</v>
      </c>
      <c r="V103" s="15">
        <f t="shared" si="56"/>
        <v>5.6845806399169696E-2</v>
      </c>
      <c r="W103" s="13">
        <f>(1+V103)/(1+MAX(V$2:V103))-1</f>
        <v>-0.60608835236516256</v>
      </c>
      <c r="X103" s="19"/>
      <c r="Y103" s="20">
        <f>E103*0.3+J103*0.3+AVERAGE(O103,Q103,S103)*0.4</f>
        <v>-0.18884000000000001</v>
      </c>
      <c r="Z103" s="15">
        <f t="shared" si="50"/>
        <v>-0.31134995895813644</v>
      </c>
      <c r="AA103" s="15">
        <f t="shared" si="48"/>
        <v>13.540988733287941</v>
      </c>
      <c r="AB103" s="15">
        <f>(1+AA103)/(1+MAX(AA$2:AA103))-1</f>
        <v>-0.50067546593930268</v>
      </c>
      <c r="AC103" s="58">
        <f t="shared" si="49"/>
        <v>14540.988733287937</v>
      </c>
      <c r="AF103" s="62"/>
      <c r="AG103" s="62"/>
      <c r="AH103" s="62"/>
      <c r="AI103" s="62"/>
    </row>
    <row r="104" spans="1:35" s="61" customFormat="1" outlineLevel="1" x14ac:dyDescent="0.3">
      <c r="A104" s="61" t="s">
        <v>664</v>
      </c>
      <c r="B104" s="55" t="str">
        <f t="shared" si="31"/>
        <v>2026-7</v>
      </c>
      <c r="C104" s="11">
        <v>46204</v>
      </c>
      <c r="D104" s="18" t="s">
        <v>164</v>
      </c>
      <c r="E104" s="14">
        <v>6.3200000000000006E-2</v>
      </c>
      <c r="F104" s="15">
        <f t="shared" si="51"/>
        <v>-0.26829830904654373</v>
      </c>
      <c r="G104" s="15">
        <f t="shared" si="52"/>
        <v>3.5241305539586127</v>
      </c>
      <c r="H104" s="13">
        <f>(1+G104)/(1+MAX(G$2:G104))-1</f>
        <v>-0.44684619151616856</v>
      </c>
      <c r="I104" s="18" t="s">
        <v>166</v>
      </c>
      <c r="J104" s="14">
        <v>0.17480000000000001</v>
      </c>
      <c r="K104" s="15">
        <f t="shared" si="53"/>
        <v>-0.36090464280025236</v>
      </c>
      <c r="L104" s="15">
        <f t="shared" si="54"/>
        <v>1.5074779791999231</v>
      </c>
      <c r="M104" s="13">
        <f>(1+L104)/(1+MAX(L$2:L104))-1</f>
        <v>-0.590494496953054</v>
      </c>
      <c r="N104" s="18" t="s">
        <v>114</v>
      </c>
      <c r="O104" s="16">
        <v>2.5000000000000001E-2</v>
      </c>
      <c r="P104" s="57" t="s">
        <v>656</v>
      </c>
      <c r="Q104" s="16">
        <v>-6.0999999999999999E-2</v>
      </c>
      <c r="R104" s="57" t="s">
        <v>657</v>
      </c>
      <c r="S104" s="16">
        <v>0.1351</v>
      </c>
      <c r="T104" s="14">
        <f t="shared" si="47"/>
        <v>8.0049999999999996E-2</v>
      </c>
      <c r="U104" s="15">
        <f t="shared" si="55"/>
        <v>-6.0964396826022171E-2</v>
      </c>
      <c r="V104" s="15">
        <f t="shared" si="56"/>
        <v>0.1414463132014232</v>
      </c>
      <c r="W104" s="13">
        <f>(1+V104)/(1+MAX(V$2:V104))-1</f>
        <v>-0.57455572497199381</v>
      </c>
      <c r="X104" s="19"/>
      <c r="Y104" s="20">
        <f>E104*0.3+J104*0.3+AVERAGE(O104,Q104,S104)*0.4</f>
        <v>8.4613333333333346E-2</v>
      </c>
      <c r="Z104" s="15">
        <f t="shared" si="50"/>
        <v>-0.2530809834854475</v>
      </c>
      <c r="AA104" s="15">
        <f t="shared" ref="AA104" si="57">+(1+Y104)*(1+AA103)-1</f>
        <v>14.771350259973879</v>
      </c>
      <c r="AB104" s="15">
        <f>(1+AA104)/(1+MAX(AA$2:AA104))-1</f>
        <v>-0.45842595269731345</v>
      </c>
      <c r="AC104" s="58">
        <f t="shared" ref="AC104" si="58">AC103*(1+Y104)</f>
        <v>15771.350259973875</v>
      </c>
      <c r="AF104" s="62"/>
      <c r="AG104" s="62"/>
      <c r="AH104" s="62"/>
      <c r="AI104" s="62"/>
    </row>
    <row r="105" spans="1:35" s="61" customFormat="1" outlineLevel="1" x14ac:dyDescent="0.3">
      <c r="A105" s="61" t="s">
        <v>664</v>
      </c>
      <c r="B105" s="55" t="str">
        <f t="shared" si="31"/>
        <v>2026-8</v>
      </c>
      <c r="C105" s="11">
        <v>46235</v>
      </c>
      <c r="D105" s="18" t="s">
        <v>164</v>
      </c>
      <c r="E105" s="14">
        <v>0.24340000000000001</v>
      </c>
      <c r="F105" s="15">
        <f t="shared" ref="F105" si="59">+(1+E105)*(1+F104)-1</f>
        <v>-9.0202117468472398E-2</v>
      </c>
      <c r="G105" s="15">
        <f t="shared" ref="G105" si="60">+(1+E105)*(1+G104)-1</f>
        <v>4.6253039307921391</v>
      </c>
      <c r="H105" s="13">
        <f>(1+G105)/(1+MAX(G$2:G105))-1</f>
        <v>-0.312208554531204</v>
      </c>
      <c r="I105" s="18" t="s">
        <v>166</v>
      </c>
      <c r="J105" s="14">
        <v>0.31850000000000001</v>
      </c>
      <c r="K105" s="15">
        <f t="shared" ref="K105" si="61">+(1+J105)*(1+K104)-1</f>
        <v>-0.15735277153213278</v>
      </c>
      <c r="L105" s="15">
        <f t="shared" ref="L105" si="62">+(1+J105)*(1+L104)-1</f>
        <v>2.3061097155750985</v>
      </c>
      <c r="M105" s="13">
        <f>(1+L105)/(1+MAX(L$2:L105))-1</f>
        <v>-0.46006699423260178</v>
      </c>
      <c r="N105" s="18" t="s">
        <v>114</v>
      </c>
      <c r="O105" s="16">
        <v>1.5299999999999999E-2</v>
      </c>
      <c r="P105" s="57" t="s">
        <v>656</v>
      </c>
      <c r="Q105" s="16">
        <v>0.44400000000000001</v>
      </c>
      <c r="R105" s="57" t="s">
        <v>657</v>
      </c>
      <c r="S105" s="16">
        <v>0.84389999999999998</v>
      </c>
      <c r="T105" s="14">
        <f t="shared" si="47"/>
        <v>0.42959999999999998</v>
      </c>
      <c r="U105" s="15">
        <f t="shared" ref="U105" si="63">+(1+T105)*(1+U104)-1</f>
        <v>0.3424452982975188</v>
      </c>
      <c r="V105" s="15">
        <f t="shared" ref="V105" si="64">+(1+T105)*(1+V104)-1</f>
        <v>0.63181164935275458</v>
      </c>
      <c r="W105" s="13">
        <f>(1+V105)/(1+MAX(V$2:V105))-1</f>
        <v>-0.39178486441996241</v>
      </c>
      <c r="X105" s="19"/>
      <c r="Y105" s="20">
        <f>E105*0.3+J105*0.3+AVERAGE(O105,Q105,S105)*0.4</f>
        <v>0.34233000000000002</v>
      </c>
      <c r="Z105" s="15">
        <f t="shared" ref="Z105" si="65">+(1+Y105)*(1+Z104)-1</f>
        <v>2.6118034379791766E-3</v>
      </c>
      <c r="AA105" s="15">
        <f t="shared" ref="AA105" si="66">+(1+Y105)*(1+AA104)-1</f>
        <v>20.170356594470736</v>
      </c>
      <c r="AB105" s="15">
        <f>(1+AA105)/(1+MAX(AA$2:AA105))-1</f>
        <v>-0.27302890908418487</v>
      </c>
      <c r="AC105" s="58">
        <f t="shared" ref="AC105" si="67">AC104*(1+Y105)</f>
        <v>21170.356594470733</v>
      </c>
      <c r="AF105" s="62"/>
      <c r="AG105" s="62"/>
      <c r="AH105" s="62"/>
      <c r="AI105" s="62"/>
    </row>
    <row r="106" spans="1:35" s="61" customFormat="1" outlineLevel="1" x14ac:dyDescent="0.3">
      <c r="A106" s="61" t="s">
        <v>664</v>
      </c>
      <c r="B106" s="55" t="str">
        <f t="shared" si="31"/>
        <v>2026-9</v>
      </c>
      <c r="C106" s="11">
        <v>46266</v>
      </c>
      <c r="D106" s="18" t="s">
        <v>164</v>
      </c>
      <c r="E106" s="14">
        <v>8.48E-2</v>
      </c>
      <c r="F106" s="15">
        <f t="shared" ref="F106" si="68">+(1+E106)*(1+F105)-1</f>
        <v>-1.3051257029798924E-2</v>
      </c>
      <c r="G106" s="15">
        <f t="shared" ref="G106" si="69">+(1+E106)*(1+G105)-1</f>
        <v>5.1023297041233127</v>
      </c>
      <c r="H106" s="13">
        <f>(1+G106)/(1+MAX(G$2:G106))-1</f>
        <v>-0.25388383995545005</v>
      </c>
      <c r="I106" s="18" t="s">
        <v>166</v>
      </c>
      <c r="J106" s="14">
        <v>0.1057</v>
      </c>
      <c r="K106" s="15">
        <f t="shared" ref="K106" si="70">+(1+J106)*(1+K105)-1</f>
        <v>-6.8284959483079333E-2</v>
      </c>
      <c r="L106" s="15">
        <f t="shared" ref="L106" si="71">+(1+J106)*(1+L105)-1</f>
        <v>2.655565512511386</v>
      </c>
      <c r="M106" s="13">
        <f>(1+L106)/(1+MAX(L$2:L106))-1</f>
        <v>-0.40299607552298777</v>
      </c>
      <c r="N106" s="18" t="s">
        <v>114</v>
      </c>
      <c r="O106" s="16">
        <v>2.46E-2</v>
      </c>
      <c r="P106" s="57" t="s">
        <v>656</v>
      </c>
      <c r="Q106" s="16">
        <v>0.38350000000000001</v>
      </c>
      <c r="R106" s="57" t="s">
        <v>657</v>
      </c>
      <c r="S106" s="16">
        <v>0.7026</v>
      </c>
      <c r="T106" s="14">
        <f t="shared" ref="T106" si="72">AVERAGE(O106,S106)</f>
        <v>0.36359999999999998</v>
      </c>
      <c r="U106" s="15">
        <f t="shared" ref="U106" si="73">+(1+T106)*(1+U105)-1</f>
        <v>0.83055840875849651</v>
      </c>
      <c r="V106" s="15">
        <f t="shared" ref="V106" si="74">+(1+T106)*(1+V105)-1</f>
        <v>1.2251383650574161</v>
      </c>
      <c r="W106" s="13">
        <f>(1+V106)/(1+MAX(V$2:V106))-1</f>
        <v>-0.17063784112306069</v>
      </c>
      <c r="X106" s="19"/>
      <c r="Y106" s="20">
        <f>E106*0.3+J106*0.3+AVERAGE(O106,Q106,S106)*0.4</f>
        <v>0.20524333333333336</v>
      </c>
      <c r="Z106" s="15">
        <f t="shared" ref="Z106" si="75">+(1+Y106)*(1+Z105)-1</f>
        <v>0.20839119201493483</v>
      </c>
      <c r="AA106" s="15">
        <f t="shared" ref="AA106" si="76">+(1+Y106)*(1+AA105)-1</f>
        <v>24.515431149775228</v>
      </c>
      <c r="AB106" s="15">
        <f>(1+AA106)/(1+MAX(AA$2:AA106))-1</f>
        <v>-0.12382293914765308</v>
      </c>
      <c r="AC106" s="58">
        <f t="shared" ref="AC106" si="77">AC105*(1+Y106)</f>
        <v>25515.431149775224</v>
      </c>
      <c r="AF106" s="62"/>
    </row>
    <row r="107" spans="1:35" s="61" customFormat="1" outlineLevel="1" x14ac:dyDescent="0.3">
      <c r="A107" s="61" t="s">
        <v>664</v>
      </c>
      <c r="B107" s="55" t="str">
        <f t="shared" si="31"/>
        <v>2026-10</v>
      </c>
      <c r="C107" s="11">
        <v>46296</v>
      </c>
      <c r="D107" s="18" t="s">
        <v>164</v>
      </c>
      <c r="E107" s="14"/>
      <c r="F107" s="15"/>
      <c r="G107" s="15"/>
      <c r="H107" s="13"/>
      <c r="I107" s="18" t="s">
        <v>166</v>
      </c>
      <c r="J107" s="14"/>
      <c r="K107" s="15"/>
      <c r="L107" s="15"/>
      <c r="M107" s="13"/>
      <c r="N107" s="18"/>
      <c r="O107" s="16"/>
      <c r="P107" s="57"/>
      <c r="Q107" s="16"/>
      <c r="R107" s="57"/>
      <c r="S107" s="16"/>
      <c r="T107" s="14"/>
      <c r="U107" s="15"/>
      <c r="V107" s="15"/>
      <c r="W107" s="13"/>
      <c r="X107" s="21"/>
      <c r="Y107" s="20"/>
      <c r="Z107" s="15"/>
      <c r="AA107" s="15"/>
      <c r="AB107" s="15"/>
      <c r="AC107" s="58"/>
    </row>
    <row r="108" spans="1:35" s="61" customFormat="1" outlineLevel="1" x14ac:dyDescent="0.3">
      <c r="A108" s="61" t="s">
        <v>664</v>
      </c>
      <c r="B108" s="55" t="str">
        <f t="shared" si="31"/>
        <v>2026-11</v>
      </c>
      <c r="C108" s="11">
        <v>46327</v>
      </c>
      <c r="D108" s="18"/>
      <c r="E108" s="14"/>
      <c r="F108" s="15"/>
      <c r="G108" s="15"/>
      <c r="H108" s="13"/>
      <c r="I108" s="18"/>
      <c r="J108" s="14"/>
      <c r="K108" s="15"/>
      <c r="L108" s="15"/>
      <c r="M108" s="13"/>
      <c r="N108" s="18"/>
      <c r="O108" s="16"/>
      <c r="P108" s="57"/>
      <c r="Q108" s="16"/>
      <c r="R108" s="57"/>
      <c r="S108" s="16"/>
      <c r="T108" s="14"/>
      <c r="U108" s="15"/>
      <c r="V108" s="15"/>
      <c r="W108" s="13"/>
      <c r="X108" s="21"/>
      <c r="Y108" s="20"/>
      <c r="Z108" s="15"/>
      <c r="AA108" s="15"/>
      <c r="AB108" s="15"/>
      <c r="AC108" s="58"/>
    </row>
    <row r="109" spans="1:35" s="27" customFormat="1" ht="15" thickBot="1" x14ac:dyDescent="0.35">
      <c r="A109" s="27" t="s">
        <v>664</v>
      </c>
      <c r="B109" s="63" t="str">
        <f t="shared" si="31"/>
        <v>2026-12</v>
      </c>
      <c r="C109" s="22">
        <v>46357</v>
      </c>
      <c r="D109" s="29"/>
      <c r="E109" s="24"/>
      <c r="F109" s="25">
        <f>+(1+E109)*(1+F108)-1</f>
        <v>0</v>
      </c>
      <c r="G109" s="25">
        <f>+(1+E109)*(1+G108)-1</f>
        <v>0</v>
      </c>
      <c r="H109" s="26">
        <f>(1+G109)/(1+MAX(G$2:G109))-1</f>
        <v>-0.87773257162090024</v>
      </c>
      <c r="I109" s="29"/>
      <c r="J109" s="24"/>
      <c r="K109" s="25"/>
      <c r="L109" s="25"/>
      <c r="M109" s="26"/>
      <c r="N109" s="29"/>
      <c r="O109" s="141"/>
      <c r="P109" s="142"/>
      <c r="Q109" s="141"/>
      <c r="R109" s="142"/>
      <c r="S109" s="141"/>
      <c r="T109" s="24"/>
      <c r="U109" s="25"/>
      <c r="V109" s="25"/>
      <c r="W109" s="26"/>
      <c r="X109" s="31"/>
      <c r="Y109" s="32"/>
      <c r="Z109" s="25"/>
      <c r="AA109" s="25"/>
      <c r="AB109" s="25"/>
      <c r="AC109" s="66"/>
    </row>
    <row r="112" spans="1:35" s="78" customFormat="1" x14ac:dyDescent="0.3">
      <c r="B112" s="82"/>
      <c r="C112" s="83" t="s">
        <v>83</v>
      </c>
      <c r="D112" s="90"/>
      <c r="E112" s="85">
        <f>COUNTA(E2:E106)/12</f>
        <v>8.75</v>
      </c>
      <c r="F112" s="86" t="s">
        <v>83</v>
      </c>
      <c r="G112" s="87"/>
      <c r="H112" s="88"/>
      <c r="I112" s="90"/>
      <c r="J112" s="85">
        <f>COUNTA(J2:J106)/12</f>
        <v>8.75</v>
      </c>
      <c r="K112" s="86" t="s">
        <v>83</v>
      </c>
      <c r="L112" s="87"/>
      <c r="M112" s="88"/>
      <c r="N112" s="90" t="s">
        <v>105</v>
      </c>
      <c r="O112" s="78">
        <v>0</v>
      </c>
      <c r="P112" s="91" t="s">
        <v>102</v>
      </c>
      <c r="Q112" s="89">
        <v>0</v>
      </c>
      <c r="R112" s="91" t="s">
        <v>139</v>
      </c>
      <c r="S112" s="109">
        <v>0</v>
      </c>
      <c r="T112" s="85">
        <f>COUNTA(T2:T106)/12</f>
        <v>8.75</v>
      </c>
      <c r="U112" s="86" t="s">
        <v>83</v>
      </c>
      <c r="V112" s="87"/>
      <c r="W112" s="88"/>
      <c r="X112" s="82"/>
      <c r="Y112" s="92">
        <f>COUNTA(Y2:Y106)/12</f>
        <v>8.75</v>
      </c>
      <c r="Z112" s="86" t="s">
        <v>83</v>
      </c>
      <c r="AA112" s="87"/>
      <c r="AB112" s="87"/>
      <c r="AC112" s="77"/>
    </row>
    <row r="113" spans="2:29" s="78" customFormat="1" x14ac:dyDescent="0.3">
      <c r="B113" s="96"/>
      <c r="C113" s="83" t="s">
        <v>15</v>
      </c>
      <c r="D113" s="90"/>
      <c r="E113" s="97">
        <f>G106^(1/E112)-1</f>
        <v>0.20472474463564638</v>
      </c>
      <c r="F113" s="86" t="s">
        <v>15</v>
      </c>
      <c r="G113" s="87"/>
      <c r="H113" s="88"/>
      <c r="I113" s="90"/>
      <c r="J113" s="97">
        <f>L106^(1/J112)-1</f>
        <v>0.11808568707980993</v>
      </c>
      <c r="K113" s="86" t="s">
        <v>15</v>
      </c>
      <c r="L113" s="87"/>
      <c r="M113" s="88"/>
      <c r="N113" s="90"/>
      <c r="O113" s="82"/>
      <c r="P113" s="99"/>
      <c r="Q113" s="98"/>
      <c r="R113" s="99"/>
      <c r="S113" s="109"/>
      <c r="T113" s="97">
        <f>V106^(1/T112)-1</f>
        <v>2.3477504903581803E-2</v>
      </c>
      <c r="U113" s="86" t="s">
        <v>15</v>
      </c>
      <c r="V113" s="87"/>
      <c r="W113" s="88"/>
      <c r="X113" s="82"/>
      <c r="Y113" s="100">
        <f>AA106^(1/Y112)-1</f>
        <v>0.44142845045838919</v>
      </c>
      <c r="Z113" s="86" t="s">
        <v>15</v>
      </c>
      <c r="AA113" s="87"/>
      <c r="AB113" s="87"/>
      <c r="AC113" s="77"/>
    </row>
    <row r="114" spans="2:29" s="78" customFormat="1" x14ac:dyDescent="0.3">
      <c r="B114" s="82"/>
      <c r="C114" s="83" t="s">
        <v>16</v>
      </c>
      <c r="D114" s="90"/>
      <c r="E114" s="97">
        <f>_xlfn.STDEV.S(E2:E106)*SQRT(12)</f>
        <v>0.669246304917963</v>
      </c>
      <c r="F114" s="86" t="s">
        <v>16</v>
      </c>
      <c r="G114" s="87"/>
      <c r="H114" s="88"/>
      <c r="I114" s="90"/>
      <c r="J114" s="97">
        <f>_xlfn.STDEV.S(J2:J106)*SQRT(12)</f>
        <v>0.92179737115331184</v>
      </c>
      <c r="K114" s="86" t="s">
        <v>16</v>
      </c>
      <c r="L114" s="87"/>
      <c r="M114" s="88"/>
      <c r="N114" s="90"/>
      <c r="O114" s="82"/>
      <c r="P114" s="99"/>
      <c r="Q114" s="98"/>
      <c r="R114" s="99"/>
      <c r="S114" s="109"/>
      <c r="T114" s="97">
        <f>_xlfn.STDEV.S(T2:T106)*SQRT(12)</f>
        <v>0.36753907070383235</v>
      </c>
      <c r="U114" s="86" t="s">
        <v>16</v>
      </c>
      <c r="V114" s="87"/>
      <c r="W114" s="88"/>
      <c r="X114" s="82"/>
      <c r="Y114" s="100">
        <f>_xlfn.STDEV.S(Y2:Y106)*SQRT(12)</f>
        <v>0.87950966261884622</v>
      </c>
      <c r="Z114" s="86" t="s">
        <v>16</v>
      </c>
      <c r="AA114" s="87"/>
      <c r="AB114" s="87"/>
      <c r="AC114" s="77"/>
    </row>
    <row r="115" spans="2:29" s="78" customFormat="1" x14ac:dyDescent="0.3">
      <c r="B115" s="82"/>
      <c r="C115" s="83" t="s">
        <v>17</v>
      </c>
      <c r="D115" s="90"/>
      <c r="E115" s="103">
        <f>AVERAGE(E2:E106)/_xlfn.STDEV.S(E2:E106)*SQRT(12)</f>
        <v>0.62820432509276669</v>
      </c>
      <c r="F115" s="86" t="s">
        <v>17</v>
      </c>
      <c r="G115" s="87"/>
      <c r="H115" s="88"/>
      <c r="I115" s="90"/>
      <c r="J115" s="103">
        <f>AVERAGE(J2:J106)/_xlfn.STDEV.S(J2:J106)*SQRT(12)</f>
        <v>0.58830672709762755</v>
      </c>
      <c r="K115" s="86" t="s">
        <v>17</v>
      </c>
      <c r="L115" s="87"/>
      <c r="M115" s="88"/>
      <c r="N115" s="90"/>
      <c r="O115" s="82"/>
      <c r="P115" s="105"/>
      <c r="Q115" s="104"/>
      <c r="R115" s="105"/>
      <c r="S115" s="109"/>
      <c r="T115" s="103">
        <f>AVERAGE(T2:T106)/_xlfn.STDEV.S(T2:T106)*SQRT(12)</f>
        <v>0.43014138858560869</v>
      </c>
      <c r="U115" s="86" t="s">
        <v>17</v>
      </c>
      <c r="V115" s="87"/>
      <c r="W115" s="88"/>
      <c r="X115" s="82"/>
      <c r="Y115" s="106">
        <f>AVERAGE(Y2:Y106)/_xlfn.STDEV.S(Y2:Y106)*SQRT(12)</f>
        <v>0.8043375186020626</v>
      </c>
      <c r="Z115" s="86" t="s">
        <v>17</v>
      </c>
      <c r="AA115" s="87"/>
      <c r="AB115" s="87"/>
      <c r="AC115" s="77"/>
    </row>
    <row r="116" spans="2:29" s="78" customFormat="1" x14ac:dyDescent="0.3">
      <c r="B116" s="82"/>
      <c r="C116" s="83" t="s">
        <v>18</v>
      </c>
      <c r="D116" s="90"/>
      <c r="E116" s="108">
        <f>MIN(H2:H106)</f>
        <v>-0.73010946074013683</v>
      </c>
      <c r="F116" s="86" t="s">
        <v>18</v>
      </c>
      <c r="G116" s="87"/>
      <c r="H116" s="88"/>
      <c r="I116" s="90"/>
      <c r="J116" s="108">
        <f>MIN(M2:M106)</f>
        <v>-0.90424469505704663</v>
      </c>
      <c r="K116" s="86" t="s">
        <v>18</v>
      </c>
      <c r="L116" s="87"/>
      <c r="M116" s="88"/>
      <c r="N116" s="90"/>
      <c r="O116" s="82"/>
      <c r="P116" s="109"/>
      <c r="Q116" s="82"/>
      <c r="R116" s="109"/>
      <c r="S116" s="109"/>
      <c r="T116" s="108">
        <f>MIN(W2:W106)</f>
        <v>-0.69551013547894069</v>
      </c>
      <c r="U116" s="86" t="s">
        <v>18</v>
      </c>
      <c r="V116" s="87"/>
      <c r="W116" s="88"/>
      <c r="X116" s="82"/>
      <c r="Y116" s="110">
        <f>MIN(AB2:AB106)</f>
        <v>-0.73026139989494565</v>
      </c>
      <c r="Z116" s="86" t="s">
        <v>18</v>
      </c>
      <c r="AA116" s="87"/>
      <c r="AB116" s="87"/>
      <c r="AC116" s="77"/>
    </row>
    <row r="140" spans="2:22" x14ac:dyDescent="0.3">
      <c r="B140" s="69" t="s">
        <v>177</v>
      </c>
      <c r="C140" s="70">
        <v>44105</v>
      </c>
      <c r="D140" s="75" t="s">
        <v>179</v>
      </c>
      <c r="E140" s="72" t="s">
        <v>106</v>
      </c>
      <c r="F140" s="73" t="s">
        <v>296</v>
      </c>
      <c r="G140" s="73" t="s">
        <v>179</v>
      </c>
      <c r="H140" s="74" t="s">
        <v>121</v>
      </c>
      <c r="I140" s="75" t="s">
        <v>221</v>
      </c>
      <c r="J140" s="72" t="s">
        <v>179</v>
      </c>
      <c r="K140" s="73" t="s">
        <v>109</v>
      </c>
      <c r="L140" s="73" t="s">
        <v>297</v>
      </c>
      <c r="M140" s="74" t="s">
        <v>179</v>
      </c>
      <c r="N140" s="75" t="s">
        <v>104</v>
      </c>
      <c r="O140" s="69" t="s">
        <v>298</v>
      </c>
      <c r="P140" s="111" t="s">
        <v>179</v>
      </c>
      <c r="Q140" s="69" t="s">
        <v>133</v>
      </c>
      <c r="R140" s="111" t="s">
        <v>299</v>
      </c>
      <c r="S140" s="69" t="s">
        <v>179</v>
      </c>
      <c r="T140" s="72" t="s">
        <v>181</v>
      </c>
      <c r="U140" s="73" t="s">
        <v>182</v>
      </c>
      <c r="V140" s="73" t="s">
        <v>300</v>
      </c>
    </row>
    <row r="141" spans="2:22" x14ac:dyDescent="0.3">
      <c r="B141" s="69" t="s">
        <v>177</v>
      </c>
      <c r="C141" s="70">
        <v>44136</v>
      </c>
      <c r="D141" s="75" t="s">
        <v>179</v>
      </c>
      <c r="E141" s="72" t="s">
        <v>106</v>
      </c>
      <c r="F141" s="73" t="s">
        <v>301</v>
      </c>
      <c r="G141" s="73" t="s">
        <v>179</v>
      </c>
      <c r="H141" s="74" t="s">
        <v>121</v>
      </c>
      <c r="I141" s="75" t="s">
        <v>302</v>
      </c>
      <c r="J141" s="72" t="s">
        <v>179</v>
      </c>
      <c r="K141" s="73" t="s">
        <v>109</v>
      </c>
      <c r="L141" s="73" t="s">
        <v>303</v>
      </c>
      <c r="M141" s="74" t="s">
        <v>179</v>
      </c>
      <c r="N141" s="75" t="s">
        <v>104</v>
      </c>
      <c r="O141" s="69" t="s">
        <v>304</v>
      </c>
      <c r="P141" s="111" t="s">
        <v>179</v>
      </c>
      <c r="Q141" s="69" t="s">
        <v>133</v>
      </c>
      <c r="R141" s="111" t="s">
        <v>305</v>
      </c>
      <c r="S141" s="69" t="s">
        <v>179</v>
      </c>
      <c r="T141" s="72" t="s">
        <v>181</v>
      </c>
      <c r="U141" s="73" t="s">
        <v>182</v>
      </c>
      <c r="V141" s="73" t="s">
        <v>306</v>
      </c>
    </row>
    <row r="142" spans="2:22" x14ac:dyDescent="0.3">
      <c r="B142" s="69" t="s">
        <v>177</v>
      </c>
      <c r="C142" s="70" t="s">
        <v>211</v>
      </c>
      <c r="D142" s="75" t="s">
        <v>179</v>
      </c>
      <c r="E142" s="72" t="s">
        <v>106</v>
      </c>
      <c r="F142" s="73" t="s">
        <v>307</v>
      </c>
      <c r="G142" s="73" t="s">
        <v>179</v>
      </c>
      <c r="H142" s="74" t="s">
        <v>121</v>
      </c>
      <c r="I142" s="75" t="s">
        <v>308</v>
      </c>
      <c r="J142" s="72" t="s">
        <v>179</v>
      </c>
      <c r="K142" s="73" t="s">
        <v>109</v>
      </c>
      <c r="L142" s="73" t="s">
        <v>309</v>
      </c>
      <c r="M142" s="74" t="s">
        <v>179</v>
      </c>
      <c r="N142" s="75" t="s">
        <v>104</v>
      </c>
      <c r="O142" s="69" t="s">
        <v>310</v>
      </c>
      <c r="P142" s="111" t="s">
        <v>179</v>
      </c>
      <c r="Q142" s="69" t="s">
        <v>133</v>
      </c>
      <c r="R142" s="111" t="s">
        <v>311</v>
      </c>
      <c r="S142" s="69" t="s">
        <v>179</v>
      </c>
      <c r="T142" s="72" t="s">
        <v>181</v>
      </c>
      <c r="U142" s="73" t="s">
        <v>182</v>
      </c>
      <c r="V142" s="73" t="s">
        <v>312</v>
      </c>
    </row>
    <row r="143" spans="2:22" x14ac:dyDescent="0.3">
      <c r="B143" s="69" t="s">
        <v>177</v>
      </c>
      <c r="C143" s="70" t="s">
        <v>212</v>
      </c>
      <c r="D143" s="75" t="s">
        <v>179</v>
      </c>
      <c r="E143" s="72" t="s">
        <v>106</v>
      </c>
      <c r="F143" s="73" t="s">
        <v>313</v>
      </c>
      <c r="G143" s="73" t="s">
        <v>179</v>
      </c>
      <c r="H143" s="74" t="s">
        <v>121</v>
      </c>
      <c r="I143" s="75" t="s">
        <v>314</v>
      </c>
      <c r="J143" s="72" t="s">
        <v>179</v>
      </c>
      <c r="K143" s="73" t="s">
        <v>109</v>
      </c>
      <c r="L143" s="73" t="s">
        <v>217</v>
      </c>
      <c r="M143" s="74" t="s">
        <v>179</v>
      </c>
      <c r="N143" s="75" t="s">
        <v>104</v>
      </c>
      <c r="O143" s="69" t="s">
        <v>315</v>
      </c>
      <c r="P143" s="111" t="s">
        <v>179</v>
      </c>
      <c r="Q143" s="69" t="s">
        <v>134</v>
      </c>
      <c r="R143" s="111" t="s">
        <v>316</v>
      </c>
      <c r="S143" s="69" t="s">
        <v>179</v>
      </c>
      <c r="T143" s="72" t="s">
        <v>181</v>
      </c>
      <c r="U143" s="73" t="s">
        <v>182</v>
      </c>
      <c r="V143" s="73" t="s">
        <v>317</v>
      </c>
    </row>
    <row r="144" spans="2:22" x14ac:dyDescent="0.3">
      <c r="B144" s="69" t="s">
        <v>177</v>
      </c>
      <c r="C144" s="70">
        <v>44228</v>
      </c>
      <c r="D144" s="75" t="s">
        <v>179</v>
      </c>
      <c r="E144" s="72" t="s">
        <v>106</v>
      </c>
      <c r="F144" s="73" t="s">
        <v>318</v>
      </c>
      <c r="G144" s="73" t="s">
        <v>179</v>
      </c>
      <c r="H144" s="74" t="s">
        <v>121</v>
      </c>
      <c r="I144" s="75" t="s">
        <v>220</v>
      </c>
      <c r="J144" s="72" t="s">
        <v>179</v>
      </c>
      <c r="K144" s="73" t="s">
        <v>101</v>
      </c>
      <c r="L144" s="73" t="s">
        <v>319</v>
      </c>
      <c r="M144" s="74" t="s">
        <v>179</v>
      </c>
      <c r="N144" s="75" t="s">
        <v>109</v>
      </c>
      <c r="O144" s="69" t="s">
        <v>320</v>
      </c>
      <c r="P144" s="111" t="s">
        <v>179</v>
      </c>
      <c r="Q144" s="69" t="s">
        <v>104</v>
      </c>
      <c r="R144" s="111" t="s">
        <v>204</v>
      </c>
      <c r="S144" s="69" t="s">
        <v>179</v>
      </c>
      <c r="T144" s="72" t="s">
        <v>181</v>
      </c>
      <c r="U144" s="73" t="s">
        <v>182</v>
      </c>
      <c r="V144" s="73" t="s">
        <v>321</v>
      </c>
    </row>
    <row r="145" spans="2:22" x14ac:dyDescent="0.3">
      <c r="B145" s="69" t="s">
        <v>177</v>
      </c>
      <c r="C145" s="70">
        <v>44256</v>
      </c>
      <c r="D145" s="75" t="s">
        <v>179</v>
      </c>
      <c r="E145" s="72" t="s">
        <v>106</v>
      </c>
      <c r="F145" s="73" t="s">
        <v>322</v>
      </c>
      <c r="G145" s="73" t="s">
        <v>179</v>
      </c>
      <c r="H145" s="74" t="s">
        <v>121</v>
      </c>
      <c r="I145" s="75" t="s">
        <v>258</v>
      </c>
      <c r="J145" s="72" t="s">
        <v>179</v>
      </c>
      <c r="K145" s="73" t="s">
        <v>101</v>
      </c>
      <c r="L145" s="73" t="s">
        <v>323</v>
      </c>
      <c r="M145" s="74" t="s">
        <v>179</v>
      </c>
      <c r="N145" s="75" t="s">
        <v>111</v>
      </c>
      <c r="O145" s="69" t="s">
        <v>246</v>
      </c>
      <c r="P145" s="111" t="s">
        <v>179</v>
      </c>
      <c r="Q145" s="69" t="s">
        <v>104</v>
      </c>
      <c r="R145" s="111" t="s">
        <v>324</v>
      </c>
      <c r="S145" s="69" t="s">
        <v>179</v>
      </c>
      <c r="T145" s="72" t="s">
        <v>181</v>
      </c>
      <c r="U145" s="73" t="s">
        <v>182</v>
      </c>
      <c r="V145" s="73" t="s">
        <v>325</v>
      </c>
    </row>
    <row r="146" spans="2:22" x14ac:dyDescent="0.3">
      <c r="B146" s="69" t="s">
        <v>177</v>
      </c>
      <c r="C146" s="70" t="s">
        <v>215</v>
      </c>
      <c r="D146" s="75" t="s">
        <v>179</v>
      </c>
      <c r="E146" s="72" t="s">
        <v>106</v>
      </c>
      <c r="F146" s="73" t="s">
        <v>216</v>
      </c>
      <c r="G146" s="73" t="s">
        <v>179</v>
      </c>
      <c r="H146" s="74" t="s">
        <v>121</v>
      </c>
      <c r="I146" s="75" t="s">
        <v>326</v>
      </c>
      <c r="J146" s="72" t="s">
        <v>179</v>
      </c>
      <c r="K146" s="73" t="s">
        <v>101</v>
      </c>
      <c r="L146" s="73" t="s">
        <v>327</v>
      </c>
      <c r="M146" s="74" t="s">
        <v>179</v>
      </c>
      <c r="N146" s="75" t="s">
        <v>111</v>
      </c>
      <c r="O146" s="69" t="s">
        <v>328</v>
      </c>
      <c r="P146" s="111" t="s">
        <v>179</v>
      </c>
      <c r="Q146" s="69" t="s">
        <v>109</v>
      </c>
      <c r="R146" s="111" t="s">
        <v>329</v>
      </c>
      <c r="S146" s="69" t="s">
        <v>179</v>
      </c>
      <c r="T146" s="72" t="s">
        <v>181</v>
      </c>
      <c r="U146" s="73" t="s">
        <v>182</v>
      </c>
      <c r="V146" s="73" t="s">
        <v>330</v>
      </c>
    </row>
    <row r="147" spans="2:22" x14ac:dyDescent="0.3">
      <c r="B147" s="69" t="s">
        <v>177</v>
      </c>
      <c r="C147" s="70">
        <v>44317</v>
      </c>
      <c r="D147" s="75" t="s">
        <v>179</v>
      </c>
      <c r="E147" s="72" t="s">
        <v>106</v>
      </c>
      <c r="F147" s="73" t="s">
        <v>331</v>
      </c>
      <c r="G147" s="73" t="s">
        <v>179</v>
      </c>
      <c r="H147" s="74" t="s">
        <v>121</v>
      </c>
      <c r="I147" s="75" t="s">
        <v>332</v>
      </c>
      <c r="J147" s="72" t="s">
        <v>179</v>
      </c>
      <c r="K147" s="73" t="s">
        <v>101</v>
      </c>
      <c r="L147" s="73" t="s">
        <v>333</v>
      </c>
      <c r="M147" s="74" t="s">
        <v>179</v>
      </c>
      <c r="N147" s="75" t="s">
        <v>102</v>
      </c>
      <c r="O147" s="69" t="s">
        <v>334</v>
      </c>
      <c r="P147" s="111" t="s">
        <v>179</v>
      </c>
      <c r="Q147" s="69" t="s">
        <v>111</v>
      </c>
      <c r="R147" s="111" t="s">
        <v>335</v>
      </c>
      <c r="S147" s="69" t="s">
        <v>179</v>
      </c>
      <c r="T147" s="72" t="s">
        <v>181</v>
      </c>
      <c r="U147" s="73" t="s">
        <v>182</v>
      </c>
      <c r="V147" s="73" t="s">
        <v>336</v>
      </c>
    </row>
    <row r="148" spans="2:22" x14ac:dyDescent="0.3">
      <c r="B148" s="69" t="s">
        <v>177</v>
      </c>
      <c r="C148" s="70">
        <v>44348</v>
      </c>
      <c r="D148" s="75" t="s">
        <v>179</v>
      </c>
      <c r="E148" s="72" t="s">
        <v>106</v>
      </c>
      <c r="F148" s="73" t="s">
        <v>337</v>
      </c>
      <c r="G148" s="73" t="s">
        <v>179</v>
      </c>
      <c r="H148" s="74" t="s">
        <v>121</v>
      </c>
      <c r="I148" s="75" t="s">
        <v>338</v>
      </c>
      <c r="J148" s="72" t="s">
        <v>179</v>
      </c>
      <c r="K148" s="73" t="s">
        <v>101</v>
      </c>
      <c r="L148" s="73" t="s">
        <v>339</v>
      </c>
      <c r="M148" s="74" t="s">
        <v>179</v>
      </c>
      <c r="N148" s="75" t="s">
        <v>102</v>
      </c>
      <c r="O148" s="69" t="s">
        <v>340</v>
      </c>
      <c r="P148" s="111" t="s">
        <v>179</v>
      </c>
      <c r="Q148" s="69" t="s">
        <v>111</v>
      </c>
      <c r="R148" s="111" t="s">
        <v>341</v>
      </c>
      <c r="S148" s="69" t="s">
        <v>179</v>
      </c>
      <c r="T148" s="72" t="s">
        <v>181</v>
      </c>
      <c r="U148" s="73" t="s">
        <v>182</v>
      </c>
      <c r="V148" s="73" t="s">
        <v>342</v>
      </c>
    </row>
    <row r="149" spans="2:22" x14ac:dyDescent="0.3">
      <c r="B149" s="69" t="s">
        <v>177</v>
      </c>
      <c r="C149" s="70">
        <v>44378</v>
      </c>
      <c r="D149" s="75" t="s">
        <v>179</v>
      </c>
      <c r="E149" s="72" t="s">
        <v>106</v>
      </c>
      <c r="F149" s="73" t="s">
        <v>343</v>
      </c>
      <c r="G149" s="73" t="s">
        <v>179</v>
      </c>
      <c r="H149" s="74" t="s">
        <v>121</v>
      </c>
      <c r="I149" s="75" t="s">
        <v>344</v>
      </c>
      <c r="J149" s="72" t="s">
        <v>179</v>
      </c>
      <c r="K149" s="73" t="s">
        <v>101</v>
      </c>
      <c r="L149" s="73" t="s">
        <v>345</v>
      </c>
      <c r="M149" s="74" t="s">
        <v>179</v>
      </c>
      <c r="N149" s="75" t="s">
        <v>111</v>
      </c>
      <c r="O149" s="69" t="s">
        <v>346</v>
      </c>
      <c r="P149" s="111" t="s">
        <v>179</v>
      </c>
      <c r="Q149" s="69" t="s">
        <v>135</v>
      </c>
      <c r="R149" s="111" t="s">
        <v>347</v>
      </c>
      <c r="S149" s="69" t="s">
        <v>179</v>
      </c>
      <c r="T149" s="72" t="s">
        <v>181</v>
      </c>
      <c r="U149" s="73" t="s">
        <v>182</v>
      </c>
      <c r="V149" s="73" t="s">
        <v>192</v>
      </c>
    </row>
    <row r="150" spans="2:22" x14ac:dyDescent="0.3">
      <c r="B150" s="69" t="s">
        <v>177</v>
      </c>
      <c r="C150" s="70" t="s">
        <v>219</v>
      </c>
      <c r="D150" s="75" t="s">
        <v>179</v>
      </c>
      <c r="E150" s="72" t="s">
        <v>106</v>
      </c>
      <c r="F150" s="73" t="s">
        <v>348</v>
      </c>
      <c r="G150" s="73" t="s">
        <v>179</v>
      </c>
      <c r="H150" s="74" t="s">
        <v>121</v>
      </c>
      <c r="I150" s="75" t="s">
        <v>349</v>
      </c>
      <c r="J150" s="72" t="s">
        <v>179</v>
      </c>
      <c r="K150" s="73" t="s">
        <v>102</v>
      </c>
      <c r="L150" s="73" t="s">
        <v>350</v>
      </c>
      <c r="M150" s="74" t="s">
        <v>179</v>
      </c>
      <c r="N150" s="75" t="s">
        <v>111</v>
      </c>
      <c r="O150" s="69" t="s">
        <v>351</v>
      </c>
      <c r="P150" s="111" t="s">
        <v>179</v>
      </c>
      <c r="Q150" s="69" t="s">
        <v>135</v>
      </c>
      <c r="R150" s="111" t="s">
        <v>352</v>
      </c>
      <c r="S150" s="69" t="s">
        <v>179</v>
      </c>
      <c r="T150" s="72" t="s">
        <v>181</v>
      </c>
      <c r="U150" s="73" t="s">
        <v>182</v>
      </c>
      <c r="V150" s="73" t="s">
        <v>353</v>
      </c>
    </row>
    <row r="151" spans="2:22" x14ac:dyDescent="0.3">
      <c r="B151" s="69" t="s">
        <v>177</v>
      </c>
      <c r="C151" s="70">
        <v>44440</v>
      </c>
      <c r="D151" s="75" t="s">
        <v>179</v>
      </c>
      <c r="E151" s="72" t="s">
        <v>106</v>
      </c>
      <c r="F151" s="73" t="s">
        <v>354</v>
      </c>
      <c r="G151" s="73" t="s">
        <v>179</v>
      </c>
      <c r="H151" s="74" t="s">
        <v>121</v>
      </c>
      <c r="I151" s="75" t="s">
        <v>355</v>
      </c>
      <c r="J151" s="72" t="s">
        <v>179</v>
      </c>
      <c r="K151" s="73" t="s">
        <v>101</v>
      </c>
      <c r="L151" s="73" t="s">
        <v>356</v>
      </c>
      <c r="M151" s="74" t="s">
        <v>179</v>
      </c>
      <c r="N151" s="75" t="s">
        <v>111</v>
      </c>
      <c r="O151" s="69" t="s">
        <v>357</v>
      </c>
      <c r="P151" s="111" t="s">
        <v>179</v>
      </c>
      <c r="Q151" s="69" t="s">
        <v>135</v>
      </c>
      <c r="R151" s="111" t="s">
        <v>358</v>
      </c>
      <c r="S151" s="69" t="s">
        <v>179</v>
      </c>
      <c r="T151" s="72" t="s">
        <v>181</v>
      </c>
      <c r="U151" s="73" t="s">
        <v>182</v>
      </c>
      <c r="V151" s="73" t="s">
        <v>234</v>
      </c>
    </row>
    <row r="152" spans="2:22" x14ac:dyDescent="0.3">
      <c r="B152" s="69" t="s">
        <v>177</v>
      </c>
      <c r="C152" s="70">
        <v>44470</v>
      </c>
      <c r="D152" s="75" t="s">
        <v>179</v>
      </c>
      <c r="E152" s="72" t="s">
        <v>106</v>
      </c>
      <c r="F152" s="73" t="s">
        <v>359</v>
      </c>
      <c r="G152" s="73" t="s">
        <v>179</v>
      </c>
      <c r="H152" s="74" t="s">
        <v>121</v>
      </c>
      <c r="I152" s="75" t="s">
        <v>360</v>
      </c>
      <c r="J152" s="72" t="s">
        <v>179</v>
      </c>
      <c r="K152" s="73" t="s">
        <v>101</v>
      </c>
      <c r="L152" s="73" t="s">
        <v>361</v>
      </c>
      <c r="M152" s="74" t="s">
        <v>179</v>
      </c>
      <c r="N152" s="75" t="s">
        <v>111</v>
      </c>
      <c r="O152" s="69" t="s">
        <v>362</v>
      </c>
      <c r="P152" s="111" t="s">
        <v>179</v>
      </c>
      <c r="Q152" s="69" t="s">
        <v>135</v>
      </c>
      <c r="R152" s="111" t="s">
        <v>363</v>
      </c>
      <c r="S152" s="69" t="s">
        <v>179</v>
      </c>
      <c r="T152" s="72" t="s">
        <v>181</v>
      </c>
      <c r="U152" s="73" t="s">
        <v>182</v>
      </c>
      <c r="V152" s="73" t="s">
        <v>364</v>
      </c>
    </row>
    <row r="153" spans="2:22" x14ac:dyDescent="0.3">
      <c r="B153" s="69" t="s">
        <v>177</v>
      </c>
      <c r="C153" s="70">
        <v>44501</v>
      </c>
      <c r="D153" s="75" t="s">
        <v>179</v>
      </c>
      <c r="E153" s="72" t="s">
        <v>106</v>
      </c>
      <c r="F153" s="73" t="s">
        <v>365</v>
      </c>
      <c r="G153" s="73" t="s">
        <v>179</v>
      </c>
      <c r="H153" s="74" t="s">
        <v>121</v>
      </c>
      <c r="I153" s="75" t="s">
        <v>366</v>
      </c>
      <c r="J153" s="72" t="s">
        <v>179</v>
      </c>
      <c r="K153" s="73" t="s">
        <v>102</v>
      </c>
      <c r="L153" s="73" t="s">
        <v>367</v>
      </c>
      <c r="M153" s="74" t="s">
        <v>179</v>
      </c>
      <c r="N153" s="75" t="s">
        <v>111</v>
      </c>
      <c r="O153" s="69" t="s">
        <v>368</v>
      </c>
      <c r="P153" s="111" t="s">
        <v>179</v>
      </c>
      <c r="Q153" s="69" t="s">
        <v>135</v>
      </c>
      <c r="R153" s="111" t="s">
        <v>369</v>
      </c>
      <c r="S153" s="69" t="s">
        <v>179</v>
      </c>
      <c r="T153" s="72" t="s">
        <v>181</v>
      </c>
      <c r="U153" s="73" t="s">
        <v>182</v>
      </c>
      <c r="V153" s="73" t="s">
        <v>210</v>
      </c>
    </row>
    <row r="154" spans="2:22" x14ac:dyDescent="0.3">
      <c r="B154" s="69" t="s">
        <v>177</v>
      </c>
      <c r="C154" s="70" t="s">
        <v>223</v>
      </c>
      <c r="D154" s="75" t="s">
        <v>179</v>
      </c>
      <c r="E154" s="72" t="s">
        <v>106</v>
      </c>
      <c r="F154" s="73" t="s">
        <v>370</v>
      </c>
      <c r="G154" s="73" t="s">
        <v>179</v>
      </c>
      <c r="H154" s="74" t="s">
        <v>121</v>
      </c>
      <c r="I154" s="75" t="s">
        <v>371</v>
      </c>
      <c r="J154" s="72" t="s">
        <v>179</v>
      </c>
      <c r="K154" s="73" t="s">
        <v>112</v>
      </c>
      <c r="L154" s="73" t="s">
        <v>372</v>
      </c>
      <c r="M154" s="74" t="s">
        <v>179</v>
      </c>
      <c r="N154" s="75" t="s">
        <v>111</v>
      </c>
      <c r="O154" s="69" t="s">
        <v>373</v>
      </c>
      <c r="P154" s="111" t="s">
        <v>179</v>
      </c>
      <c r="Q154" s="69" t="s">
        <v>135</v>
      </c>
      <c r="R154" s="111" t="s">
        <v>374</v>
      </c>
      <c r="S154" s="69" t="s">
        <v>179</v>
      </c>
      <c r="T154" s="72" t="s">
        <v>181</v>
      </c>
      <c r="U154" s="73" t="s">
        <v>182</v>
      </c>
      <c r="V154" s="73" t="s">
        <v>165</v>
      </c>
    </row>
    <row r="155" spans="2:22" x14ac:dyDescent="0.3">
      <c r="B155" s="69" t="s">
        <v>177</v>
      </c>
      <c r="C155" s="70" t="s">
        <v>224</v>
      </c>
      <c r="D155" s="75" t="s">
        <v>179</v>
      </c>
      <c r="E155" s="72" t="s">
        <v>106</v>
      </c>
      <c r="F155" s="73" t="s">
        <v>375</v>
      </c>
      <c r="G155" s="73" t="s">
        <v>179</v>
      </c>
      <c r="H155" s="74" t="s">
        <v>121</v>
      </c>
      <c r="I155" s="75" t="s">
        <v>376</v>
      </c>
      <c r="J155" s="72" t="s">
        <v>179</v>
      </c>
      <c r="K155" s="73" t="s">
        <v>112</v>
      </c>
      <c r="L155" s="73" t="s">
        <v>377</v>
      </c>
      <c r="M155" s="74" t="s">
        <v>179</v>
      </c>
      <c r="N155" s="75" t="s">
        <v>125</v>
      </c>
      <c r="O155" s="69" t="s">
        <v>378</v>
      </c>
      <c r="P155" s="111" t="s">
        <v>179</v>
      </c>
      <c r="Q155" s="69" t="s">
        <v>135</v>
      </c>
      <c r="R155" s="111" t="s">
        <v>379</v>
      </c>
      <c r="S155" s="69" t="s">
        <v>179</v>
      </c>
      <c r="T155" s="72" t="s">
        <v>181</v>
      </c>
      <c r="U155" s="73" t="s">
        <v>182</v>
      </c>
      <c r="V155" s="73" t="s">
        <v>380</v>
      </c>
    </row>
    <row r="156" spans="2:22" x14ac:dyDescent="0.3">
      <c r="B156" s="69" t="s">
        <v>177</v>
      </c>
      <c r="C156" s="70">
        <v>44593</v>
      </c>
      <c r="D156" s="75" t="s">
        <v>179</v>
      </c>
      <c r="E156" s="72" t="s">
        <v>106</v>
      </c>
      <c r="F156" s="73" t="s">
        <v>381</v>
      </c>
      <c r="G156" s="73" t="s">
        <v>179</v>
      </c>
      <c r="H156" s="74" t="s">
        <v>121</v>
      </c>
      <c r="I156" s="75" t="s">
        <v>257</v>
      </c>
      <c r="J156" s="72" t="s">
        <v>179</v>
      </c>
      <c r="K156" s="73" t="s">
        <v>112</v>
      </c>
      <c r="L156" s="73" t="s">
        <v>382</v>
      </c>
      <c r="M156" s="74" t="s">
        <v>179</v>
      </c>
      <c r="N156" s="75" t="s">
        <v>125</v>
      </c>
      <c r="O156" s="69" t="s">
        <v>383</v>
      </c>
      <c r="P156" s="111" t="s">
        <v>179</v>
      </c>
      <c r="Q156" s="69" t="s">
        <v>135</v>
      </c>
      <c r="R156" s="111" t="s">
        <v>384</v>
      </c>
      <c r="S156" s="69" t="s">
        <v>179</v>
      </c>
      <c r="T156" s="72" t="s">
        <v>181</v>
      </c>
      <c r="U156" s="73" t="s">
        <v>182</v>
      </c>
      <c r="V156" s="73" t="s">
        <v>225</v>
      </c>
    </row>
    <row r="157" spans="2:22" x14ac:dyDescent="0.3">
      <c r="B157" s="69" t="s">
        <v>177</v>
      </c>
      <c r="C157" s="70">
        <v>44621</v>
      </c>
      <c r="D157" s="75" t="s">
        <v>179</v>
      </c>
      <c r="E157" s="72" t="s">
        <v>106</v>
      </c>
      <c r="F157" s="73" t="s">
        <v>385</v>
      </c>
      <c r="G157" s="73" t="s">
        <v>179</v>
      </c>
      <c r="H157" s="74" t="s">
        <v>121</v>
      </c>
      <c r="I157" s="75" t="s">
        <v>239</v>
      </c>
      <c r="J157" s="72" t="s">
        <v>179</v>
      </c>
      <c r="K157" s="73" t="s">
        <v>112</v>
      </c>
      <c r="L157" s="73" t="s">
        <v>386</v>
      </c>
      <c r="M157" s="74" t="s">
        <v>179</v>
      </c>
      <c r="N157" s="75" t="s">
        <v>125</v>
      </c>
      <c r="O157" s="69" t="s">
        <v>387</v>
      </c>
      <c r="P157" s="111" t="s">
        <v>179</v>
      </c>
      <c r="Q157" s="69" t="s">
        <v>135</v>
      </c>
      <c r="R157" s="111" t="s">
        <v>388</v>
      </c>
      <c r="S157" s="69" t="s">
        <v>179</v>
      </c>
      <c r="T157" s="72" t="s">
        <v>181</v>
      </c>
      <c r="U157" s="73" t="s">
        <v>182</v>
      </c>
      <c r="V157" s="73" t="s">
        <v>389</v>
      </c>
    </row>
    <row r="158" spans="2:22" x14ac:dyDescent="0.3">
      <c r="B158" s="69" t="s">
        <v>177</v>
      </c>
      <c r="C158" s="70" t="s">
        <v>226</v>
      </c>
      <c r="D158" s="75" t="s">
        <v>179</v>
      </c>
      <c r="E158" s="72" t="s">
        <v>106</v>
      </c>
      <c r="F158" s="73" t="s">
        <v>263</v>
      </c>
      <c r="G158" s="73" t="s">
        <v>179</v>
      </c>
      <c r="H158" s="74" t="s">
        <v>121</v>
      </c>
      <c r="I158" s="75" t="s">
        <v>390</v>
      </c>
      <c r="J158" s="72" t="s">
        <v>179</v>
      </c>
      <c r="K158" s="73" t="s">
        <v>112</v>
      </c>
      <c r="L158" s="73" t="s">
        <v>391</v>
      </c>
      <c r="M158" s="74" t="s">
        <v>179</v>
      </c>
      <c r="N158" s="75" t="s">
        <v>125</v>
      </c>
      <c r="O158" s="69" t="s">
        <v>392</v>
      </c>
      <c r="P158" s="111" t="s">
        <v>179</v>
      </c>
      <c r="Q158" s="69" t="s">
        <v>135</v>
      </c>
      <c r="R158" s="111" t="s">
        <v>393</v>
      </c>
      <c r="S158" s="69" t="s">
        <v>179</v>
      </c>
      <c r="T158" s="72" t="s">
        <v>181</v>
      </c>
      <c r="U158" s="73" t="s">
        <v>182</v>
      </c>
      <c r="V158" s="73" t="s">
        <v>394</v>
      </c>
    </row>
    <row r="159" spans="2:22" x14ac:dyDescent="0.3">
      <c r="B159" s="69" t="s">
        <v>177</v>
      </c>
      <c r="C159" s="70">
        <v>44682</v>
      </c>
      <c r="D159" s="75" t="s">
        <v>179</v>
      </c>
      <c r="E159" s="72" t="s">
        <v>106</v>
      </c>
      <c r="F159" s="73" t="s">
        <v>395</v>
      </c>
      <c r="G159" s="73" t="s">
        <v>179</v>
      </c>
      <c r="H159" s="74" t="s">
        <v>121</v>
      </c>
      <c r="I159" s="75" t="s">
        <v>396</v>
      </c>
      <c r="J159" s="72" t="s">
        <v>179</v>
      </c>
      <c r="K159" s="73" t="s">
        <v>112</v>
      </c>
      <c r="L159" s="73" t="s">
        <v>397</v>
      </c>
      <c r="M159" s="74" t="s">
        <v>179</v>
      </c>
      <c r="N159" s="75" t="s">
        <v>113</v>
      </c>
      <c r="O159" s="69" t="s">
        <v>398</v>
      </c>
      <c r="P159" s="111" t="s">
        <v>179</v>
      </c>
      <c r="Q159" s="69" t="s">
        <v>125</v>
      </c>
      <c r="R159" s="111" t="s">
        <v>399</v>
      </c>
      <c r="S159" s="69" t="s">
        <v>179</v>
      </c>
      <c r="T159" s="72" t="s">
        <v>181</v>
      </c>
      <c r="U159" s="73" t="s">
        <v>182</v>
      </c>
      <c r="V159" s="73" t="s">
        <v>400</v>
      </c>
    </row>
    <row r="160" spans="2:22" x14ac:dyDescent="0.3">
      <c r="B160" s="69" t="s">
        <v>177</v>
      </c>
      <c r="C160" s="70">
        <v>44713</v>
      </c>
      <c r="D160" s="75" t="s">
        <v>179</v>
      </c>
      <c r="E160" s="72" t="s">
        <v>106</v>
      </c>
      <c r="F160" s="73" t="s">
        <v>401</v>
      </c>
      <c r="G160" s="73" t="s">
        <v>179</v>
      </c>
      <c r="H160" s="74" t="s">
        <v>121</v>
      </c>
      <c r="I160" s="75" t="s">
        <v>402</v>
      </c>
      <c r="J160" s="72" t="s">
        <v>179</v>
      </c>
      <c r="K160" s="73" t="s">
        <v>112</v>
      </c>
      <c r="L160" s="73" t="s">
        <v>403</v>
      </c>
      <c r="M160" s="74" t="s">
        <v>179</v>
      </c>
      <c r="N160" s="75" t="s">
        <v>113</v>
      </c>
      <c r="O160" s="69" t="s">
        <v>404</v>
      </c>
      <c r="P160" s="111" t="s">
        <v>179</v>
      </c>
      <c r="Q160" s="69" t="s">
        <v>123</v>
      </c>
      <c r="R160" s="111" t="s">
        <v>405</v>
      </c>
      <c r="S160" s="69" t="s">
        <v>179</v>
      </c>
      <c r="T160" s="72" t="s">
        <v>181</v>
      </c>
      <c r="U160" s="73" t="s">
        <v>182</v>
      </c>
      <c r="V160" s="73" t="s">
        <v>406</v>
      </c>
    </row>
    <row r="161" spans="2:22" x14ac:dyDescent="0.3">
      <c r="B161" s="69" t="s">
        <v>177</v>
      </c>
      <c r="C161" s="70">
        <v>44743</v>
      </c>
      <c r="D161" s="75" t="s">
        <v>179</v>
      </c>
      <c r="E161" s="72" t="s">
        <v>106</v>
      </c>
      <c r="F161" s="73" t="s">
        <v>407</v>
      </c>
      <c r="G161" s="73" t="s">
        <v>179</v>
      </c>
      <c r="H161" s="74" t="s">
        <v>121</v>
      </c>
      <c r="I161" s="75" t="s">
        <v>408</v>
      </c>
      <c r="J161" s="72" t="s">
        <v>179</v>
      </c>
      <c r="K161" s="73" t="s">
        <v>112</v>
      </c>
      <c r="L161" s="73" t="s">
        <v>409</v>
      </c>
      <c r="M161" s="74" t="s">
        <v>179</v>
      </c>
      <c r="N161" s="75" t="s">
        <v>123</v>
      </c>
      <c r="O161" s="69" t="s">
        <v>410</v>
      </c>
      <c r="P161" s="111" t="s">
        <v>179</v>
      </c>
      <c r="Q161" s="69" t="s">
        <v>122</v>
      </c>
      <c r="R161" s="111" t="s">
        <v>411</v>
      </c>
      <c r="S161" s="69" t="s">
        <v>179</v>
      </c>
      <c r="T161" s="72" t="s">
        <v>181</v>
      </c>
      <c r="U161" s="73" t="s">
        <v>182</v>
      </c>
      <c r="V161" s="73" t="s">
        <v>412</v>
      </c>
    </row>
    <row r="162" spans="2:22" x14ac:dyDescent="0.3">
      <c r="B162" s="69" t="s">
        <v>177</v>
      </c>
      <c r="C162" s="70" t="s">
        <v>227</v>
      </c>
      <c r="D162" s="75" t="s">
        <v>179</v>
      </c>
      <c r="E162" s="72" t="s">
        <v>106</v>
      </c>
      <c r="F162" s="73" t="s">
        <v>413</v>
      </c>
      <c r="G162" s="73" t="s">
        <v>179</v>
      </c>
      <c r="H162" s="74" t="s">
        <v>121</v>
      </c>
      <c r="I162" s="75" t="s">
        <v>414</v>
      </c>
      <c r="J162" s="72" t="s">
        <v>179</v>
      </c>
      <c r="K162" s="73" t="s">
        <v>113</v>
      </c>
      <c r="L162" s="73" t="s">
        <v>230</v>
      </c>
      <c r="M162" s="74" t="s">
        <v>179</v>
      </c>
      <c r="N162" s="75" t="s">
        <v>123</v>
      </c>
      <c r="O162" s="69" t="s">
        <v>415</v>
      </c>
      <c r="P162" s="111" t="s">
        <v>179</v>
      </c>
      <c r="Q162" s="69" t="s">
        <v>122</v>
      </c>
      <c r="R162" s="111" t="s">
        <v>405</v>
      </c>
      <c r="S162" s="69" t="s">
        <v>179</v>
      </c>
      <c r="T162" s="72" t="s">
        <v>181</v>
      </c>
      <c r="U162" s="73" t="s">
        <v>182</v>
      </c>
      <c r="V162" s="73" t="s">
        <v>416</v>
      </c>
    </row>
    <row r="163" spans="2:22" x14ac:dyDescent="0.3">
      <c r="B163" s="69" t="s">
        <v>177</v>
      </c>
      <c r="C163" s="70">
        <v>44805</v>
      </c>
      <c r="D163" s="75" t="s">
        <v>179</v>
      </c>
      <c r="E163" s="72" t="s">
        <v>106</v>
      </c>
      <c r="F163" s="73" t="s">
        <v>417</v>
      </c>
      <c r="G163" s="73" t="s">
        <v>179</v>
      </c>
      <c r="H163" s="74" t="s">
        <v>121</v>
      </c>
      <c r="I163" s="75" t="s">
        <v>418</v>
      </c>
      <c r="J163" s="72" t="s">
        <v>179</v>
      </c>
      <c r="K163" s="73" t="s">
        <v>113</v>
      </c>
      <c r="L163" s="73" t="s">
        <v>419</v>
      </c>
      <c r="M163" s="74" t="s">
        <v>179</v>
      </c>
      <c r="N163" s="75" t="s">
        <v>123</v>
      </c>
      <c r="O163" s="69" t="s">
        <v>159</v>
      </c>
      <c r="P163" s="111" t="s">
        <v>179</v>
      </c>
      <c r="Q163" s="69" t="s">
        <v>122</v>
      </c>
      <c r="R163" s="111" t="s">
        <v>159</v>
      </c>
      <c r="S163" s="69" t="s">
        <v>179</v>
      </c>
      <c r="T163" s="72" t="s">
        <v>181</v>
      </c>
      <c r="U163" s="73" t="s">
        <v>182</v>
      </c>
      <c r="V163" s="73" t="s">
        <v>420</v>
      </c>
    </row>
    <row r="164" spans="2:22" x14ac:dyDescent="0.3">
      <c r="B164" s="69" t="s">
        <v>177</v>
      </c>
      <c r="C164" s="70">
        <v>44835</v>
      </c>
      <c r="D164" s="75" t="s">
        <v>179</v>
      </c>
      <c r="E164" s="72" t="s">
        <v>106</v>
      </c>
      <c r="F164" s="73" t="s">
        <v>421</v>
      </c>
      <c r="G164" s="73" t="s">
        <v>179</v>
      </c>
      <c r="H164" s="74" t="s">
        <v>121</v>
      </c>
      <c r="I164" s="75" t="s">
        <v>422</v>
      </c>
      <c r="J164" s="72" t="s">
        <v>179</v>
      </c>
      <c r="K164" s="73" t="s">
        <v>114</v>
      </c>
      <c r="L164" s="73" t="s">
        <v>423</v>
      </c>
      <c r="M164" s="74" t="s">
        <v>179</v>
      </c>
      <c r="N164" s="75" t="s">
        <v>123</v>
      </c>
      <c r="O164" s="69" t="s">
        <v>410</v>
      </c>
      <c r="P164" s="111" t="s">
        <v>179</v>
      </c>
      <c r="Q164" s="69" t="s">
        <v>122</v>
      </c>
      <c r="R164" s="111" t="s">
        <v>410</v>
      </c>
      <c r="S164" s="69" t="s">
        <v>179</v>
      </c>
      <c r="T164" s="72" t="s">
        <v>181</v>
      </c>
      <c r="U164" s="73" t="s">
        <v>182</v>
      </c>
      <c r="V164" s="73" t="s">
        <v>180</v>
      </c>
    </row>
    <row r="165" spans="2:22" x14ac:dyDescent="0.3">
      <c r="B165" s="69" t="s">
        <v>177</v>
      </c>
      <c r="C165" s="70">
        <v>44866</v>
      </c>
      <c r="D165" s="75" t="s">
        <v>179</v>
      </c>
      <c r="E165" s="72" t="s">
        <v>106</v>
      </c>
      <c r="F165" s="73" t="s">
        <v>424</v>
      </c>
      <c r="G165" s="73" t="s">
        <v>179</v>
      </c>
      <c r="H165" s="74" t="s">
        <v>121</v>
      </c>
      <c r="I165" s="75" t="s">
        <v>425</v>
      </c>
      <c r="J165" s="72" t="s">
        <v>179</v>
      </c>
      <c r="K165" s="73" t="s">
        <v>127</v>
      </c>
      <c r="L165" s="73" t="s">
        <v>426</v>
      </c>
      <c r="M165" s="74" t="s">
        <v>179</v>
      </c>
      <c r="N165" s="75" t="s">
        <v>123</v>
      </c>
      <c r="O165" s="69" t="s">
        <v>159</v>
      </c>
      <c r="P165" s="111" t="s">
        <v>179</v>
      </c>
      <c r="Q165" s="69" t="s">
        <v>122</v>
      </c>
      <c r="R165" s="111" t="s">
        <v>202</v>
      </c>
      <c r="S165" s="69" t="s">
        <v>179</v>
      </c>
      <c r="T165" s="72" t="s">
        <v>181</v>
      </c>
      <c r="U165" s="73" t="s">
        <v>182</v>
      </c>
      <c r="V165" s="73" t="s">
        <v>252</v>
      </c>
    </row>
    <row r="166" spans="2:22" x14ac:dyDescent="0.3">
      <c r="B166" s="69" t="s">
        <v>177</v>
      </c>
      <c r="C166" s="70" t="s">
        <v>229</v>
      </c>
      <c r="D166" s="75" t="s">
        <v>179</v>
      </c>
      <c r="E166" s="72" t="s">
        <v>106</v>
      </c>
      <c r="F166" s="73" t="s">
        <v>235</v>
      </c>
      <c r="G166" s="73" t="s">
        <v>179</v>
      </c>
      <c r="H166" s="74" t="s">
        <v>121</v>
      </c>
      <c r="I166" s="75" t="s">
        <v>427</v>
      </c>
      <c r="J166" s="72" t="s">
        <v>179</v>
      </c>
      <c r="K166" s="73" t="s">
        <v>127</v>
      </c>
      <c r="L166" s="73" t="s">
        <v>217</v>
      </c>
      <c r="M166" s="74" t="s">
        <v>179</v>
      </c>
      <c r="N166" s="75" t="s">
        <v>123</v>
      </c>
      <c r="O166" s="69" t="s">
        <v>159</v>
      </c>
      <c r="P166" s="111" t="s">
        <v>179</v>
      </c>
      <c r="Q166" s="69" t="s">
        <v>122</v>
      </c>
      <c r="R166" s="111" t="s">
        <v>405</v>
      </c>
      <c r="S166" s="69" t="s">
        <v>179</v>
      </c>
      <c r="T166" s="72" t="s">
        <v>181</v>
      </c>
      <c r="U166" s="73" t="s">
        <v>182</v>
      </c>
      <c r="V166" s="73" t="s">
        <v>201</v>
      </c>
    </row>
    <row r="167" spans="2:22" x14ac:dyDescent="0.3">
      <c r="B167" s="69" t="s">
        <v>177</v>
      </c>
      <c r="C167" s="70" t="s">
        <v>231</v>
      </c>
      <c r="D167" s="75" t="s">
        <v>179</v>
      </c>
      <c r="E167" s="72" t="s">
        <v>106</v>
      </c>
      <c r="F167" s="73" t="s">
        <v>428</v>
      </c>
      <c r="G167" s="73" t="s">
        <v>179</v>
      </c>
      <c r="H167" s="74" t="s">
        <v>121</v>
      </c>
      <c r="I167" s="75" t="s">
        <v>429</v>
      </c>
      <c r="J167" s="72" t="s">
        <v>179</v>
      </c>
      <c r="K167" s="73" t="s">
        <v>126</v>
      </c>
      <c r="L167" s="73" t="s">
        <v>430</v>
      </c>
      <c r="M167" s="74" t="s">
        <v>179</v>
      </c>
      <c r="N167" s="75" t="s">
        <v>123</v>
      </c>
      <c r="O167" s="69" t="s">
        <v>159</v>
      </c>
      <c r="P167" s="111" t="s">
        <v>179</v>
      </c>
      <c r="Q167" s="69" t="s">
        <v>122</v>
      </c>
      <c r="R167" s="111" t="s">
        <v>431</v>
      </c>
      <c r="S167" s="69" t="s">
        <v>179</v>
      </c>
      <c r="T167" s="72" t="s">
        <v>181</v>
      </c>
      <c r="U167" s="73" t="s">
        <v>182</v>
      </c>
      <c r="V167" s="73" t="s">
        <v>432</v>
      </c>
    </row>
    <row r="168" spans="2:22" x14ac:dyDescent="0.3">
      <c r="B168" s="69" t="s">
        <v>177</v>
      </c>
      <c r="C168" s="70">
        <v>44958</v>
      </c>
      <c r="D168" s="75" t="s">
        <v>179</v>
      </c>
      <c r="E168" s="72" t="s">
        <v>106</v>
      </c>
      <c r="F168" s="73" t="s">
        <v>269</v>
      </c>
      <c r="G168" s="73" t="s">
        <v>179</v>
      </c>
      <c r="H168" s="74" t="s">
        <v>121</v>
      </c>
      <c r="I168" s="75" t="s">
        <v>433</v>
      </c>
      <c r="J168" s="72" t="s">
        <v>179</v>
      </c>
      <c r="K168" s="73" t="s">
        <v>126</v>
      </c>
      <c r="L168" s="73" t="s">
        <v>434</v>
      </c>
      <c r="M168" s="74" t="s">
        <v>179</v>
      </c>
      <c r="N168" s="75" t="s">
        <v>123</v>
      </c>
      <c r="O168" s="69" t="s">
        <v>435</v>
      </c>
      <c r="P168" s="111" t="s">
        <v>179</v>
      </c>
      <c r="Q168" s="69" t="s">
        <v>122</v>
      </c>
      <c r="R168" s="111" t="s">
        <v>159</v>
      </c>
      <c r="S168" s="69" t="s">
        <v>179</v>
      </c>
      <c r="T168" s="72" t="s">
        <v>181</v>
      </c>
      <c r="U168" s="73" t="s">
        <v>182</v>
      </c>
      <c r="V168" s="73" t="s">
        <v>436</v>
      </c>
    </row>
    <row r="169" spans="2:22" x14ac:dyDescent="0.3">
      <c r="B169" s="69" t="s">
        <v>177</v>
      </c>
      <c r="C169" s="70">
        <v>44986</v>
      </c>
      <c r="D169" s="75" t="s">
        <v>179</v>
      </c>
      <c r="E169" s="72" t="s">
        <v>106</v>
      </c>
      <c r="F169" s="73" t="s">
        <v>437</v>
      </c>
      <c r="G169" s="73" t="s">
        <v>179</v>
      </c>
      <c r="H169" s="74" t="s">
        <v>121</v>
      </c>
      <c r="I169" s="75" t="s">
        <v>438</v>
      </c>
      <c r="J169" s="72" t="s">
        <v>179</v>
      </c>
      <c r="K169" s="73" t="s">
        <v>127</v>
      </c>
      <c r="L169" s="73" t="s">
        <v>250</v>
      </c>
      <c r="M169" s="74" t="s">
        <v>179</v>
      </c>
      <c r="N169" s="75" t="s">
        <v>126</v>
      </c>
      <c r="O169" s="69" t="s">
        <v>439</v>
      </c>
      <c r="P169" s="111" t="s">
        <v>179</v>
      </c>
      <c r="Q169" s="69" t="s">
        <v>122</v>
      </c>
      <c r="R169" s="111" t="s">
        <v>440</v>
      </c>
      <c r="S169" s="69" t="s">
        <v>179</v>
      </c>
      <c r="T169" s="72" t="s">
        <v>181</v>
      </c>
      <c r="U169" s="73" t="s">
        <v>182</v>
      </c>
      <c r="V169" s="73" t="s">
        <v>441</v>
      </c>
    </row>
    <row r="170" spans="2:22" x14ac:dyDescent="0.3">
      <c r="B170" s="69" t="s">
        <v>177</v>
      </c>
      <c r="C170" s="70" t="s">
        <v>233</v>
      </c>
      <c r="D170" s="75" t="s">
        <v>179</v>
      </c>
      <c r="E170" s="72" t="s">
        <v>106</v>
      </c>
      <c r="F170" s="73" t="s">
        <v>442</v>
      </c>
      <c r="G170" s="73" t="s">
        <v>179</v>
      </c>
      <c r="H170" s="74" t="s">
        <v>121</v>
      </c>
      <c r="I170" s="75" t="s">
        <v>443</v>
      </c>
      <c r="J170" s="72" t="s">
        <v>179</v>
      </c>
      <c r="K170" s="73" t="s">
        <v>110</v>
      </c>
      <c r="L170" s="73" t="s">
        <v>444</v>
      </c>
      <c r="M170" s="74" t="s">
        <v>179</v>
      </c>
      <c r="N170" s="75" t="s">
        <v>127</v>
      </c>
      <c r="O170" s="69" t="s">
        <v>445</v>
      </c>
      <c r="P170" s="111" t="s">
        <v>179</v>
      </c>
      <c r="Q170" s="69" t="s">
        <v>126</v>
      </c>
      <c r="R170" s="111" t="s">
        <v>446</v>
      </c>
      <c r="S170" s="69" t="s">
        <v>179</v>
      </c>
      <c r="T170" s="72" t="s">
        <v>181</v>
      </c>
      <c r="U170" s="73" t="s">
        <v>182</v>
      </c>
      <c r="V170" s="73" t="s">
        <v>447</v>
      </c>
    </row>
    <row r="171" spans="2:22" x14ac:dyDescent="0.3">
      <c r="B171" s="69" t="s">
        <v>177</v>
      </c>
      <c r="C171" s="70">
        <v>45047</v>
      </c>
      <c r="D171" s="75" t="s">
        <v>179</v>
      </c>
      <c r="E171" s="72" t="s">
        <v>106</v>
      </c>
      <c r="F171" s="73" t="s">
        <v>448</v>
      </c>
      <c r="G171" s="73" t="s">
        <v>179</v>
      </c>
      <c r="H171" s="74" t="s">
        <v>121</v>
      </c>
      <c r="I171" s="75" t="s">
        <v>228</v>
      </c>
      <c r="J171" s="72" t="s">
        <v>179</v>
      </c>
      <c r="K171" s="73" t="s">
        <v>110</v>
      </c>
      <c r="L171" s="73" t="s">
        <v>449</v>
      </c>
      <c r="M171" s="74" t="s">
        <v>179</v>
      </c>
      <c r="N171" s="75" t="s">
        <v>127</v>
      </c>
      <c r="O171" s="69" t="s">
        <v>450</v>
      </c>
      <c r="P171" s="111" t="s">
        <v>179</v>
      </c>
      <c r="Q171" s="69" t="s">
        <v>125</v>
      </c>
      <c r="R171" s="111" t="s">
        <v>451</v>
      </c>
      <c r="S171" s="69" t="s">
        <v>179</v>
      </c>
      <c r="T171" s="72" t="s">
        <v>181</v>
      </c>
      <c r="U171" s="73" t="s">
        <v>182</v>
      </c>
      <c r="V171" s="73" t="s">
        <v>452</v>
      </c>
    </row>
    <row r="172" spans="2:22" x14ac:dyDescent="0.3">
      <c r="B172" s="69" t="s">
        <v>177</v>
      </c>
      <c r="C172" s="70">
        <v>45078</v>
      </c>
      <c r="D172" s="75" t="s">
        <v>179</v>
      </c>
      <c r="E172" s="72" t="s">
        <v>106</v>
      </c>
      <c r="F172" s="73" t="s">
        <v>453</v>
      </c>
      <c r="G172" s="73" t="s">
        <v>179</v>
      </c>
      <c r="H172" s="74" t="s">
        <v>121</v>
      </c>
      <c r="I172" s="75" t="s">
        <v>254</v>
      </c>
      <c r="J172" s="72" t="s">
        <v>179</v>
      </c>
      <c r="K172" s="73" t="s">
        <v>110</v>
      </c>
      <c r="L172" s="73" t="s">
        <v>454</v>
      </c>
      <c r="M172" s="74" t="s">
        <v>179</v>
      </c>
      <c r="N172" s="75" t="s">
        <v>127</v>
      </c>
      <c r="O172" s="69" t="s">
        <v>455</v>
      </c>
      <c r="P172" s="111" t="s">
        <v>179</v>
      </c>
      <c r="Q172" s="69" t="s">
        <v>125</v>
      </c>
      <c r="R172" s="111" t="s">
        <v>456</v>
      </c>
      <c r="S172" s="69" t="s">
        <v>179</v>
      </c>
      <c r="T172" s="72" t="s">
        <v>181</v>
      </c>
      <c r="U172" s="73" t="s">
        <v>182</v>
      </c>
      <c r="V172" s="73" t="s">
        <v>457</v>
      </c>
    </row>
    <row r="173" spans="2:22" x14ac:dyDescent="0.3">
      <c r="B173" s="69" t="s">
        <v>177</v>
      </c>
      <c r="C173" s="70">
        <v>45108</v>
      </c>
      <c r="D173" s="75" t="s">
        <v>179</v>
      </c>
      <c r="E173" s="72" t="s">
        <v>106</v>
      </c>
      <c r="F173" s="73" t="s">
        <v>458</v>
      </c>
      <c r="G173" s="73" t="s">
        <v>179</v>
      </c>
      <c r="H173" s="74" t="s">
        <v>121</v>
      </c>
      <c r="I173" s="75" t="s">
        <v>459</v>
      </c>
      <c r="J173" s="72" t="s">
        <v>179</v>
      </c>
      <c r="K173" s="73" t="s">
        <v>110</v>
      </c>
      <c r="L173" s="73" t="s">
        <v>183</v>
      </c>
      <c r="M173" s="74" t="s">
        <v>179</v>
      </c>
      <c r="N173" s="75" t="s">
        <v>127</v>
      </c>
      <c r="O173" s="69" t="s">
        <v>460</v>
      </c>
      <c r="P173" s="111" t="s">
        <v>179</v>
      </c>
      <c r="Q173" s="69" t="s">
        <v>125</v>
      </c>
      <c r="R173" s="111" t="s">
        <v>461</v>
      </c>
      <c r="S173" s="69" t="s">
        <v>179</v>
      </c>
      <c r="T173" s="72" t="s">
        <v>181</v>
      </c>
      <c r="U173" s="73" t="s">
        <v>182</v>
      </c>
      <c r="V173" s="73" t="s">
        <v>241</v>
      </c>
    </row>
    <row r="174" spans="2:22" x14ac:dyDescent="0.3">
      <c r="B174" s="69" t="s">
        <v>177</v>
      </c>
      <c r="C174" s="70" t="s">
        <v>236</v>
      </c>
      <c r="D174" s="75" t="s">
        <v>179</v>
      </c>
      <c r="E174" s="72" t="s">
        <v>106</v>
      </c>
      <c r="F174" s="73" t="s">
        <v>462</v>
      </c>
      <c r="G174" s="73" t="s">
        <v>179</v>
      </c>
      <c r="H174" s="74" t="s">
        <v>121</v>
      </c>
      <c r="I174" s="75" t="s">
        <v>463</v>
      </c>
      <c r="J174" s="72" t="s">
        <v>179</v>
      </c>
      <c r="K174" s="73" t="s">
        <v>105</v>
      </c>
      <c r="L174" s="73" t="s">
        <v>464</v>
      </c>
      <c r="M174" s="74" t="s">
        <v>179</v>
      </c>
      <c r="N174" s="75" t="s">
        <v>110</v>
      </c>
      <c r="O174" s="69" t="s">
        <v>465</v>
      </c>
      <c r="P174" s="111" t="s">
        <v>179</v>
      </c>
      <c r="Q174" s="69" t="s">
        <v>125</v>
      </c>
      <c r="R174" s="111" t="s">
        <v>203</v>
      </c>
      <c r="S174" s="69" t="s">
        <v>179</v>
      </c>
      <c r="T174" s="72" t="s">
        <v>181</v>
      </c>
      <c r="U174" s="73" t="s">
        <v>182</v>
      </c>
      <c r="V174" s="73" t="s">
        <v>466</v>
      </c>
    </row>
    <row r="175" spans="2:22" x14ac:dyDescent="0.3">
      <c r="B175" s="69" t="s">
        <v>177</v>
      </c>
      <c r="C175" s="70">
        <v>45170</v>
      </c>
      <c r="D175" s="75" t="s">
        <v>179</v>
      </c>
      <c r="E175" s="72" t="s">
        <v>106</v>
      </c>
      <c r="F175" s="73" t="s">
        <v>467</v>
      </c>
      <c r="G175" s="73" t="s">
        <v>179</v>
      </c>
      <c r="H175" s="74" t="s">
        <v>121</v>
      </c>
      <c r="I175" s="75" t="s">
        <v>251</v>
      </c>
      <c r="J175" s="72" t="s">
        <v>179</v>
      </c>
      <c r="K175" s="73" t="s">
        <v>105</v>
      </c>
      <c r="L175" s="73" t="s">
        <v>468</v>
      </c>
      <c r="M175" s="74" t="s">
        <v>179</v>
      </c>
      <c r="N175" s="75" t="s">
        <v>125</v>
      </c>
      <c r="O175" s="69" t="s">
        <v>213</v>
      </c>
      <c r="P175" s="111" t="s">
        <v>179</v>
      </c>
      <c r="Q175" s="69" t="s">
        <v>137</v>
      </c>
      <c r="R175" s="111" t="s">
        <v>469</v>
      </c>
      <c r="S175" s="69" t="s">
        <v>179</v>
      </c>
      <c r="T175" s="72" t="s">
        <v>181</v>
      </c>
      <c r="U175" s="73" t="s">
        <v>182</v>
      </c>
      <c r="V175" s="73" t="s">
        <v>470</v>
      </c>
    </row>
    <row r="176" spans="2:22" x14ac:dyDescent="0.3">
      <c r="B176" s="69" t="s">
        <v>177</v>
      </c>
      <c r="C176" s="70">
        <v>45200</v>
      </c>
      <c r="D176" s="75" t="s">
        <v>179</v>
      </c>
      <c r="E176" s="72" t="s">
        <v>106</v>
      </c>
      <c r="F176" s="73" t="s">
        <v>471</v>
      </c>
      <c r="G176" s="73" t="s">
        <v>179</v>
      </c>
      <c r="H176" s="74" t="s">
        <v>121</v>
      </c>
      <c r="I176" s="75" t="s">
        <v>472</v>
      </c>
      <c r="J176" s="72" t="s">
        <v>179</v>
      </c>
      <c r="K176" s="73" t="s">
        <v>105</v>
      </c>
      <c r="L176" s="73" t="s">
        <v>473</v>
      </c>
      <c r="M176" s="74" t="s">
        <v>179</v>
      </c>
      <c r="N176" s="75" t="s">
        <v>125</v>
      </c>
      <c r="O176" s="69" t="s">
        <v>248</v>
      </c>
      <c r="P176" s="111" t="s">
        <v>179</v>
      </c>
      <c r="Q176" s="69" t="s">
        <v>137</v>
      </c>
      <c r="R176" s="111" t="s">
        <v>474</v>
      </c>
      <c r="S176" s="69" t="s">
        <v>179</v>
      </c>
      <c r="T176" s="72" t="s">
        <v>181</v>
      </c>
      <c r="U176" s="73" t="s">
        <v>182</v>
      </c>
      <c r="V176" s="73" t="s">
        <v>475</v>
      </c>
    </row>
    <row r="177" spans="2:22" x14ac:dyDescent="0.3">
      <c r="B177" s="69" t="s">
        <v>177</v>
      </c>
      <c r="C177" s="70">
        <v>45231</v>
      </c>
      <c r="D177" s="75" t="s">
        <v>179</v>
      </c>
      <c r="E177" s="72" t="s">
        <v>106</v>
      </c>
      <c r="F177" s="73" t="s">
        <v>222</v>
      </c>
      <c r="G177" s="73" t="s">
        <v>179</v>
      </c>
      <c r="H177" s="74" t="s">
        <v>121</v>
      </c>
      <c r="I177" s="75" t="s">
        <v>261</v>
      </c>
      <c r="J177" s="72" t="s">
        <v>179</v>
      </c>
      <c r="K177" s="73" t="s">
        <v>105</v>
      </c>
      <c r="L177" s="73" t="s">
        <v>476</v>
      </c>
      <c r="M177" s="74" t="s">
        <v>179</v>
      </c>
      <c r="N177" s="75" t="s">
        <v>125</v>
      </c>
      <c r="O177" s="69" t="s">
        <v>477</v>
      </c>
      <c r="P177" s="111" t="s">
        <v>179</v>
      </c>
      <c r="Q177" s="69" t="s">
        <v>137</v>
      </c>
      <c r="R177" s="111" t="s">
        <v>478</v>
      </c>
      <c r="S177" s="69" t="s">
        <v>179</v>
      </c>
      <c r="T177" s="72" t="s">
        <v>181</v>
      </c>
      <c r="U177" s="73" t="s">
        <v>182</v>
      </c>
      <c r="V177" s="73" t="s">
        <v>479</v>
      </c>
    </row>
    <row r="178" spans="2:22" x14ac:dyDescent="0.3">
      <c r="B178" s="69" t="s">
        <v>177</v>
      </c>
      <c r="C178" s="70" t="s">
        <v>240</v>
      </c>
      <c r="D178" s="75" t="s">
        <v>179</v>
      </c>
      <c r="E178" s="72" t="s">
        <v>106</v>
      </c>
      <c r="F178" s="73" t="s">
        <v>480</v>
      </c>
      <c r="G178" s="73" t="s">
        <v>179</v>
      </c>
      <c r="H178" s="74" t="s">
        <v>121</v>
      </c>
      <c r="I178" s="75" t="s">
        <v>481</v>
      </c>
      <c r="J178" s="72" t="s">
        <v>179</v>
      </c>
      <c r="K178" s="73" t="s">
        <v>117</v>
      </c>
      <c r="L178" s="73" t="s">
        <v>482</v>
      </c>
      <c r="M178" s="74" t="s">
        <v>179</v>
      </c>
      <c r="N178" s="75" t="s">
        <v>125</v>
      </c>
      <c r="O178" s="69" t="s">
        <v>483</v>
      </c>
      <c r="P178" s="111" t="s">
        <v>179</v>
      </c>
      <c r="Q178" s="69" t="s">
        <v>137</v>
      </c>
      <c r="R178" s="111" t="s">
        <v>484</v>
      </c>
      <c r="S178" s="69" t="s">
        <v>179</v>
      </c>
      <c r="T178" s="72" t="s">
        <v>181</v>
      </c>
      <c r="U178" s="73" t="s">
        <v>182</v>
      </c>
      <c r="V178" s="73" t="s">
        <v>485</v>
      </c>
    </row>
    <row r="179" spans="2:22" x14ac:dyDescent="0.3">
      <c r="B179" s="69" t="s">
        <v>177</v>
      </c>
      <c r="C179" s="70" t="s">
        <v>242</v>
      </c>
      <c r="D179" s="75" t="s">
        <v>179</v>
      </c>
      <c r="E179" s="72" t="s">
        <v>106</v>
      </c>
      <c r="F179" s="73" t="s">
        <v>486</v>
      </c>
      <c r="G179" s="73" t="s">
        <v>179</v>
      </c>
      <c r="H179" s="74" t="s">
        <v>121</v>
      </c>
      <c r="I179" s="75" t="s">
        <v>290</v>
      </c>
      <c r="J179" s="72" t="s">
        <v>179</v>
      </c>
      <c r="K179" s="73" t="s">
        <v>117</v>
      </c>
      <c r="L179" s="73" t="s">
        <v>487</v>
      </c>
      <c r="M179" s="74" t="s">
        <v>179</v>
      </c>
      <c r="N179" s="75" t="s">
        <v>135</v>
      </c>
      <c r="O179" s="69" t="s">
        <v>488</v>
      </c>
      <c r="P179" s="111" t="s">
        <v>179</v>
      </c>
      <c r="Q179" s="69" t="s">
        <v>137</v>
      </c>
      <c r="R179" s="111" t="s">
        <v>489</v>
      </c>
      <c r="S179" s="69" t="s">
        <v>179</v>
      </c>
      <c r="T179" s="72" t="s">
        <v>181</v>
      </c>
      <c r="U179" s="73" t="s">
        <v>182</v>
      </c>
      <c r="V179" s="73" t="s">
        <v>490</v>
      </c>
    </row>
    <row r="180" spans="2:22" x14ac:dyDescent="0.3">
      <c r="B180" s="69" t="s">
        <v>177</v>
      </c>
      <c r="C180" s="70">
        <v>45323</v>
      </c>
      <c r="D180" s="75" t="s">
        <v>179</v>
      </c>
      <c r="E180" s="72" t="s">
        <v>106</v>
      </c>
      <c r="F180" s="73" t="s">
        <v>477</v>
      </c>
      <c r="G180" s="73" t="s">
        <v>179</v>
      </c>
      <c r="H180" s="74" t="s">
        <v>121</v>
      </c>
      <c r="I180" s="75" t="s">
        <v>491</v>
      </c>
      <c r="J180" s="72" t="s">
        <v>179</v>
      </c>
      <c r="K180" s="73" t="s">
        <v>117</v>
      </c>
      <c r="L180" s="73" t="s">
        <v>492</v>
      </c>
      <c r="M180" s="74" t="s">
        <v>179</v>
      </c>
      <c r="N180" s="75" t="s">
        <v>128</v>
      </c>
      <c r="O180" s="69" t="s">
        <v>493</v>
      </c>
      <c r="P180" s="111" t="s">
        <v>179</v>
      </c>
      <c r="Q180" s="69" t="s">
        <v>137</v>
      </c>
      <c r="R180" s="111" t="s">
        <v>494</v>
      </c>
      <c r="S180" s="69" t="s">
        <v>179</v>
      </c>
      <c r="T180" s="72" t="s">
        <v>181</v>
      </c>
      <c r="U180" s="73" t="s">
        <v>182</v>
      </c>
      <c r="V180" s="73" t="s">
        <v>495</v>
      </c>
    </row>
    <row r="181" spans="2:22" x14ac:dyDescent="0.3">
      <c r="B181" s="69" t="s">
        <v>177</v>
      </c>
      <c r="C181" s="70">
        <v>45352</v>
      </c>
      <c r="D181" s="75" t="s">
        <v>179</v>
      </c>
      <c r="E181" s="72" t="s">
        <v>106</v>
      </c>
      <c r="F181" s="73" t="s">
        <v>496</v>
      </c>
      <c r="G181" s="73" t="s">
        <v>179</v>
      </c>
      <c r="H181" s="74" t="s">
        <v>121</v>
      </c>
      <c r="I181" s="75" t="s">
        <v>497</v>
      </c>
      <c r="J181" s="72" t="s">
        <v>179</v>
      </c>
      <c r="K181" s="73" t="s">
        <v>117</v>
      </c>
      <c r="L181" s="73" t="s">
        <v>498</v>
      </c>
      <c r="M181" s="74" t="s">
        <v>179</v>
      </c>
      <c r="N181" s="75" t="s">
        <v>128</v>
      </c>
      <c r="O181" s="69" t="s">
        <v>499</v>
      </c>
      <c r="P181" s="111" t="s">
        <v>179</v>
      </c>
      <c r="Q181" s="69" t="s">
        <v>137</v>
      </c>
      <c r="R181" s="111" t="s">
        <v>218</v>
      </c>
      <c r="S181" s="69" t="s">
        <v>179</v>
      </c>
      <c r="T181" s="72" t="s">
        <v>181</v>
      </c>
      <c r="U181" s="73" t="s">
        <v>182</v>
      </c>
      <c r="V181" s="73" t="s">
        <v>500</v>
      </c>
    </row>
    <row r="182" spans="2:22" x14ac:dyDescent="0.3">
      <c r="B182" s="69" t="s">
        <v>177</v>
      </c>
      <c r="C182" s="70" t="s">
        <v>243</v>
      </c>
      <c r="D182" s="75" t="s">
        <v>179</v>
      </c>
      <c r="E182" s="72" t="s">
        <v>106</v>
      </c>
      <c r="F182" s="73" t="s">
        <v>501</v>
      </c>
      <c r="G182" s="73" t="s">
        <v>179</v>
      </c>
      <c r="H182" s="74" t="s">
        <v>121</v>
      </c>
      <c r="I182" s="75" t="s">
        <v>502</v>
      </c>
      <c r="J182" s="72" t="s">
        <v>179</v>
      </c>
      <c r="K182" s="73" t="s">
        <v>117</v>
      </c>
      <c r="L182" s="73" t="s">
        <v>503</v>
      </c>
      <c r="M182" s="74" t="s">
        <v>179</v>
      </c>
      <c r="N182" s="75" t="s">
        <v>128</v>
      </c>
      <c r="O182" s="69" t="s">
        <v>504</v>
      </c>
      <c r="P182" s="111" t="s">
        <v>179</v>
      </c>
      <c r="Q182" s="69" t="s">
        <v>137</v>
      </c>
      <c r="R182" s="111" t="s">
        <v>505</v>
      </c>
      <c r="S182" s="69" t="s">
        <v>179</v>
      </c>
      <c r="T182" s="72" t="s">
        <v>181</v>
      </c>
      <c r="U182" s="73" t="s">
        <v>182</v>
      </c>
      <c r="V182" s="73" t="s">
        <v>506</v>
      </c>
    </row>
    <row r="183" spans="2:22" x14ac:dyDescent="0.3">
      <c r="B183" s="69" t="s">
        <v>177</v>
      </c>
      <c r="C183" s="70">
        <v>45413</v>
      </c>
      <c r="D183" s="75" t="s">
        <v>179</v>
      </c>
      <c r="E183" s="72" t="s">
        <v>106</v>
      </c>
      <c r="F183" s="73" t="s">
        <v>507</v>
      </c>
      <c r="G183" s="73" t="s">
        <v>179</v>
      </c>
      <c r="H183" s="74" t="s">
        <v>121</v>
      </c>
      <c r="I183" s="75" t="s">
        <v>508</v>
      </c>
      <c r="J183" s="72" t="s">
        <v>179</v>
      </c>
      <c r="K183" s="73" t="s">
        <v>110</v>
      </c>
      <c r="L183" s="73" t="s">
        <v>509</v>
      </c>
      <c r="M183" s="74" t="s">
        <v>179</v>
      </c>
      <c r="N183" s="75" t="s">
        <v>117</v>
      </c>
      <c r="O183" s="69" t="s">
        <v>510</v>
      </c>
      <c r="P183" s="111" t="s">
        <v>179</v>
      </c>
      <c r="Q183" s="69" t="s">
        <v>137</v>
      </c>
      <c r="R183" s="111" t="s">
        <v>511</v>
      </c>
      <c r="S183" s="69" t="s">
        <v>179</v>
      </c>
      <c r="T183" s="72" t="s">
        <v>181</v>
      </c>
      <c r="U183" s="73" t="s">
        <v>182</v>
      </c>
      <c r="V183" s="73" t="s">
        <v>190</v>
      </c>
    </row>
    <row r="184" spans="2:22" x14ac:dyDescent="0.3">
      <c r="B184" s="69" t="s">
        <v>177</v>
      </c>
      <c r="C184" s="70">
        <v>45444</v>
      </c>
      <c r="D184" s="75" t="s">
        <v>179</v>
      </c>
      <c r="E184" s="72" t="s">
        <v>106</v>
      </c>
      <c r="F184" s="73" t="s">
        <v>255</v>
      </c>
      <c r="G184" s="73" t="s">
        <v>179</v>
      </c>
      <c r="H184" s="74" t="s">
        <v>121</v>
      </c>
      <c r="I184" s="75" t="s">
        <v>512</v>
      </c>
      <c r="J184" s="72" t="s">
        <v>179</v>
      </c>
      <c r="K184" s="73" t="s">
        <v>110</v>
      </c>
      <c r="L184" s="73" t="s">
        <v>513</v>
      </c>
      <c r="M184" s="74" t="s">
        <v>179</v>
      </c>
      <c r="N184" s="75" t="s">
        <v>130</v>
      </c>
      <c r="O184" s="69" t="s">
        <v>238</v>
      </c>
      <c r="P184" s="111" t="s">
        <v>179</v>
      </c>
      <c r="Q184" s="69" t="s">
        <v>137</v>
      </c>
      <c r="R184" s="111" t="s">
        <v>514</v>
      </c>
      <c r="S184" s="69" t="s">
        <v>179</v>
      </c>
      <c r="T184" s="72" t="s">
        <v>181</v>
      </c>
      <c r="U184" s="73" t="s">
        <v>182</v>
      </c>
      <c r="V184" s="73" t="s">
        <v>515</v>
      </c>
    </row>
    <row r="185" spans="2:22" x14ac:dyDescent="0.3">
      <c r="B185" s="69" t="s">
        <v>177</v>
      </c>
      <c r="C185" s="70">
        <v>45474</v>
      </c>
      <c r="D185" s="75" t="s">
        <v>179</v>
      </c>
      <c r="E185" s="72" t="s">
        <v>106</v>
      </c>
      <c r="F185" s="73" t="s">
        <v>516</v>
      </c>
      <c r="G185" s="73" t="s">
        <v>179</v>
      </c>
      <c r="H185" s="74" t="s">
        <v>121</v>
      </c>
      <c r="I185" s="75" t="s">
        <v>517</v>
      </c>
      <c r="J185" s="72" t="s">
        <v>179</v>
      </c>
      <c r="K185" s="73" t="s">
        <v>130</v>
      </c>
      <c r="L185" s="73" t="s">
        <v>205</v>
      </c>
      <c r="M185" s="74" t="s">
        <v>179</v>
      </c>
      <c r="N185" s="75" t="s">
        <v>118</v>
      </c>
      <c r="O185" s="69" t="s">
        <v>518</v>
      </c>
      <c r="P185" s="111" t="s">
        <v>179</v>
      </c>
      <c r="Q185" s="69" t="s">
        <v>137</v>
      </c>
      <c r="R185" s="111" t="s">
        <v>519</v>
      </c>
      <c r="S185" s="69" t="s">
        <v>179</v>
      </c>
      <c r="T185" s="72" t="s">
        <v>181</v>
      </c>
      <c r="U185" s="73" t="s">
        <v>182</v>
      </c>
      <c r="V185" s="73" t="s">
        <v>520</v>
      </c>
    </row>
    <row r="186" spans="2:22" x14ac:dyDescent="0.3">
      <c r="B186" s="69" t="s">
        <v>177</v>
      </c>
      <c r="C186" s="70" t="s">
        <v>244</v>
      </c>
      <c r="D186" s="75" t="s">
        <v>179</v>
      </c>
      <c r="E186" s="72" t="s">
        <v>106</v>
      </c>
      <c r="F186" s="73" t="s">
        <v>521</v>
      </c>
      <c r="G186" s="73" t="s">
        <v>179</v>
      </c>
      <c r="H186" s="74" t="s">
        <v>121</v>
      </c>
      <c r="I186" s="75" t="s">
        <v>167</v>
      </c>
      <c r="J186" s="72" t="s">
        <v>179</v>
      </c>
      <c r="K186" s="73" t="s">
        <v>130</v>
      </c>
      <c r="L186" s="73" t="s">
        <v>522</v>
      </c>
      <c r="M186" s="74" t="s">
        <v>179</v>
      </c>
      <c r="N186" s="75" t="s">
        <v>118</v>
      </c>
      <c r="O186" s="69" t="s">
        <v>523</v>
      </c>
      <c r="P186" s="111" t="s">
        <v>179</v>
      </c>
      <c r="Q186" s="69" t="s">
        <v>137</v>
      </c>
      <c r="R186" s="111" t="s">
        <v>524</v>
      </c>
      <c r="S186" s="69" t="s">
        <v>179</v>
      </c>
      <c r="T186" s="72" t="s">
        <v>181</v>
      </c>
      <c r="U186" s="73" t="s">
        <v>182</v>
      </c>
      <c r="V186" s="73" t="s">
        <v>525</v>
      </c>
    </row>
    <row r="187" spans="2:22" x14ac:dyDescent="0.3">
      <c r="B187" s="69" t="s">
        <v>177</v>
      </c>
      <c r="C187" s="70">
        <v>45536</v>
      </c>
      <c r="D187" s="75" t="s">
        <v>179</v>
      </c>
      <c r="E187" s="72" t="s">
        <v>106</v>
      </c>
      <c r="F187" s="73" t="s">
        <v>526</v>
      </c>
      <c r="G187" s="73" t="s">
        <v>179</v>
      </c>
      <c r="H187" s="74" t="s">
        <v>121</v>
      </c>
      <c r="I187" s="75" t="s">
        <v>347</v>
      </c>
      <c r="J187" s="72" t="s">
        <v>179</v>
      </c>
      <c r="K187" s="73" t="s">
        <v>117</v>
      </c>
      <c r="L187" s="73" t="s">
        <v>527</v>
      </c>
      <c r="M187" s="74" t="s">
        <v>179</v>
      </c>
      <c r="N187" s="75" t="s">
        <v>130</v>
      </c>
      <c r="O187" s="69" t="s">
        <v>209</v>
      </c>
      <c r="P187" s="111" t="s">
        <v>179</v>
      </c>
      <c r="Q187" s="69" t="s">
        <v>118</v>
      </c>
      <c r="R187" s="111" t="s">
        <v>528</v>
      </c>
      <c r="S187" s="69" t="s">
        <v>179</v>
      </c>
      <c r="T187" s="72" t="s">
        <v>181</v>
      </c>
      <c r="U187" s="73" t="s">
        <v>182</v>
      </c>
      <c r="V187" s="73" t="s">
        <v>253</v>
      </c>
    </row>
    <row r="188" spans="2:22" x14ac:dyDescent="0.3">
      <c r="B188" s="69" t="s">
        <v>177</v>
      </c>
      <c r="C188" s="70">
        <v>45566</v>
      </c>
      <c r="D188" s="75" t="s">
        <v>179</v>
      </c>
      <c r="E188" s="72" t="s">
        <v>106</v>
      </c>
      <c r="F188" s="73" t="s">
        <v>529</v>
      </c>
      <c r="G188" s="73" t="s">
        <v>179</v>
      </c>
      <c r="H188" s="74" t="s">
        <v>121</v>
      </c>
      <c r="I188" s="75" t="s">
        <v>530</v>
      </c>
      <c r="J188" s="72" t="s">
        <v>179</v>
      </c>
      <c r="K188" s="73" t="s">
        <v>117</v>
      </c>
      <c r="L188" s="73" t="s">
        <v>531</v>
      </c>
      <c r="M188" s="74" t="s">
        <v>179</v>
      </c>
      <c r="N188" s="75" t="s">
        <v>130</v>
      </c>
      <c r="O188" s="69" t="s">
        <v>532</v>
      </c>
      <c r="P188" s="111" t="s">
        <v>179</v>
      </c>
      <c r="Q188" s="69" t="s">
        <v>118</v>
      </c>
      <c r="R188" s="111" t="s">
        <v>533</v>
      </c>
      <c r="S188" s="69" t="s">
        <v>179</v>
      </c>
      <c r="T188" s="72" t="s">
        <v>181</v>
      </c>
      <c r="U188" s="73" t="s">
        <v>182</v>
      </c>
      <c r="V188" s="73" t="s">
        <v>534</v>
      </c>
    </row>
    <row r="189" spans="2:22" x14ac:dyDescent="0.3">
      <c r="B189" s="69" t="s">
        <v>177</v>
      </c>
      <c r="C189" s="70">
        <v>45597</v>
      </c>
      <c r="D189" s="75" t="s">
        <v>179</v>
      </c>
      <c r="E189" s="72" t="s">
        <v>106</v>
      </c>
      <c r="F189" s="73" t="s">
        <v>535</v>
      </c>
      <c r="G189" s="73" t="s">
        <v>179</v>
      </c>
      <c r="H189" s="74" t="s">
        <v>121</v>
      </c>
      <c r="I189" s="75" t="s">
        <v>536</v>
      </c>
      <c r="J189" s="72" t="s">
        <v>179</v>
      </c>
      <c r="K189" s="73" t="s">
        <v>117</v>
      </c>
      <c r="L189" s="73" t="s">
        <v>537</v>
      </c>
      <c r="M189" s="74" t="s">
        <v>179</v>
      </c>
      <c r="N189" s="75" t="s">
        <v>130</v>
      </c>
      <c r="O189" s="69" t="s">
        <v>538</v>
      </c>
      <c r="P189" s="111" t="s">
        <v>179</v>
      </c>
      <c r="Q189" s="69" t="s">
        <v>118</v>
      </c>
      <c r="R189" s="111" t="s">
        <v>539</v>
      </c>
      <c r="S189" s="69" t="s">
        <v>179</v>
      </c>
      <c r="T189" s="72" t="s">
        <v>181</v>
      </c>
      <c r="U189" s="73" t="s">
        <v>182</v>
      </c>
      <c r="V189" s="73" t="s">
        <v>540</v>
      </c>
    </row>
    <row r="190" spans="2:22" x14ac:dyDescent="0.3">
      <c r="B190" s="69" t="s">
        <v>177</v>
      </c>
      <c r="C190" s="70" t="s">
        <v>247</v>
      </c>
      <c r="D190" s="75" t="s">
        <v>179</v>
      </c>
      <c r="E190" s="72" t="s">
        <v>106</v>
      </c>
      <c r="F190" s="73" t="s">
        <v>541</v>
      </c>
      <c r="G190" s="73" t="s">
        <v>179</v>
      </c>
      <c r="H190" s="74" t="s">
        <v>121</v>
      </c>
      <c r="I190" s="75" t="s">
        <v>542</v>
      </c>
      <c r="J190" s="72" t="s">
        <v>179</v>
      </c>
      <c r="K190" s="73" t="s">
        <v>130</v>
      </c>
      <c r="L190" s="73" t="s">
        <v>159</v>
      </c>
      <c r="M190" s="74" t="s">
        <v>179</v>
      </c>
      <c r="N190" s="75" t="s">
        <v>118</v>
      </c>
      <c r="O190" s="69" t="s">
        <v>543</v>
      </c>
      <c r="P190" s="111" t="s">
        <v>179</v>
      </c>
      <c r="Q190" s="69" t="s">
        <v>131</v>
      </c>
      <c r="R190" s="111" t="s">
        <v>544</v>
      </c>
      <c r="S190" s="69" t="s">
        <v>179</v>
      </c>
      <c r="T190" s="72" t="s">
        <v>181</v>
      </c>
      <c r="U190" s="73" t="s">
        <v>182</v>
      </c>
      <c r="V190" s="73" t="s">
        <v>207</v>
      </c>
    </row>
    <row r="191" spans="2:22" x14ac:dyDescent="0.3">
      <c r="B191" s="69" t="s">
        <v>177</v>
      </c>
      <c r="C191" s="70" t="s">
        <v>178</v>
      </c>
      <c r="D191" s="75" t="s">
        <v>179</v>
      </c>
      <c r="E191" s="72" t="s">
        <v>106</v>
      </c>
      <c r="F191" s="73" t="s">
        <v>545</v>
      </c>
      <c r="G191" s="73" t="s">
        <v>179</v>
      </c>
      <c r="H191" s="74" t="s">
        <v>121</v>
      </c>
      <c r="I191" s="75" t="s">
        <v>546</v>
      </c>
      <c r="J191" s="72" t="s">
        <v>179</v>
      </c>
      <c r="K191" s="73" t="s">
        <v>130</v>
      </c>
      <c r="L191" s="73" t="s">
        <v>547</v>
      </c>
      <c r="M191" s="74" t="s">
        <v>179</v>
      </c>
      <c r="N191" s="75" t="s">
        <v>118</v>
      </c>
      <c r="O191" s="69" t="s">
        <v>548</v>
      </c>
      <c r="P191" s="111" t="s">
        <v>179</v>
      </c>
      <c r="Q191" s="69" t="s">
        <v>138</v>
      </c>
      <c r="R191" s="111" t="s">
        <v>549</v>
      </c>
      <c r="S191" s="69" t="s">
        <v>179</v>
      </c>
      <c r="T191" s="72" t="s">
        <v>181</v>
      </c>
      <c r="U191" s="73" t="s">
        <v>182</v>
      </c>
      <c r="V191" s="73" t="s">
        <v>550</v>
      </c>
    </row>
    <row r="192" spans="2:22" x14ac:dyDescent="0.3">
      <c r="B192" s="69" t="s">
        <v>177</v>
      </c>
      <c r="C192" s="70">
        <v>45689</v>
      </c>
      <c r="D192" s="75" t="s">
        <v>179</v>
      </c>
      <c r="E192" s="72" t="s">
        <v>106</v>
      </c>
      <c r="F192" s="73" t="s">
        <v>425</v>
      </c>
      <c r="G192" s="73" t="s">
        <v>179</v>
      </c>
      <c r="H192" s="74" t="s">
        <v>121</v>
      </c>
      <c r="I192" s="75" t="s">
        <v>551</v>
      </c>
      <c r="J192" s="72" t="s">
        <v>179</v>
      </c>
      <c r="K192" s="73" t="s">
        <v>130</v>
      </c>
      <c r="L192" s="73" t="s">
        <v>552</v>
      </c>
      <c r="M192" s="74" t="s">
        <v>179</v>
      </c>
      <c r="N192" s="75" t="s">
        <v>118</v>
      </c>
      <c r="O192" s="69" t="s">
        <v>553</v>
      </c>
      <c r="P192" s="111" t="s">
        <v>179</v>
      </c>
      <c r="Q192" s="69" t="s">
        <v>138</v>
      </c>
      <c r="R192" s="111" t="s">
        <v>554</v>
      </c>
      <c r="S192" s="69" t="s">
        <v>179</v>
      </c>
      <c r="T192" s="72" t="s">
        <v>181</v>
      </c>
      <c r="U192" s="73" t="s">
        <v>182</v>
      </c>
      <c r="V192" s="73" t="s">
        <v>555</v>
      </c>
    </row>
    <row r="193" spans="2:22" x14ac:dyDescent="0.3">
      <c r="B193" s="69" t="s">
        <v>177</v>
      </c>
      <c r="C193" s="70">
        <v>45717</v>
      </c>
      <c r="D193" s="75" t="s">
        <v>179</v>
      </c>
      <c r="E193" s="72" t="s">
        <v>106</v>
      </c>
      <c r="F193" s="73" t="s">
        <v>556</v>
      </c>
      <c r="G193" s="73" t="s">
        <v>179</v>
      </c>
      <c r="H193" s="74" t="s">
        <v>121</v>
      </c>
      <c r="I193" s="75" t="s">
        <v>557</v>
      </c>
      <c r="J193" s="72" t="s">
        <v>179</v>
      </c>
      <c r="K193" s="73" t="s">
        <v>130</v>
      </c>
      <c r="L193" s="73" t="s">
        <v>237</v>
      </c>
      <c r="M193" s="74" t="s">
        <v>179</v>
      </c>
      <c r="N193" s="75" t="s">
        <v>118</v>
      </c>
      <c r="O193" s="69" t="s">
        <v>558</v>
      </c>
      <c r="P193" s="111" t="s">
        <v>179</v>
      </c>
      <c r="Q193" s="69" t="s">
        <v>138</v>
      </c>
      <c r="R193" s="111" t="s">
        <v>559</v>
      </c>
      <c r="S193" s="69" t="s">
        <v>179</v>
      </c>
      <c r="T193" s="72" t="s">
        <v>181</v>
      </c>
      <c r="U193" s="73" t="s">
        <v>182</v>
      </c>
      <c r="V193" s="73" t="s">
        <v>560</v>
      </c>
    </row>
    <row r="194" spans="2:22" x14ac:dyDescent="0.3">
      <c r="B194" s="69" t="s">
        <v>177</v>
      </c>
      <c r="C194" s="70" t="s">
        <v>184</v>
      </c>
      <c r="D194" s="75" t="s">
        <v>179</v>
      </c>
      <c r="E194" s="72" t="s">
        <v>106</v>
      </c>
      <c r="F194" s="73" t="s">
        <v>561</v>
      </c>
      <c r="G194" s="73" t="s">
        <v>179</v>
      </c>
      <c r="H194" s="74" t="s">
        <v>121</v>
      </c>
      <c r="I194" s="75" t="s">
        <v>168</v>
      </c>
      <c r="J194" s="72" t="s">
        <v>179</v>
      </c>
      <c r="K194" s="73" t="s">
        <v>131</v>
      </c>
      <c r="L194" s="73" t="s">
        <v>562</v>
      </c>
      <c r="M194" s="74" t="s">
        <v>179</v>
      </c>
      <c r="N194" s="75" t="s">
        <v>132</v>
      </c>
      <c r="O194" s="69" t="s">
        <v>158</v>
      </c>
      <c r="P194" s="111" t="s">
        <v>179</v>
      </c>
      <c r="Q194" s="69" t="s">
        <v>138</v>
      </c>
      <c r="R194" s="111" t="s">
        <v>283</v>
      </c>
      <c r="S194" s="69" t="s">
        <v>179</v>
      </c>
      <c r="T194" s="72" t="s">
        <v>181</v>
      </c>
      <c r="U194" s="73" t="s">
        <v>182</v>
      </c>
      <c r="V194" s="73" t="s">
        <v>563</v>
      </c>
    </row>
    <row r="195" spans="2:22" x14ac:dyDescent="0.3">
      <c r="B195" s="69" t="s">
        <v>177</v>
      </c>
      <c r="C195" s="70">
        <v>45778</v>
      </c>
      <c r="D195" s="75" t="s">
        <v>179</v>
      </c>
      <c r="E195" s="72" t="s">
        <v>106</v>
      </c>
      <c r="F195" s="73" t="s">
        <v>564</v>
      </c>
      <c r="G195" s="73" t="s">
        <v>179</v>
      </c>
      <c r="H195" s="74" t="s">
        <v>121</v>
      </c>
      <c r="I195" s="75" t="s">
        <v>565</v>
      </c>
      <c r="J195" s="72" t="s">
        <v>179</v>
      </c>
      <c r="K195" s="73" t="s">
        <v>131</v>
      </c>
      <c r="L195" s="73" t="s">
        <v>566</v>
      </c>
      <c r="M195" s="74" t="s">
        <v>179</v>
      </c>
      <c r="N195" s="75" t="s">
        <v>132</v>
      </c>
      <c r="O195" s="69" t="s">
        <v>567</v>
      </c>
      <c r="P195" s="111" t="s">
        <v>179</v>
      </c>
      <c r="Q195" s="69" t="s">
        <v>138</v>
      </c>
      <c r="R195" s="111" t="s">
        <v>568</v>
      </c>
      <c r="S195" s="69" t="s">
        <v>179</v>
      </c>
      <c r="T195" s="72" t="s">
        <v>181</v>
      </c>
      <c r="U195" s="73" t="s">
        <v>182</v>
      </c>
      <c r="V195" s="73" t="s">
        <v>569</v>
      </c>
    </row>
    <row r="196" spans="2:22" x14ac:dyDescent="0.3">
      <c r="B196" s="69" t="s">
        <v>177</v>
      </c>
      <c r="C196" s="70">
        <v>45809</v>
      </c>
      <c r="D196" s="75" t="s">
        <v>179</v>
      </c>
      <c r="E196" s="72" t="s">
        <v>106</v>
      </c>
      <c r="F196" s="73" t="s">
        <v>570</v>
      </c>
      <c r="G196" s="73" t="s">
        <v>179</v>
      </c>
      <c r="H196" s="74" t="s">
        <v>121</v>
      </c>
      <c r="I196" s="75" t="s">
        <v>571</v>
      </c>
      <c r="J196" s="72" t="s">
        <v>179</v>
      </c>
      <c r="K196" s="73" t="s">
        <v>131</v>
      </c>
      <c r="L196" s="73" t="s">
        <v>418</v>
      </c>
      <c r="M196" s="74" t="s">
        <v>179</v>
      </c>
      <c r="N196" s="75" t="s">
        <v>114</v>
      </c>
      <c r="O196" s="69" t="s">
        <v>572</v>
      </c>
      <c r="P196" s="111" t="s">
        <v>179</v>
      </c>
      <c r="Q196" s="69" t="s">
        <v>138</v>
      </c>
      <c r="R196" s="111" t="s">
        <v>573</v>
      </c>
      <c r="S196" s="69" t="s">
        <v>179</v>
      </c>
      <c r="T196" s="72" t="s">
        <v>181</v>
      </c>
      <c r="U196" s="73" t="s">
        <v>182</v>
      </c>
      <c r="V196" s="73" t="s">
        <v>574</v>
      </c>
    </row>
    <row r="197" spans="2:22" x14ac:dyDescent="0.3">
      <c r="B197" s="69" t="s">
        <v>177</v>
      </c>
      <c r="C197" s="70">
        <v>45839</v>
      </c>
      <c r="D197" s="75" t="s">
        <v>179</v>
      </c>
      <c r="E197" s="72" t="s">
        <v>106</v>
      </c>
      <c r="F197" s="73" t="s">
        <v>575</v>
      </c>
      <c r="G197" s="73" t="s">
        <v>179</v>
      </c>
      <c r="H197" s="74" t="s">
        <v>121</v>
      </c>
      <c r="I197" s="75" t="s">
        <v>576</v>
      </c>
      <c r="J197" s="72" t="s">
        <v>179</v>
      </c>
      <c r="K197" s="73" t="s">
        <v>131</v>
      </c>
      <c r="L197" s="73" t="s">
        <v>577</v>
      </c>
      <c r="M197" s="74" t="s">
        <v>179</v>
      </c>
      <c r="N197" s="75" t="s">
        <v>114</v>
      </c>
      <c r="O197" s="69" t="s">
        <v>578</v>
      </c>
      <c r="P197" s="111" t="s">
        <v>179</v>
      </c>
      <c r="Q197" s="69" t="s">
        <v>138</v>
      </c>
      <c r="R197" s="111" t="s">
        <v>579</v>
      </c>
      <c r="S197" s="69" t="s">
        <v>179</v>
      </c>
      <c r="T197" s="72" t="s">
        <v>181</v>
      </c>
      <c r="U197" s="73" t="s">
        <v>182</v>
      </c>
      <c r="V197" s="73" t="s">
        <v>580</v>
      </c>
    </row>
    <row r="198" spans="2:22" x14ac:dyDescent="0.3">
      <c r="B198" s="69" t="s">
        <v>177</v>
      </c>
      <c r="C198" s="70" t="s">
        <v>185</v>
      </c>
      <c r="D198" s="75" t="s">
        <v>179</v>
      </c>
      <c r="E198" s="72" t="s">
        <v>106</v>
      </c>
      <c r="F198" s="73" t="s">
        <v>581</v>
      </c>
      <c r="G198" s="73" t="s">
        <v>179</v>
      </c>
      <c r="H198" s="74" t="s">
        <v>121</v>
      </c>
      <c r="I198" s="75" t="s">
        <v>367</v>
      </c>
      <c r="J198" s="72" t="s">
        <v>179</v>
      </c>
      <c r="K198" s="73" t="s">
        <v>131</v>
      </c>
      <c r="L198" s="73" t="s">
        <v>260</v>
      </c>
      <c r="M198" s="74" t="s">
        <v>179</v>
      </c>
      <c r="N198" s="75" t="s">
        <v>114</v>
      </c>
      <c r="O198" s="69" t="s">
        <v>582</v>
      </c>
      <c r="P198" s="111" t="s">
        <v>179</v>
      </c>
      <c r="Q198" s="69" t="s">
        <v>138</v>
      </c>
      <c r="R198" s="111" t="s">
        <v>583</v>
      </c>
      <c r="S198" s="69" t="s">
        <v>179</v>
      </c>
      <c r="T198" s="72" t="s">
        <v>181</v>
      </c>
      <c r="U198" s="73" t="s">
        <v>182</v>
      </c>
      <c r="V198" s="73" t="s">
        <v>188</v>
      </c>
    </row>
    <row r="199" spans="2:22" x14ac:dyDescent="0.3">
      <c r="B199" s="69" t="s">
        <v>177</v>
      </c>
      <c r="C199" s="70">
        <v>45901</v>
      </c>
      <c r="D199" s="75" t="s">
        <v>179</v>
      </c>
      <c r="E199" s="72" t="s">
        <v>106</v>
      </c>
      <c r="F199" s="73" t="s">
        <v>584</v>
      </c>
      <c r="G199" s="73" t="s">
        <v>179</v>
      </c>
      <c r="H199" s="74" t="s">
        <v>121</v>
      </c>
      <c r="I199" s="75" t="s">
        <v>256</v>
      </c>
      <c r="J199" s="72" t="s">
        <v>179</v>
      </c>
      <c r="K199" s="73" t="s">
        <v>114</v>
      </c>
      <c r="L199" s="73" t="s">
        <v>245</v>
      </c>
      <c r="M199" s="74" t="s">
        <v>179</v>
      </c>
      <c r="N199" s="75" t="s">
        <v>139</v>
      </c>
      <c r="O199" s="69" t="s">
        <v>585</v>
      </c>
      <c r="P199" s="111" t="s">
        <v>179</v>
      </c>
      <c r="Q199" s="69" t="s">
        <v>138</v>
      </c>
      <c r="R199" s="111" t="s">
        <v>586</v>
      </c>
      <c r="S199" s="69" t="s">
        <v>179</v>
      </c>
      <c r="T199" s="72" t="s">
        <v>181</v>
      </c>
      <c r="U199" s="73" t="s">
        <v>182</v>
      </c>
      <c r="V199" s="73" t="s">
        <v>186</v>
      </c>
    </row>
    <row r="200" spans="2:22" x14ac:dyDescent="0.3">
      <c r="B200" s="69" t="s">
        <v>177</v>
      </c>
      <c r="C200" s="70">
        <v>45931</v>
      </c>
      <c r="D200" s="75" t="s">
        <v>179</v>
      </c>
      <c r="E200" s="72" t="s">
        <v>106</v>
      </c>
      <c r="F200" s="73" t="s">
        <v>587</v>
      </c>
      <c r="G200" s="73" t="s">
        <v>179</v>
      </c>
      <c r="H200" s="74" t="s">
        <v>121</v>
      </c>
      <c r="I200" s="75" t="s">
        <v>588</v>
      </c>
      <c r="J200" s="72" t="s">
        <v>179</v>
      </c>
      <c r="K200" s="73" t="s">
        <v>114</v>
      </c>
      <c r="L200" s="73" t="s">
        <v>589</v>
      </c>
      <c r="M200" s="74" t="s">
        <v>179</v>
      </c>
      <c r="N200" s="75" t="s">
        <v>139</v>
      </c>
      <c r="O200" s="69" t="s">
        <v>590</v>
      </c>
      <c r="P200" s="111" t="s">
        <v>179</v>
      </c>
      <c r="Q200" s="69" t="s">
        <v>138</v>
      </c>
      <c r="R200" s="111" t="s">
        <v>591</v>
      </c>
      <c r="S200" s="69" t="s">
        <v>179</v>
      </c>
      <c r="T200" s="72" t="s">
        <v>181</v>
      </c>
      <c r="U200" s="73" t="s">
        <v>182</v>
      </c>
      <c r="V200" s="73" t="s">
        <v>592</v>
      </c>
    </row>
    <row r="201" spans="2:22" x14ac:dyDescent="0.3">
      <c r="B201" s="69" t="s">
        <v>177</v>
      </c>
      <c r="C201" s="70">
        <v>45962</v>
      </c>
      <c r="D201" s="75" t="s">
        <v>179</v>
      </c>
      <c r="E201" s="72" t="s">
        <v>106</v>
      </c>
      <c r="F201" s="73" t="s">
        <v>165</v>
      </c>
      <c r="G201" s="73" t="s">
        <v>179</v>
      </c>
      <c r="H201" s="74" t="s">
        <v>121</v>
      </c>
      <c r="I201" s="75" t="s">
        <v>167</v>
      </c>
      <c r="J201" s="72" t="s">
        <v>179</v>
      </c>
      <c r="K201" s="73" t="s">
        <v>102</v>
      </c>
      <c r="L201" s="73" t="s">
        <v>593</v>
      </c>
      <c r="M201" s="74" t="s">
        <v>179</v>
      </c>
      <c r="N201" s="75" t="s">
        <v>139</v>
      </c>
      <c r="O201" s="69" t="s">
        <v>163</v>
      </c>
      <c r="P201" s="111" t="s">
        <v>179</v>
      </c>
      <c r="Q201" s="69" t="s">
        <v>138</v>
      </c>
      <c r="R201" s="111" t="s">
        <v>214</v>
      </c>
      <c r="S201" s="69" t="s">
        <v>179</v>
      </c>
      <c r="T201" s="72" t="s">
        <v>181</v>
      </c>
      <c r="U201" s="73" t="s">
        <v>182</v>
      </c>
      <c r="V201" s="73" t="s">
        <v>594</v>
      </c>
    </row>
    <row r="202" spans="2:22" x14ac:dyDescent="0.3">
      <c r="B202" s="69" t="s">
        <v>177</v>
      </c>
      <c r="C202" s="70" t="s">
        <v>187</v>
      </c>
      <c r="D202" s="75" t="s">
        <v>179</v>
      </c>
      <c r="E202" s="72" t="s">
        <v>106</v>
      </c>
      <c r="F202" s="73" t="s">
        <v>170</v>
      </c>
      <c r="G202" s="73" t="s">
        <v>179</v>
      </c>
      <c r="H202" s="74" t="s">
        <v>121</v>
      </c>
      <c r="I202" s="75" t="s">
        <v>171</v>
      </c>
      <c r="J202" s="72" t="s">
        <v>179</v>
      </c>
      <c r="K202" s="73" t="s">
        <v>105</v>
      </c>
      <c r="L202" s="73" t="s">
        <v>595</v>
      </c>
      <c r="M202" s="74" t="s">
        <v>179</v>
      </c>
      <c r="N202" s="75" t="s">
        <v>102</v>
      </c>
      <c r="O202" s="69" t="s">
        <v>168</v>
      </c>
      <c r="P202" s="111" t="s">
        <v>179</v>
      </c>
      <c r="Q202" s="69" t="s">
        <v>139</v>
      </c>
      <c r="R202" s="111" t="s">
        <v>169</v>
      </c>
      <c r="S202" s="69" t="s">
        <v>179</v>
      </c>
      <c r="T202" s="72" t="s">
        <v>181</v>
      </c>
      <c r="U202" s="73" t="s">
        <v>182</v>
      </c>
      <c r="V202" s="73" t="s">
        <v>596</v>
      </c>
    </row>
    <row r="203" spans="2:22" x14ac:dyDescent="0.3">
      <c r="B203" s="69" t="s">
        <v>177</v>
      </c>
      <c r="C203" s="70" t="s">
        <v>189</v>
      </c>
      <c r="D203" s="75" t="s">
        <v>179</v>
      </c>
      <c r="E203" s="72" t="s">
        <v>106</v>
      </c>
      <c r="F203" s="73" t="s">
        <v>175</v>
      </c>
      <c r="G203" s="73" t="s">
        <v>179</v>
      </c>
      <c r="H203" s="74" t="s">
        <v>121</v>
      </c>
      <c r="I203" s="75" t="s">
        <v>176</v>
      </c>
      <c r="J203" s="72" t="s">
        <v>179</v>
      </c>
      <c r="K203" s="73" t="s">
        <v>105</v>
      </c>
      <c r="L203" s="73" t="s">
        <v>172</v>
      </c>
      <c r="M203" s="74" t="s">
        <v>179</v>
      </c>
      <c r="N203" s="75" t="s">
        <v>102</v>
      </c>
      <c r="O203" s="69" t="s">
        <v>173</v>
      </c>
      <c r="P203" s="111" t="s">
        <v>179</v>
      </c>
      <c r="Q203" s="69" t="s">
        <v>139</v>
      </c>
      <c r="R203" s="111" t="s">
        <v>174</v>
      </c>
      <c r="S203" s="69" t="s">
        <v>179</v>
      </c>
      <c r="T203" s="72" t="s">
        <v>181</v>
      </c>
      <c r="U203" s="73" t="s">
        <v>182</v>
      </c>
      <c r="V203" s="73" t="s">
        <v>597</v>
      </c>
    </row>
    <row r="204" spans="2:22" x14ac:dyDescent="0.3">
      <c r="B204" s="69" t="s">
        <v>177</v>
      </c>
      <c r="C204" s="70">
        <v>46054</v>
      </c>
      <c r="D204" s="75" t="s">
        <v>179</v>
      </c>
      <c r="E204" s="72" t="s">
        <v>106</v>
      </c>
      <c r="F204" s="73" t="s">
        <v>598</v>
      </c>
      <c r="G204" s="73" t="s">
        <v>179</v>
      </c>
      <c r="H204" s="74" t="s">
        <v>121</v>
      </c>
      <c r="I204" s="75" t="s">
        <v>599</v>
      </c>
      <c r="J204" s="72" t="s">
        <v>179</v>
      </c>
      <c r="K204" s="73" t="s">
        <v>105</v>
      </c>
      <c r="L204" s="73" t="s">
        <v>600</v>
      </c>
      <c r="M204" s="74" t="s">
        <v>179</v>
      </c>
      <c r="N204" s="75" t="s">
        <v>102</v>
      </c>
      <c r="O204" s="69" t="s">
        <v>601</v>
      </c>
      <c r="P204" s="111" t="s">
        <v>179</v>
      </c>
      <c r="Q204" s="69" t="s">
        <v>114</v>
      </c>
      <c r="R204" s="111" t="s">
        <v>602</v>
      </c>
      <c r="S204" s="69" t="s">
        <v>179</v>
      </c>
      <c r="T204" s="72" t="s">
        <v>181</v>
      </c>
      <c r="U204" s="73" t="s">
        <v>182</v>
      </c>
      <c r="V204" s="73" t="s">
        <v>286</v>
      </c>
    </row>
    <row r="205" spans="2:22" x14ac:dyDescent="0.3">
      <c r="B205" s="69" t="s">
        <v>177</v>
      </c>
      <c r="C205" s="70">
        <v>46082</v>
      </c>
      <c r="D205" s="75" t="s">
        <v>179</v>
      </c>
      <c r="E205" s="72" t="s">
        <v>105</v>
      </c>
      <c r="F205" s="73" t="s">
        <v>179</v>
      </c>
      <c r="G205" s="73" t="s">
        <v>102</v>
      </c>
      <c r="H205" s="74" t="s">
        <v>179</v>
      </c>
      <c r="I205" s="75" t="s">
        <v>106</v>
      </c>
      <c r="J205" s="72" t="s">
        <v>179</v>
      </c>
      <c r="K205" s="73" t="s">
        <v>121</v>
      </c>
      <c r="L205" s="73" t="s">
        <v>179</v>
      </c>
      <c r="M205" s="74" t="s">
        <v>114</v>
      </c>
      <c r="N205" s="75" t="s">
        <v>179</v>
      </c>
      <c r="O205" s="69" t="s">
        <v>181</v>
      </c>
      <c r="P205" s="111" t="s">
        <v>182</v>
      </c>
      <c r="Q205" s="69" t="s">
        <v>193</v>
      </c>
    </row>
    <row r="207" spans="2:22" x14ac:dyDescent="0.3">
      <c r="B207" s="69" t="s">
        <v>194</v>
      </c>
      <c r="C207" s="70" t="s">
        <v>195</v>
      </c>
    </row>
    <row r="209" spans="2:15" x14ac:dyDescent="0.3">
      <c r="B209" s="69" t="s">
        <v>196</v>
      </c>
      <c r="C209" s="70" t="s">
        <v>197</v>
      </c>
      <c r="D209" s="75" t="s">
        <v>3</v>
      </c>
      <c r="E209" s="72" t="s">
        <v>4</v>
      </c>
      <c r="F209" s="73" t="s">
        <v>198</v>
      </c>
      <c r="G209" s="73" t="s">
        <v>5</v>
      </c>
      <c r="H209" s="74" t="s">
        <v>6</v>
      </c>
      <c r="I209" s="75" t="s">
        <v>7</v>
      </c>
      <c r="J209" s="72" t="s">
        <v>199</v>
      </c>
      <c r="K209" s="73" t="s">
        <v>8</v>
      </c>
      <c r="L209" s="73" t="s">
        <v>9</v>
      </c>
      <c r="M209" s="74" t="s">
        <v>10</v>
      </c>
      <c r="N209" s="75" t="s">
        <v>200</v>
      </c>
      <c r="O209" s="69" t="s">
        <v>11</v>
      </c>
    </row>
    <row r="210" spans="2:15" x14ac:dyDescent="0.3">
      <c r="B210" s="69">
        <v>2018</v>
      </c>
      <c r="C210" s="70" t="s">
        <v>264</v>
      </c>
      <c r="D210" s="75" t="s">
        <v>183</v>
      </c>
      <c r="E210" s="72" t="s">
        <v>265</v>
      </c>
      <c r="F210" s="73" t="s">
        <v>266</v>
      </c>
      <c r="G210" s="73" t="s">
        <v>267</v>
      </c>
      <c r="H210" s="74" t="s">
        <v>268</v>
      </c>
      <c r="I210" s="75" t="s">
        <v>270</v>
      </c>
      <c r="J210" s="72" t="s">
        <v>271</v>
      </c>
      <c r="K210" s="73" t="s">
        <v>272</v>
      </c>
      <c r="L210" s="73" t="s">
        <v>273</v>
      </c>
      <c r="M210" s="74" t="s">
        <v>274</v>
      </c>
      <c r="N210" s="75" t="s">
        <v>275</v>
      </c>
      <c r="O210" s="69" t="s">
        <v>603</v>
      </c>
    </row>
    <row r="211" spans="2:15" x14ac:dyDescent="0.3">
      <c r="B211" s="69">
        <v>2019</v>
      </c>
      <c r="C211" s="70" t="s">
        <v>249</v>
      </c>
      <c r="D211" s="75" t="s">
        <v>276</v>
      </c>
      <c r="E211" s="72" t="s">
        <v>277</v>
      </c>
      <c r="F211" s="73" t="s">
        <v>191</v>
      </c>
      <c r="G211" s="73" t="s">
        <v>278</v>
      </c>
      <c r="H211" s="74" t="s">
        <v>279</v>
      </c>
      <c r="I211" s="75" t="s">
        <v>280</v>
      </c>
      <c r="J211" s="72" t="s">
        <v>281</v>
      </c>
      <c r="K211" s="73" t="s">
        <v>282</v>
      </c>
      <c r="L211" s="73" t="s">
        <v>284</v>
      </c>
      <c r="M211" s="74" t="s">
        <v>285</v>
      </c>
      <c r="N211" s="75" t="s">
        <v>262</v>
      </c>
      <c r="O211" s="69" t="s">
        <v>604</v>
      </c>
    </row>
    <row r="212" spans="2:15" x14ac:dyDescent="0.3">
      <c r="B212" s="69">
        <v>2020</v>
      </c>
      <c r="C212" s="70" t="s">
        <v>287</v>
      </c>
      <c r="D212" s="75" t="s">
        <v>288</v>
      </c>
      <c r="E212" s="72" t="s">
        <v>289</v>
      </c>
      <c r="F212" s="73" t="s">
        <v>291</v>
      </c>
      <c r="G212" s="73" t="s">
        <v>292</v>
      </c>
      <c r="H212" s="74" t="s">
        <v>232</v>
      </c>
      <c r="I212" s="75" t="s">
        <v>293</v>
      </c>
      <c r="J212" s="72" t="s">
        <v>294</v>
      </c>
      <c r="K212" s="73" t="s">
        <v>295</v>
      </c>
      <c r="L212" s="73" t="s">
        <v>300</v>
      </c>
      <c r="M212" s="74" t="s">
        <v>306</v>
      </c>
      <c r="N212" s="75" t="s">
        <v>312</v>
      </c>
      <c r="O212" s="69" t="s">
        <v>605</v>
      </c>
    </row>
    <row r="213" spans="2:15" x14ac:dyDescent="0.3">
      <c r="B213" s="69">
        <v>2021</v>
      </c>
      <c r="C213" s="70" t="s">
        <v>317</v>
      </c>
      <c r="D213" s="75" t="s">
        <v>321</v>
      </c>
      <c r="E213" s="72" t="s">
        <v>325</v>
      </c>
      <c r="F213" s="73" t="s">
        <v>330</v>
      </c>
      <c r="G213" s="73" t="s">
        <v>336</v>
      </c>
      <c r="H213" s="74" t="s">
        <v>342</v>
      </c>
      <c r="I213" s="75" t="s">
        <v>192</v>
      </c>
      <c r="J213" s="72" t="s">
        <v>353</v>
      </c>
      <c r="K213" s="73" t="s">
        <v>234</v>
      </c>
      <c r="L213" s="73" t="s">
        <v>364</v>
      </c>
      <c r="M213" s="74" t="s">
        <v>210</v>
      </c>
      <c r="N213" s="75" t="s">
        <v>165</v>
      </c>
      <c r="O213" s="69" t="s">
        <v>606</v>
      </c>
    </row>
    <row r="214" spans="2:15" x14ac:dyDescent="0.3">
      <c r="B214" s="69">
        <v>2022</v>
      </c>
      <c r="C214" s="70" t="s">
        <v>380</v>
      </c>
      <c r="D214" s="75" t="s">
        <v>225</v>
      </c>
      <c r="E214" s="72" t="s">
        <v>389</v>
      </c>
      <c r="F214" s="73" t="s">
        <v>394</v>
      </c>
      <c r="G214" s="73" t="s">
        <v>400</v>
      </c>
      <c r="H214" s="74" t="s">
        <v>406</v>
      </c>
      <c r="I214" s="75" t="s">
        <v>412</v>
      </c>
      <c r="J214" s="72" t="s">
        <v>416</v>
      </c>
      <c r="K214" s="73" t="s">
        <v>420</v>
      </c>
      <c r="L214" s="73" t="s">
        <v>180</v>
      </c>
      <c r="M214" s="74" t="s">
        <v>252</v>
      </c>
      <c r="N214" s="75" t="s">
        <v>201</v>
      </c>
      <c r="O214" s="69" t="s">
        <v>607</v>
      </c>
    </row>
    <row r="215" spans="2:15" x14ac:dyDescent="0.3">
      <c r="B215" s="69">
        <v>2023</v>
      </c>
      <c r="C215" s="70" t="s">
        <v>432</v>
      </c>
      <c r="D215" s="75" t="s">
        <v>436</v>
      </c>
      <c r="E215" s="72" t="s">
        <v>441</v>
      </c>
      <c r="F215" s="73" t="s">
        <v>447</v>
      </c>
      <c r="G215" s="73" t="s">
        <v>452</v>
      </c>
      <c r="H215" s="74" t="s">
        <v>457</v>
      </c>
      <c r="I215" s="75" t="s">
        <v>241</v>
      </c>
      <c r="J215" s="72" t="s">
        <v>466</v>
      </c>
      <c r="K215" s="73" t="s">
        <v>470</v>
      </c>
      <c r="L215" s="73" t="s">
        <v>475</v>
      </c>
      <c r="M215" s="74" t="s">
        <v>479</v>
      </c>
      <c r="N215" s="75" t="s">
        <v>485</v>
      </c>
      <c r="O215" s="69" t="s">
        <v>608</v>
      </c>
    </row>
    <row r="216" spans="2:15" x14ac:dyDescent="0.3">
      <c r="B216" s="69">
        <v>2024</v>
      </c>
      <c r="C216" s="70" t="s">
        <v>490</v>
      </c>
      <c r="D216" s="75" t="s">
        <v>495</v>
      </c>
      <c r="E216" s="72" t="s">
        <v>500</v>
      </c>
      <c r="F216" s="73" t="s">
        <v>506</v>
      </c>
      <c r="G216" s="73" t="s">
        <v>190</v>
      </c>
      <c r="H216" s="74" t="s">
        <v>515</v>
      </c>
      <c r="I216" s="75" t="s">
        <v>520</v>
      </c>
      <c r="J216" s="72" t="s">
        <v>525</v>
      </c>
      <c r="K216" s="73" t="s">
        <v>253</v>
      </c>
      <c r="L216" s="73" t="s">
        <v>534</v>
      </c>
      <c r="M216" s="74" t="s">
        <v>540</v>
      </c>
      <c r="N216" s="75" t="s">
        <v>207</v>
      </c>
      <c r="O216" s="69" t="s">
        <v>609</v>
      </c>
    </row>
    <row r="217" spans="2:15" x14ac:dyDescent="0.3">
      <c r="B217" s="69">
        <v>2025</v>
      </c>
      <c r="C217" s="70" t="s">
        <v>550</v>
      </c>
      <c r="D217" s="75" t="s">
        <v>555</v>
      </c>
      <c r="E217" s="72" t="s">
        <v>560</v>
      </c>
      <c r="F217" s="73" t="s">
        <v>563</v>
      </c>
      <c r="G217" s="73" t="s">
        <v>569</v>
      </c>
      <c r="H217" s="74" t="s">
        <v>574</v>
      </c>
      <c r="I217" s="75" t="s">
        <v>580</v>
      </c>
      <c r="J217" s="72" t="s">
        <v>188</v>
      </c>
      <c r="K217" s="73" t="s">
        <v>186</v>
      </c>
      <c r="L217" s="73" t="s">
        <v>592</v>
      </c>
      <c r="M217" s="74" t="s">
        <v>594</v>
      </c>
      <c r="N217" s="75" t="s">
        <v>596</v>
      </c>
      <c r="O217" s="69" t="s">
        <v>610</v>
      </c>
    </row>
    <row r="218" spans="2:15" x14ac:dyDescent="0.3">
      <c r="B218" s="69">
        <v>2026</v>
      </c>
      <c r="C218" s="70" t="s">
        <v>597</v>
      </c>
      <c r="D218" s="75" t="s">
        <v>286</v>
      </c>
      <c r="E218" s="72" t="s">
        <v>376</v>
      </c>
    </row>
  </sheetData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</worksheet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HORIZONTE-detalle</vt:lpstr>
      <vt:lpstr>ROCA-detalle</vt:lpstr>
      <vt:lpstr>IMPULSO-detalle</vt:lpstr>
      <vt:lpstr>GEDA-detalle</vt:lpstr>
      <vt:lpstr>GENZ-detalle</vt:lpstr>
      <vt:lpstr>CRYPTO-detalle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GARCIA SANCHEZ</dc:creator>
  <cp:lastModifiedBy>Jose y Mercedes</cp:lastModifiedBy>
  <dcterms:created xsi:type="dcterms:W3CDTF">2015-06-05T18:17:20Z</dcterms:created>
  <dcterms:modified xsi:type="dcterms:W3CDTF">2026-10-20T05:42:31Z</dcterms:modified>
</cp:coreProperties>
</file>